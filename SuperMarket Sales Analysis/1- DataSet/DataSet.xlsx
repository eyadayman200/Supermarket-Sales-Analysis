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"/>
    </mc:Choice>
  </mc:AlternateContent>
  <xr:revisionPtr revIDLastSave="0" documentId="8_{4E9F478F-73D2-41B4-AE86-1764FF2C4656}" xr6:coauthVersionLast="47" xr6:coauthVersionMax="47" xr10:uidLastSave="{00000000-0000-0000-0000-000000000000}"/>
  <bookViews>
    <workbookView xWindow="-108" yWindow="-108" windowWidth="23256" windowHeight="12576" activeTab="1" xr2:uid="{CD9274C7-5C0B-4469-B342-5BCE7BB0E88A}"/>
  </bookViews>
  <sheets>
    <sheet name="SuperMarket_Sales" sheetId="1" r:id="rId1"/>
    <sheet name="Retur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01" i="1" l="1"/>
  <c r="Q1001" i="1"/>
  <c r="L1001" i="1"/>
  <c r="M1001" i="1" s="1"/>
  <c r="K1001" i="1"/>
  <c r="J1001" i="1"/>
  <c r="G1001" i="1"/>
  <c r="U1000" i="1"/>
  <c r="Q1000" i="1"/>
  <c r="J1000" i="1"/>
  <c r="G1000" i="1"/>
  <c r="K1000" i="1" s="1"/>
  <c r="U999" i="1"/>
  <c r="Q999" i="1"/>
  <c r="J999" i="1"/>
  <c r="G999" i="1"/>
  <c r="K999" i="1" s="1"/>
  <c r="U998" i="1"/>
  <c r="Q998" i="1"/>
  <c r="J998" i="1"/>
  <c r="G998" i="1"/>
  <c r="K998" i="1" s="1"/>
  <c r="L998" i="1" s="1"/>
  <c r="M998" i="1" s="1"/>
  <c r="U997" i="1"/>
  <c r="Q997" i="1"/>
  <c r="J997" i="1"/>
  <c r="G997" i="1"/>
  <c r="K997" i="1" s="1"/>
  <c r="L997" i="1" s="1"/>
  <c r="M997" i="1" s="1"/>
  <c r="U996" i="1"/>
  <c r="Q996" i="1"/>
  <c r="J996" i="1"/>
  <c r="G996" i="1"/>
  <c r="K996" i="1" s="1"/>
  <c r="U995" i="1"/>
  <c r="Q995" i="1"/>
  <c r="J995" i="1"/>
  <c r="G995" i="1"/>
  <c r="K995" i="1" s="1"/>
  <c r="L995" i="1" s="1"/>
  <c r="M995" i="1" s="1"/>
  <c r="U994" i="1"/>
  <c r="Q994" i="1"/>
  <c r="J994" i="1"/>
  <c r="G994" i="1"/>
  <c r="K994" i="1" s="1"/>
  <c r="L994" i="1" s="1"/>
  <c r="M994" i="1" s="1"/>
  <c r="U993" i="1"/>
  <c r="Q993" i="1"/>
  <c r="K993" i="1"/>
  <c r="J993" i="1"/>
  <c r="L993" i="1" s="1"/>
  <c r="M993" i="1" s="1"/>
  <c r="G993" i="1"/>
  <c r="U992" i="1"/>
  <c r="Q992" i="1"/>
  <c r="J992" i="1"/>
  <c r="L992" i="1" s="1"/>
  <c r="M992" i="1" s="1"/>
  <c r="G992" i="1"/>
  <c r="K992" i="1" s="1"/>
  <c r="U991" i="1"/>
  <c r="Q991" i="1"/>
  <c r="J991" i="1"/>
  <c r="G991" i="1"/>
  <c r="K991" i="1" s="1"/>
  <c r="L991" i="1" s="1"/>
  <c r="M991" i="1" s="1"/>
  <c r="U990" i="1"/>
  <c r="Q990" i="1"/>
  <c r="L990" i="1"/>
  <c r="M990" i="1" s="1"/>
  <c r="K990" i="1"/>
  <c r="J990" i="1"/>
  <c r="G990" i="1"/>
  <c r="U989" i="1"/>
  <c r="Q989" i="1"/>
  <c r="K989" i="1"/>
  <c r="L989" i="1" s="1"/>
  <c r="M989" i="1" s="1"/>
  <c r="J989" i="1"/>
  <c r="G989" i="1"/>
  <c r="U988" i="1"/>
  <c r="Q988" i="1"/>
  <c r="J988" i="1"/>
  <c r="G988" i="1"/>
  <c r="K988" i="1" s="1"/>
  <c r="U987" i="1"/>
  <c r="Q987" i="1"/>
  <c r="J987" i="1"/>
  <c r="L987" i="1" s="1"/>
  <c r="M987" i="1" s="1"/>
  <c r="G987" i="1"/>
  <c r="K987" i="1" s="1"/>
  <c r="U986" i="1"/>
  <c r="Q986" i="1"/>
  <c r="L986" i="1"/>
  <c r="M986" i="1" s="1"/>
  <c r="K986" i="1"/>
  <c r="J986" i="1"/>
  <c r="G986" i="1"/>
  <c r="U985" i="1"/>
  <c r="Q985" i="1"/>
  <c r="K985" i="1"/>
  <c r="J985" i="1"/>
  <c r="L985" i="1" s="1"/>
  <c r="M985" i="1" s="1"/>
  <c r="G985" i="1"/>
  <c r="U984" i="1"/>
  <c r="Q984" i="1"/>
  <c r="K984" i="1"/>
  <c r="J984" i="1"/>
  <c r="L984" i="1" s="1"/>
  <c r="M984" i="1" s="1"/>
  <c r="G984" i="1"/>
  <c r="U983" i="1"/>
  <c r="Q983" i="1"/>
  <c r="J983" i="1"/>
  <c r="G983" i="1"/>
  <c r="K983" i="1" s="1"/>
  <c r="L983" i="1" s="1"/>
  <c r="M983" i="1" s="1"/>
  <c r="U982" i="1"/>
  <c r="Q982" i="1"/>
  <c r="J982" i="1"/>
  <c r="G982" i="1"/>
  <c r="K982" i="1" s="1"/>
  <c r="L982" i="1" s="1"/>
  <c r="M982" i="1" s="1"/>
  <c r="U981" i="1"/>
  <c r="Q981" i="1"/>
  <c r="K981" i="1"/>
  <c r="J981" i="1"/>
  <c r="L981" i="1" s="1"/>
  <c r="M981" i="1" s="1"/>
  <c r="G981" i="1"/>
  <c r="U980" i="1"/>
  <c r="Q980" i="1"/>
  <c r="J980" i="1"/>
  <c r="L980" i="1" s="1"/>
  <c r="M980" i="1" s="1"/>
  <c r="G980" i="1"/>
  <c r="K980" i="1" s="1"/>
  <c r="U979" i="1"/>
  <c r="Q979" i="1"/>
  <c r="J979" i="1"/>
  <c r="G979" i="1"/>
  <c r="K979" i="1" s="1"/>
  <c r="L979" i="1" s="1"/>
  <c r="M979" i="1" s="1"/>
  <c r="U978" i="1"/>
  <c r="Q978" i="1"/>
  <c r="L978" i="1"/>
  <c r="M978" i="1" s="1"/>
  <c r="K978" i="1"/>
  <c r="J978" i="1"/>
  <c r="G978" i="1"/>
  <c r="U977" i="1"/>
  <c r="Q977" i="1"/>
  <c r="K977" i="1"/>
  <c r="L977" i="1" s="1"/>
  <c r="M977" i="1" s="1"/>
  <c r="J977" i="1"/>
  <c r="G977" i="1"/>
  <c r="U976" i="1"/>
  <c r="Q976" i="1"/>
  <c r="J976" i="1"/>
  <c r="G976" i="1"/>
  <c r="K976" i="1" s="1"/>
  <c r="U975" i="1"/>
  <c r="Q975" i="1"/>
  <c r="J975" i="1"/>
  <c r="G975" i="1"/>
  <c r="K975" i="1" s="1"/>
  <c r="U974" i="1"/>
  <c r="Q974" i="1"/>
  <c r="L974" i="1"/>
  <c r="M974" i="1" s="1"/>
  <c r="K974" i="1"/>
  <c r="J974" i="1"/>
  <c r="G974" i="1"/>
  <c r="U973" i="1"/>
  <c r="Q973" i="1"/>
  <c r="K973" i="1"/>
  <c r="J973" i="1"/>
  <c r="L973" i="1" s="1"/>
  <c r="M973" i="1" s="1"/>
  <c r="G973" i="1"/>
  <c r="U972" i="1"/>
  <c r="Q972" i="1"/>
  <c r="K972" i="1"/>
  <c r="J972" i="1"/>
  <c r="L972" i="1" s="1"/>
  <c r="M972" i="1" s="1"/>
  <c r="G972" i="1"/>
  <c r="U971" i="1"/>
  <c r="Q971" i="1"/>
  <c r="J971" i="1"/>
  <c r="G971" i="1"/>
  <c r="K971" i="1" s="1"/>
  <c r="L971" i="1" s="1"/>
  <c r="M971" i="1" s="1"/>
  <c r="U970" i="1"/>
  <c r="Q970" i="1"/>
  <c r="J970" i="1"/>
  <c r="G970" i="1"/>
  <c r="K970" i="1" s="1"/>
  <c r="L970" i="1" s="1"/>
  <c r="M970" i="1" s="1"/>
  <c r="U969" i="1"/>
  <c r="Q969" i="1"/>
  <c r="K969" i="1"/>
  <c r="J969" i="1"/>
  <c r="L969" i="1" s="1"/>
  <c r="M969" i="1" s="1"/>
  <c r="G969" i="1"/>
  <c r="U968" i="1"/>
  <c r="Q968" i="1"/>
  <c r="J968" i="1"/>
  <c r="G968" i="1"/>
  <c r="K968" i="1" s="1"/>
  <c r="U967" i="1"/>
  <c r="Q967" i="1"/>
  <c r="J967" i="1"/>
  <c r="G967" i="1"/>
  <c r="K967" i="1" s="1"/>
  <c r="L967" i="1" s="1"/>
  <c r="M967" i="1" s="1"/>
  <c r="U966" i="1"/>
  <c r="Q966" i="1"/>
  <c r="L966" i="1"/>
  <c r="M966" i="1" s="1"/>
  <c r="K966" i="1"/>
  <c r="J966" i="1"/>
  <c r="G966" i="1"/>
  <c r="U965" i="1"/>
  <c r="Q965" i="1"/>
  <c r="K965" i="1"/>
  <c r="L965" i="1" s="1"/>
  <c r="M965" i="1" s="1"/>
  <c r="J965" i="1"/>
  <c r="G965" i="1"/>
  <c r="U964" i="1"/>
  <c r="Q964" i="1"/>
  <c r="J964" i="1"/>
  <c r="L964" i="1" s="1"/>
  <c r="M964" i="1" s="1"/>
  <c r="G964" i="1"/>
  <c r="K964" i="1" s="1"/>
  <c r="U963" i="1"/>
  <c r="Q963" i="1"/>
  <c r="J963" i="1"/>
  <c r="G963" i="1"/>
  <c r="K963" i="1" s="1"/>
  <c r="U962" i="1"/>
  <c r="Q962" i="1"/>
  <c r="L962" i="1"/>
  <c r="M962" i="1" s="1"/>
  <c r="K962" i="1"/>
  <c r="J962" i="1"/>
  <c r="G962" i="1"/>
  <c r="U961" i="1"/>
  <c r="Q961" i="1"/>
  <c r="K961" i="1"/>
  <c r="L961" i="1" s="1"/>
  <c r="M961" i="1" s="1"/>
  <c r="J961" i="1"/>
  <c r="G961" i="1"/>
  <c r="U960" i="1"/>
  <c r="Q960" i="1"/>
  <c r="K960" i="1"/>
  <c r="J960" i="1"/>
  <c r="L960" i="1" s="1"/>
  <c r="M960" i="1" s="1"/>
  <c r="G960" i="1"/>
  <c r="U959" i="1"/>
  <c r="Q959" i="1"/>
  <c r="J959" i="1"/>
  <c r="G959" i="1"/>
  <c r="K959" i="1" s="1"/>
  <c r="L959" i="1" s="1"/>
  <c r="M959" i="1" s="1"/>
  <c r="U958" i="1"/>
  <c r="Q958" i="1"/>
  <c r="J958" i="1"/>
  <c r="G958" i="1"/>
  <c r="K958" i="1" s="1"/>
  <c r="L958" i="1" s="1"/>
  <c r="M958" i="1" s="1"/>
  <c r="U957" i="1"/>
  <c r="Q957" i="1"/>
  <c r="K957" i="1"/>
  <c r="J957" i="1"/>
  <c r="L957" i="1" s="1"/>
  <c r="M957" i="1" s="1"/>
  <c r="G957" i="1"/>
  <c r="U956" i="1"/>
  <c r="Q956" i="1"/>
  <c r="K956" i="1"/>
  <c r="J956" i="1"/>
  <c r="L956" i="1" s="1"/>
  <c r="M956" i="1" s="1"/>
  <c r="G956" i="1"/>
  <c r="U955" i="1"/>
  <c r="Q955" i="1"/>
  <c r="J955" i="1"/>
  <c r="G955" i="1"/>
  <c r="K955" i="1" s="1"/>
  <c r="L955" i="1" s="1"/>
  <c r="M955" i="1" s="1"/>
  <c r="U954" i="1"/>
  <c r="Q954" i="1"/>
  <c r="L954" i="1"/>
  <c r="M954" i="1" s="1"/>
  <c r="K954" i="1"/>
  <c r="J954" i="1"/>
  <c r="G954" i="1"/>
  <c r="U953" i="1"/>
  <c r="Q953" i="1"/>
  <c r="K953" i="1"/>
  <c r="L953" i="1" s="1"/>
  <c r="M953" i="1" s="1"/>
  <c r="J953" i="1"/>
  <c r="G953" i="1"/>
  <c r="U952" i="1"/>
  <c r="Q952" i="1"/>
  <c r="J952" i="1"/>
  <c r="L952" i="1" s="1"/>
  <c r="M952" i="1" s="1"/>
  <c r="G952" i="1"/>
  <c r="K952" i="1" s="1"/>
  <c r="U951" i="1"/>
  <c r="Q951" i="1"/>
  <c r="J951" i="1"/>
  <c r="L951" i="1" s="1"/>
  <c r="M951" i="1" s="1"/>
  <c r="G951" i="1"/>
  <c r="K951" i="1" s="1"/>
  <c r="U950" i="1"/>
  <c r="Q950" i="1"/>
  <c r="L950" i="1"/>
  <c r="M950" i="1" s="1"/>
  <c r="K950" i="1"/>
  <c r="J950" i="1"/>
  <c r="G950" i="1"/>
  <c r="U949" i="1"/>
  <c r="Q949" i="1"/>
  <c r="K949" i="1"/>
  <c r="L949" i="1" s="1"/>
  <c r="M949" i="1" s="1"/>
  <c r="J949" i="1"/>
  <c r="G949" i="1"/>
  <c r="U948" i="1"/>
  <c r="Q948" i="1"/>
  <c r="K948" i="1"/>
  <c r="J948" i="1"/>
  <c r="L948" i="1" s="1"/>
  <c r="M948" i="1" s="1"/>
  <c r="G948" i="1"/>
  <c r="U947" i="1"/>
  <c r="Q947" i="1"/>
  <c r="J947" i="1"/>
  <c r="G947" i="1"/>
  <c r="K947" i="1" s="1"/>
  <c r="L947" i="1" s="1"/>
  <c r="M947" i="1" s="1"/>
  <c r="U946" i="1"/>
  <c r="Q946" i="1"/>
  <c r="J946" i="1"/>
  <c r="G946" i="1"/>
  <c r="K946" i="1" s="1"/>
  <c r="L946" i="1" s="1"/>
  <c r="M946" i="1" s="1"/>
  <c r="U945" i="1"/>
  <c r="Q945" i="1"/>
  <c r="K945" i="1"/>
  <c r="J945" i="1"/>
  <c r="L945" i="1" s="1"/>
  <c r="M945" i="1" s="1"/>
  <c r="G945" i="1"/>
  <c r="U944" i="1"/>
  <c r="Q944" i="1"/>
  <c r="K944" i="1"/>
  <c r="J944" i="1"/>
  <c r="L944" i="1" s="1"/>
  <c r="M944" i="1" s="1"/>
  <c r="G944" i="1"/>
  <c r="U943" i="1"/>
  <c r="Q943" i="1"/>
  <c r="J943" i="1"/>
  <c r="G943" i="1"/>
  <c r="K943" i="1" s="1"/>
  <c r="L943" i="1" s="1"/>
  <c r="M943" i="1" s="1"/>
  <c r="U942" i="1"/>
  <c r="Q942" i="1"/>
  <c r="L942" i="1"/>
  <c r="M942" i="1" s="1"/>
  <c r="K942" i="1"/>
  <c r="J942" i="1"/>
  <c r="G942" i="1"/>
  <c r="U941" i="1"/>
  <c r="Q941" i="1"/>
  <c r="K941" i="1"/>
  <c r="L941" i="1" s="1"/>
  <c r="M941" i="1" s="1"/>
  <c r="J941" i="1"/>
  <c r="G941" i="1"/>
  <c r="U940" i="1"/>
  <c r="Q940" i="1"/>
  <c r="J940" i="1"/>
  <c r="G940" i="1"/>
  <c r="K940" i="1" s="1"/>
  <c r="U939" i="1"/>
  <c r="Q939" i="1"/>
  <c r="J939" i="1"/>
  <c r="G939" i="1"/>
  <c r="K939" i="1" s="1"/>
  <c r="U938" i="1"/>
  <c r="Q938" i="1"/>
  <c r="L938" i="1"/>
  <c r="M938" i="1" s="1"/>
  <c r="K938" i="1"/>
  <c r="J938" i="1"/>
  <c r="G938" i="1"/>
  <c r="U937" i="1"/>
  <c r="Q937" i="1"/>
  <c r="K937" i="1"/>
  <c r="L937" i="1" s="1"/>
  <c r="M937" i="1" s="1"/>
  <c r="J937" i="1"/>
  <c r="G937" i="1"/>
  <c r="U936" i="1"/>
  <c r="Q936" i="1"/>
  <c r="K936" i="1"/>
  <c r="J936" i="1"/>
  <c r="L936" i="1" s="1"/>
  <c r="M936" i="1" s="1"/>
  <c r="G936" i="1"/>
  <c r="U935" i="1"/>
  <c r="Q935" i="1"/>
  <c r="J935" i="1"/>
  <c r="G935" i="1"/>
  <c r="K935" i="1" s="1"/>
  <c r="L935" i="1" s="1"/>
  <c r="M935" i="1" s="1"/>
  <c r="U934" i="1"/>
  <c r="Q934" i="1"/>
  <c r="J934" i="1"/>
  <c r="G934" i="1"/>
  <c r="K934" i="1" s="1"/>
  <c r="L934" i="1" s="1"/>
  <c r="M934" i="1" s="1"/>
  <c r="U933" i="1"/>
  <c r="Q933" i="1"/>
  <c r="K933" i="1"/>
  <c r="J933" i="1"/>
  <c r="L933" i="1" s="1"/>
  <c r="M933" i="1" s="1"/>
  <c r="G933" i="1"/>
  <c r="U932" i="1"/>
  <c r="Q932" i="1"/>
  <c r="K932" i="1"/>
  <c r="J932" i="1"/>
  <c r="L932" i="1" s="1"/>
  <c r="M932" i="1" s="1"/>
  <c r="G932" i="1"/>
  <c r="U931" i="1"/>
  <c r="Q931" i="1"/>
  <c r="J931" i="1"/>
  <c r="G931" i="1"/>
  <c r="K931" i="1" s="1"/>
  <c r="L931" i="1" s="1"/>
  <c r="M931" i="1" s="1"/>
  <c r="U930" i="1"/>
  <c r="Q930" i="1"/>
  <c r="L930" i="1"/>
  <c r="M930" i="1" s="1"/>
  <c r="K930" i="1"/>
  <c r="J930" i="1"/>
  <c r="G930" i="1"/>
  <c r="U929" i="1"/>
  <c r="Q929" i="1"/>
  <c r="K929" i="1"/>
  <c r="L929" i="1" s="1"/>
  <c r="M929" i="1" s="1"/>
  <c r="J929" i="1"/>
  <c r="G929" i="1"/>
  <c r="U928" i="1"/>
  <c r="Q928" i="1"/>
  <c r="J928" i="1"/>
  <c r="G928" i="1"/>
  <c r="K928" i="1" s="1"/>
  <c r="U927" i="1"/>
  <c r="Q927" i="1"/>
  <c r="J927" i="1"/>
  <c r="L927" i="1" s="1"/>
  <c r="M927" i="1" s="1"/>
  <c r="G927" i="1"/>
  <c r="K927" i="1" s="1"/>
  <c r="U926" i="1"/>
  <c r="Q926" i="1"/>
  <c r="L926" i="1"/>
  <c r="M926" i="1" s="1"/>
  <c r="K926" i="1"/>
  <c r="J926" i="1"/>
  <c r="G926" i="1"/>
  <c r="U925" i="1"/>
  <c r="Q925" i="1"/>
  <c r="K925" i="1"/>
  <c r="L925" i="1" s="1"/>
  <c r="M925" i="1" s="1"/>
  <c r="J925" i="1"/>
  <c r="G925" i="1"/>
  <c r="U924" i="1"/>
  <c r="Q924" i="1"/>
  <c r="K924" i="1"/>
  <c r="J924" i="1"/>
  <c r="L924" i="1" s="1"/>
  <c r="M924" i="1" s="1"/>
  <c r="G924" i="1"/>
  <c r="U923" i="1"/>
  <c r="Q923" i="1"/>
  <c r="J923" i="1"/>
  <c r="G923" i="1"/>
  <c r="K923" i="1" s="1"/>
  <c r="L923" i="1" s="1"/>
  <c r="M923" i="1" s="1"/>
  <c r="U922" i="1"/>
  <c r="Q922" i="1"/>
  <c r="J922" i="1"/>
  <c r="G922" i="1"/>
  <c r="K922" i="1" s="1"/>
  <c r="L922" i="1" s="1"/>
  <c r="M922" i="1" s="1"/>
  <c r="U921" i="1"/>
  <c r="Q921" i="1"/>
  <c r="K921" i="1"/>
  <c r="J921" i="1"/>
  <c r="L921" i="1" s="1"/>
  <c r="M921" i="1" s="1"/>
  <c r="G921" i="1"/>
  <c r="U920" i="1"/>
  <c r="Q920" i="1"/>
  <c r="K920" i="1"/>
  <c r="J920" i="1"/>
  <c r="L920" i="1" s="1"/>
  <c r="M920" i="1" s="1"/>
  <c r="G920" i="1"/>
  <c r="U919" i="1"/>
  <c r="Q919" i="1"/>
  <c r="J919" i="1"/>
  <c r="G919" i="1"/>
  <c r="K919" i="1" s="1"/>
  <c r="L919" i="1" s="1"/>
  <c r="M919" i="1" s="1"/>
  <c r="U918" i="1"/>
  <c r="Q918" i="1"/>
  <c r="L918" i="1"/>
  <c r="M918" i="1" s="1"/>
  <c r="K918" i="1"/>
  <c r="J918" i="1"/>
  <c r="G918" i="1"/>
  <c r="U917" i="1"/>
  <c r="Q917" i="1"/>
  <c r="K917" i="1"/>
  <c r="L917" i="1" s="1"/>
  <c r="M917" i="1" s="1"/>
  <c r="J917" i="1"/>
  <c r="G917" i="1"/>
  <c r="U916" i="1"/>
  <c r="Q916" i="1"/>
  <c r="J916" i="1"/>
  <c r="L916" i="1" s="1"/>
  <c r="M916" i="1" s="1"/>
  <c r="G916" i="1"/>
  <c r="K916" i="1" s="1"/>
  <c r="U915" i="1"/>
  <c r="Q915" i="1"/>
  <c r="J915" i="1"/>
  <c r="G915" i="1"/>
  <c r="K915" i="1" s="1"/>
  <c r="U914" i="1"/>
  <c r="Q914" i="1"/>
  <c r="L914" i="1"/>
  <c r="M914" i="1" s="1"/>
  <c r="K914" i="1"/>
  <c r="J914" i="1"/>
  <c r="G914" i="1"/>
  <c r="U913" i="1"/>
  <c r="Q913" i="1"/>
  <c r="K913" i="1"/>
  <c r="L913" i="1" s="1"/>
  <c r="M913" i="1" s="1"/>
  <c r="J913" i="1"/>
  <c r="G913" i="1"/>
  <c r="U912" i="1"/>
  <c r="Q912" i="1"/>
  <c r="K912" i="1"/>
  <c r="J912" i="1"/>
  <c r="L912" i="1" s="1"/>
  <c r="M912" i="1" s="1"/>
  <c r="G912" i="1"/>
  <c r="U911" i="1"/>
  <c r="Q911" i="1"/>
  <c r="J911" i="1"/>
  <c r="L911" i="1" s="1"/>
  <c r="M911" i="1" s="1"/>
  <c r="G911" i="1"/>
  <c r="K911" i="1" s="1"/>
  <c r="U910" i="1"/>
  <c r="Q910" i="1"/>
  <c r="J910" i="1"/>
  <c r="G910" i="1"/>
  <c r="K910" i="1" s="1"/>
  <c r="L910" i="1" s="1"/>
  <c r="M910" i="1" s="1"/>
  <c r="U909" i="1"/>
  <c r="Q909" i="1"/>
  <c r="K909" i="1"/>
  <c r="J909" i="1"/>
  <c r="L909" i="1" s="1"/>
  <c r="M909" i="1" s="1"/>
  <c r="G909" i="1"/>
  <c r="U908" i="1"/>
  <c r="Q908" i="1"/>
  <c r="K908" i="1"/>
  <c r="J908" i="1"/>
  <c r="L908" i="1" s="1"/>
  <c r="M908" i="1" s="1"/>
  <c r="G908" i="1"/>
  <c r="U907" i="1"/>
  <c r="Q907" i="1"/>
  <c r="J907" i="1"/>
  <c r="G907" i="1"/>
  <c r="K907" i="1" s="1"/>
  <c r="L907" i="1" s="1"/>
  <c r="M907" i="1" s="1"/>
  <c r="U906" i="1"/>
  <c r="Q906" i="1"/>
  <c r="L906" i="1"/>
  <c r="M906" i="1" s="1"/>
  <c r="K906" i="1"/>
  <c r="J906" i="1"/>
  <c r="G906" i="1"/>
  <c r="U905" i="1"/>
  <c r="Q905" i="1"/>
  <c r="K905" i="1"/>
  <c r="L905" i="1" s="1"/>
  <c r="M905" i="1" s="1"/>
  <c r="J905" i="1"/>
  <c r="G905" i="1"/>
  <c r="U904" i="1"/>
  <c r="Q904" i="1"/>
  <c r="J904" i="1"/>
  <c r="L904" i="1" s="1"/>
  <c r="M904" i="1" s="1"/>
  <c r="G904" i="1"/>
  <c r="K904" i="1" s="1"/>
  <c r="U903" i="1"/>
  <c r="Q903" i="1"/>
  <c r="J903" i="1"/>
  <c r="L903" i="1" s="1"/>
  <c r="M903" i="1" s="1"/>
  <c r="G903" i="1"/>
  <c r="K903" i="1" s="1"/>
  <c r="U902" i="1"/>
  <c r="Q902" i="1"/>
  <c r="L902" i="1"/>
  <c r="M902" i="1" s="1"/>
  <c r="K902" i="1"/>
  <c r="J902" i="1"/>
  <c r="G902" i="1"/>
  <c r="U901" i="1"/>
  <c r="Q901" i="1"/>
  <c r="K901" i="1"/>
  <c r="L901" i="1" s="1"/>
  <c r="M901" i="1" s="1"/>
  <c r="J901" i="1"/>
  <c r="G901" i="1"/>
  <c r="U900" i="1"/>
  <c r="Q900" i="1"/>
  <c r="K900" i="1"/>
  <c r="J900" i="1"/>
  <c r="L900" i="1" s="1"/>
  <c r="M900" i="1" s="1"/>
  <c r="G900" i="1"/>
  <c r="U899" i="1"/>
  <c r="Q899" i="1"/>
  <c r="J899" i="1"/>
  <c r="L899" i="1" s="1"/>
  <c r="M899" i="1" s="1"/>
  <c r="G899" i="1"/>
  <c r="K899" i="1" s="1"/>
  <c r="U898" i="1"/>
  <c r="Q898" i="1"/>
  <c r="J898" i="1"/>
  <c r="G898" i="1"/>
  <c r="K898" i="1" s="1"/>
  <c r="L898" i="1" s="1"/>
  <c r="M898" i="1" s="1"/>
  <c r="U897" i="1"/>
  <c r="Q897" i="1"/>
  <c r="K897" i="1"/>
  <c r="J897" i="1"/>
  <c r="L897" i="1" s="1"/>
  <c r="M897" i="1" s="1"/>
  <c r="G897" i="1"/>
  <c r="U896" i="1"/>
  <c r="Q896" i="1"/>
  <c r="K896" i="1"/>
  <c r="J896" i="1"/>
  <c r="L896" i="1" s="1"/>
  <c r="M896" i="1" s="1"/>
  <c r="G896" i="1"/>
  <c r="U895" i="1"/>
  <c r="Q895" i="1"/>
  <c r="J895" i="1"/>
  <c r="G895" i="1"/>
  <c r="K895" i="1" s="1"/>
  <c r="L895" i="1" s="1"/>
  <c r="M895" i="1" s="1"/>
  <c r="U894" i="1"/>
  <c r="Q894" i="1"/>
  <c r="J894" i="1"/>
  <c r="G894" i="1"/>
  <c r="K894" i="1" s="1"/>
  <c r="L894" i="1" s="1"/>
  <c r="M894" i="1" s="1"/>
  <c r="U893" i="1"/>
  <c r="Q893" i="1"/>
  <c r="K893" i="1"/>
  <c r="L893" i="1" s="1"/>
  <c r="M893" i="1" s="1"/>
  <c r="J893" i="1"/>
  <c r="G893" i="1"/>
  <c r="U892" i="1"/>
  <c r="Q892" i="1"/>
  <c r="J892" i="1"/>
  <c r="G892" i="1"/>
  <c r="K892" i="1" s="1"/>
  <c r="U891" i="1"/>
  <c r="Q891" i="1"/>
  <c r="J891" i="1"/>
  <c r="G891" i="1"/>
  <c r="K891" i="1" s="1"/>
  <c r="U890" i="1"/>
  <c r="Q890" i="1"/>
  <c r="L890" i="1"/>
  <c r="M890" i="1" s="1"/>
  <c r="K890" i="1"/>
  <c r="J890" i="1"/>
  <c r="G890" i="1"/>
  <c r="U889" i="1"/>
  <c r="Q889" i="1"/>
  <c r="K889" i="1"/>
  <c r="L889" i="1" s="1"/>
  <c r="M889" i="1" s="1"/>
  <c r="J889" i="1"/>
  <c r="G889" i="1"/>
  <c r="U888" i="1"/>
  <c r="Q888" i="1"/>
  <c r="K888" i="1"/>
  <c r="J888" i="1"/>
  <c r="L888" i="1" s="1"/>
  <c r="M888" i="1" s="1"/>
  <c r="G888" i="1"/>
  <c r="U887" i="1"/>
  <c r="Q887" i="1"/>
  <c r="J887" i="1"/>
  <c r="G887" i="1"/>
  <c r="K887" i="1" s="1"/>
  <c r="U886" i="1"/>
  <c r="Q886" i="1"/>
  <c r="J886" i="1"/>
  <c r="G886" i="1"/>
  <c r="K886" i="1" s="1"/>
  <c r="L886" i="1" s="1"/>
  <c r="M886" i="1" s="1"/>
  <c r="U885" i="1"/>
  <c r="Q885" i="1"/>
  <c r="K885" i="1"/>
  <c r="J885" i="1"/>
  <c r="L885" i="1" s="1"/>
  <c r="M885" i="1" s="1"/>
  <c r="G885" i="1"/>
  <c r="U884" i="1"/>
  <c r="Q884" i="1"/>
  <c r="K884" i="1"/>
  <c r="J884" i="1"/>
  <c r="L884" i="1" s="1"/>
  <c r="M884" i="1" s="1"/>
  <c r="G884" i="1"/>
  <c r="U883" i="1"/>
  <c r="Q883" i="1"/>
  <c r="J883" i="1"/>
  <c r="G883" i="1"/>
  <c r="K883" i="1" s="1"/>
  <c r="L883" i="1" s="1"/>
  <c r="M883" i="1" s="1"/>
  <c r="U882" i="1"/>
  <c r="Q882" i="1"/>
  <c r="J882" i="1"/>
  <c r="G882" i="1"/>
  <c r="K882" i="1" s="1"/>
  <c r="L882" i="1" s="1"/>
  <c r="M882" i="1" s="1"/>
  <c r="U881" i="1"/>
  <c r="Q881" i="1"/>
  <c r="K881" i="1"/>
  <c r="L881" i="1" s="1"/>
  <c r="M881" i="1" s="1"/>
  <c r="J881" i="1"/>
  <c r="G881" i="1"/>
  <c r="U880" i="1"/>
  <c r="Q880" i="1"/>
  <c r="J880" i="1"/>
  <c r="G880" i="1"/>
  <c r="K880" i="1" s="1"/>
  <c r="U879" i="1"/>
  <c r="Q879" i="1"/>
  <c r="J879" i="1"/>
  <c r="G879" i="1"/>
  <c r="K879" i="1" s="1"/>
  <c r="U878" i="1"/>
  <c r="Q878" i="1"/>
  <c r="L878" i="1"/>
  <c r="M878" i="1" s="1"/>
  <c r="K878" i="1"/>
  <c r="J878" i="1"/>
  <c r="G878" i="1"/>
  <c r="U877" i="1"/>
  <c r="Q877" i="1"/>
  <c r="K877" i="1"/>
  <c r="L877" i="1" s="1"/>
  <c r="M877" i="1" s="1"/>
  <c r="J877" i="1"/>
  <c r="G877" i="1"/>
  <c r="U876" i="1"/>
  <c r="Q876" i="1"/>
  <c r="K876" i="1"/>
  <c r="J876" i="1"/>
  <c r="L876" i="1" s="1"/>
  <c r="M876" i="1" s="1"/>
  <c r="G876" i="1"/>
  <c r="U875" i="1"/>
  <c r="Q875" i="1"/>
  <c r="J875" i="1"/>
  <c r="G875" i="1"/>
  <c r="K875" i="1" s="1"/>
  <c r="U874" i="1"/>
  <c r="Q874" i="1"/>
  <c r="J874" i="1"/>
  <c r="G874" i="1"/>
  <c r="K874" i="1" s="1"/>
  <c r="L874" i="1" s="1"/>
  <c r="M874" i="1" s="1"/>
  <c r="U873" i="1"/>
  <c r="Q873" i="1"/>
  <c r="K873" i="1"/>
  <c r="J873" i="1"/>
  <c r="L873" i="1" s="1"/>
  <c r="M873" i="1" s="1"/>
  <c r="G873" i="1"/>
  <c r="U872" i="1"/>
  <c r="Q872" i="1"/>
  <c r="K872" i="1"/>
  <c r="J872" i="1"/>
  <c r="L872" i="1" s="1"/>
  <c r="M872" i="1" s="1"/>
  <c r="G872" i="1"/>
  <c r="U871" i="1"/>
  <c r="Q871" i="1"/>
  <c r="J871" i="1"/>
  <c r="G871" i="1"/>
  <c r="K871" i="1" s="1"/>
  <c r="L871" i="1" s="1"/>
  <c r="M871" i="1" s="1"/>
  <c r="U870" i="1"/>
  <c r="Q870" i="1"/>
  <c r="J870" i="1"/>
  <c r="G870" i="1"/>
  <c r="K870" i="1" s="1"/>
  <c r="L870" i="1" s="1"/>
  <c r="M870" i="1" s="1"/>
  <c r="U869" i="1"/>
  <c r="Q869" i="1"/>
  <c r="K869" i="1"/>
  <c r="L869" i="1" s="1"/>
  <c r="M869" i="1" s="1"/>
  <c r="J869" i="1"/>
  <c r="G869" i="1"/>
  <c r="U868" i="1"/>
  <c r="Q868" i="1"/>
  <c r="J868" i="1"/>
  <c r="G868" i="1"/>
  <c r="K868" i="1" s="1"/>
  <c r="U867" i="1"/>
  <c r="Q867" i="1"/>
  <c r="J867" i="1"/>
  <c r="G867" i="1"/>
  <c r="K867" i="1" s="1"/>
  <c r="U866" i="1"/>
  <c r="Q866" i="1"/>
  <c r="L866" i="1"/>
  <c r="M866" i="1" s="1"/>
  <c r="K866" i="1"/>
  <c r="J866" i="1"/>
  <c r="G866" i="1"/>
  <c r="U865" i="1"/>
  <c r="Q865" i="1"/>
  <c r="K865" i="1"/>
  <c r="L865" i="1" s="1"/>
  <c r="M865" i="1" s="1"/>
  <c r="J865" i="1"/>
  <c r="G865" i="1"/>
  <c r="U864" i="1"/>
  <c r="Q864" i="1"/>
  <c r="K864" i="1"/>
  <c r="J864" i="1"/>
  <c r="L864" i="1" s="1"/>
  <c r="M864" i="1" s="1"/>
  <c r="G864" i="1"/>
  <c r="U863" i="1"/>
  <c r="Q863" i="1"/>
  <c r="J863" i="1"/>
  <c r="G863" i="1"/>
  <c r="K863" i="1" s="1"/>
  <c r="U862" i="1"/>
  <c r="Q862" i="1"/>
  <c r="J862" i="1"/>
  <c r="G862" i="1"/>
  <c r="K862" i="1" s="1"/>
  <c r="L862" i="1" s="1"/>
  <c r="M862" i="1" s="1"/>
  <c r="U861" i="1"/>
  <c r="Q861" i="1"/>
  <c r="K861" i="1"/>
  <c r="J861" i="1"/>
  <c r="L861" i="1" s="1"/>
  <c r="M861" i="1" s="1"/>
  <c r="G861" i="1"/>
  <c r="U860" i="1"/>
  <c r="Q860" i="1"/>
  <c r="K860" i="1"/>
  <c r="J860" i="1"/>
  <c r="L860" i="1" s="1"/>
  <c r="M860" i="1" s="1"/>
  <c r="G860" i="1"/>
  <c r="U859" i="1"/>
  <c r="Q859" i="1"/>
  <c r="J859" i="1"/>
  <c r="G859" i="1"/>
  <c r="K859" i="1" s="1"/>
  <c r="L859" i="1" s="1"/>
  <c r="M859" i="1" s="1"/>
  <c r="U858" i="1"/>
  <c r="Q858" i="1"/>
  <c r="J858" i="1"/>
  <c r="G858" i="1"/>
  <c r="K858" i="1" s="1"/>
  <c r="L858" i="1" s="1"/>
  <c r="M858" i="1" s="1"/>
  <c r="U857" i="1"/>
  <c r="Q857" i="1"/>
  <c r="K857" i="1"/>
  <c r="L857" i="1" s="1"/>
  <c r="M857" i="1" s="1"/>
  <c r="J857" i="1"/>
  <c r="G857" i="1"/>
  <c r="U856" i="1"/>
  <c r="Q856" i="1"/>
  <c r="J856" i="1"/>
  <c r="L856" i="1" s="1"/>
  <c r="M856" i="1" s="1"/>
  <c r="G856" i="1"/>
  <c r="K856" i="1" s="1"/>
  <c r="U855" i="1"/>
  <c r="Q855" i="1"/>
  <c r="J855" i="1"/>
  <c r="G855" i="1"/>
  <c r="K855" i="1" s="1"/>
  <c r="U854" i="1"/>
  <c r="Q854" i="1"/>
  <c r="L854" i="1"/>
  <c r="M854" i="1" s="1"/>
  <c r="K854" i="1"/>
  <c r="J854" i="1"/>
  <c r="G854" i="1"/>
  <c r="U853" i="1"/>
  <c r="Q853" i="1"/>
  <c r="K853" i="1"/>
  <c r="L853" i="1" s="1"/>
  <c r="M853" i="1" s="1"/>
  <c r="J853" i="1"/>
  <c r="G853" i="1"/>
  <c r="U852" i="1"/>
  <c r="Q852" i="1"/>
  <c r="K852" i="1"/>
  <c r="J852" i="1"/>
  <c r="L852" i="1" s="1"/>
  <c r="M852" i="1" s="1"/>
  <c r="G852" i="1"/>
  <c r="U851" i="1"/>
  <c r="Q851" i="1"/>
  <c r="J851" i="1"/>
  <c r="L851" i="1" s="1"/>
  <c r="M851" i="1" s="1"/>
  <c r="G851" i="1"/>
  <c r="K851" i="1" s="1"/>
  <c r="U850" i="1"/>
  <c r="Q850" i="1"/>
  <c r="J850" i="1"/>
  <c r="G850" i="1"/>
  <c r="K850" i="1" s="1"/>
  <c r="L850" i="1" s="1"/>
  <c r="M850" i="1" s="1"/>
  <c r="U849" i="1"/>
  <c r="Q849" i="1"/>
  <c r="K849" i="1"/>
  <c r="J849" i="1"/>
  <c r="L849" i="1" s="1"/>
  <c r="M849" i="1" s="1"/>
  <c r="G849" i="1"/>
  <c r="U848" i="1"/>
  <c r="Q848" i="1"/>
  <c r="K848" i="1"/>
  <c r="J848" i="1"/>
  <c r="L848" i="1" s="1"/>
  <c r="M848" i="1" s="1"/>
  <c r="G848" i="1"/>
  <c r="U847" i="1"/>
  <c r="Q847" i="1"/>
  <c r="J847" i="1"/>
  <c r="G847" i="1"/>
  <c r="K847" i="1" s="1"/>
  <c r="L847" i="1" s="1"/>
  <c r="M847" i="1" s="1"/>
  <c r="U846" i="1"/>
  <c r="Q846" i="1"/>
  <c r="J846" i="1"/>
  <c r="G846" i="1"/>
  <c r="K846" i="1" s="1"/>
  <c r="L846" i="1" s="1"/>
  <c r="M846" i="1" s="1"/>
  <c r="U845" i="1"/>
  <c r="Q845" i="1"/>
  <c r="K845" i="1"/>
  <c r="L845" i="1" s="1"/>
  <c r="M845" i="1" s="1"/>
  <c r="J845" i="1"/>
  <c r="G845" i="1"/>
  <c r="U844" i="1"/>
  <c r="Q844" i="1"/>
  <c r="J844" i="1"/>
  <c r="G844" i="1"/>
  <c r="K844" i="1" s="1"/>
  <c r="U843" i="1"/>
  <c r="Q843" i="1"/>
  <c r="J843" i="1"/>
  <c r="L843" i="1" s="1"/>
  <c r="M843" i="1" s="1"/>
  <c r="G843" i="1"/>
  <c r="K843" i="1" s="1"/>
  <c r="U842" i="1"/>
  <c r="Q842" i="1"/>
  <c r="L842" i="1"/>
  <c r="M842" i="1" s="1"/>
  <c r="K842" i="1"/>
  <c r="J842" i="1"/>
  <c r="G842" i="1"/>
  <c r="U841" i="1"/>
  <c r="Q841" i="1"/>
  <c r="K841" i="1"/>
  <c r="L841" i="1" s="1"/>
  <c r="M841" i="1" s="1"/>
  <c r="J841" i="1"/>
  <c r="G841" i="1"/>
  <c r="U840" i="1"/>
  <c r="Q840" i="1"/>
  <c r="J840" i="1"/>
  <c r="G840" i="1"/>
  <c r="K840" i="1" s="1"/>
  <c r="U839" i="1"/>
  <c r="Q839" i="1"/>
  <c r="J839" i="1"/>
  <c r="L839" i="1" s="1"/>
  <c r="M839" i="1" s="1"/>
  <c r="G839" i="1"/>
  <c r="K839" i="1" s="1"/>
  <c r="U838" i="1"/>
  <c r="Q838" i="1"/>
  <c r="J838" i="1"/>
  <c r="G838" i="1"/>
  <c r="K838" i="1" s="1"/>
  <c r="L838" i="1" s="1"/>
  <c r="M838" i="1" s="1"/>
  <c r="U837" i="1"/>
  <c r="Q837" i="1"/>
  <c r="K837" i="1"/>
  <c r="J837" i="1"/>
  <c r="L837" i="1" s="1"/>
  <c r="M837" i="1" s="1"/>
  <c r="G837" i="1"/>
  <c r="U836" i="1"/>
  <c r="Q836" i="1"/>
  <c r="K836" i="1"/>
  <c r="J836" i="1"/>
  <c r="L836" i="1" s="1"/>
  <c r="M836" i="1" s="1"/>
  <c r="G836" i="1"/>
  <c r="U835" i="1"/>
  <c r="Q835" i="1"/>
  <c r="J835" i="1"/>
  <c r="G835" i="1"/>
  <c r="K835" i="1" s="1"/>
  <c r="L835" i="1" s="1"/>
  <c r="M835" i="1" s="1"/>
  <c r="U834" i="1"/>
  <c r="Q834" i="1"/>
  <c r="J834" i="1"/>
  <c r="G834" i="1"/>
  <c r="K834" i="1" s="1"/>
  <c r="L834" i="1" s="1"/>
  <c r="M834" i="1" s="1"/>
  <c r="U833" i="1"/>
  <c r="Q833" i="1"/>
  <c r="K833" i="1"/>
  <c r="J833" i="1"/>
  <c r="L833" i="1" s="1"/>
  <c r="M833" i="1" s="1"/>
  <c r="G833" i="1"/>
  <c r="U832" i="1"/>
  <c r="Q832" i="1"/>
  <c r="J832" i="1"/>
  <c r="L832" i="1" s="1"/>
  <c r="M832" i="1" s="1"/>
  <c r="G832" i="1"/>
  <c r="K832" i="1" s="1"/>
  <c r="U831" i="1"/>
  <c r="Q831" i="1"/>
  <c r="J831" i="1"/>
  <c r="G831" i="1"/>
  <c r="K831" i="1" s="1"/>
  <c r="U830" i="1"/>
  <c r="Q830" i="1"/>
  <c r="L830" i="1"/>
  <c r="M830" i="1" s="1"/>
  <c r="K830" i="1"/>
  <c r="J830" i="1"/>
  <c r="G830" i="1"/>
  <c r="U829" i="1"/>
  <c r="Q829" i="1"/>
  <c r="K829" i="1"/>
  <c r="L829" i="1" s="1"/>
  <c r="M829" i="1" s="1"/>
  <c r="J829" i="1"/>
  <c r="G829" i="1"/>
  <c r="U828" i="1"/>
  <c r="Q828" i="1"/>
  <c r="J828" i="1"/>
  <c r="L828" i="1" s="1"/>
  <c r="M828" i="1" s="1"/>
  <c r="G828" i="1"/>
  <c r="K828" i="1" s="1"/>
  <c r="U827" i="1"/>
  <c r="Q827" i="1"/>
  <c r="J827" i="1"/>
  <c r="L827" i="1" s="1"/>
  <c r="M827" i="1" s="1"/>
  <c r="G827" i="1"/>
  <c r="K827" i="1" s="1"/>
  <c r="U826" i="1"/>
  <c r="Q826" i="1"/>
  <c r="J826" i="1"/>
  <c r="G826" i="1"/>
  <c r="K826" i="1" s="1"/>
  <c r="L826" i="1" s="1"/>
  <c r="M826" i="1" s="1"/>
  <c r="U825" i="1"/>
  <c r="Q825" i="1"/>
  <c r="K825" i="1"/>
  <c r="J825" i="1"/>
  <c r="L825" i="1" s="1"/>
  <c r="M825" i="1" s="1"/>
  <c r="G825" i="1"/>
  <c r="U824" i="1"/>
  <c r="Q824" i="1"/>
  <c r="K824" i="1"/>
  <c r="J824" i="1"/>
  <c r="L824" i="1" s="1"/>
  <c r="M824" i="1" s="1"/>
  <c r="G824" i="1"/>
  <c r="U823" i="1"/>
  <c r="Q823" i="1"/>
  <c r="J823" i="1"/>
  <c r="G823" i="1"/>
  <c r="K823" i="1" s="1"/>
  <c r="L823" i="1" s="1"/>
  <c r="M823" i="1" s="1"/>
  <c r="U822" i="1"/>
  <c r="Q822" i="1"/>
  <c r="J822" i="1"/>
  <c r="G822" i="1"/>
  <c r="K822" i="1" s="1"/>
  <c r="L822" i="1" s="1"/>
  <c r="M822" i="1" s="1"/>
  <c r="U821" i="1"/>
  <c r="Q821" i="1"/>
  <c r="K821" i="1"/>
  <c r="J821" i="1"/>
  <c r="L821" i="1" s="1"/>
  <c r="M821" i="1" s="1"/>
  <c r="G821" i="1"/>
  <c r="U820" i="1"/>
  <c r="Q820" i="1"/>
  <c r="J820" i="1"/>
  <c r="G820" i="1"/>
  <c r="K820" i="1" s="1"/>
  <c r="U819" i="1"/>
  <c r="Q819" i="1"/>
  <c r="J819" i="1"/>
  <c r="L819" i="1" s="1"/>
  <c r="M819" i="1" s="1"/>
  <c r="G819" i="1"/>
  <c r="K819" i="1" s="1"/>
  <c r="U818" i="1"/>
  <c r="Q818" i="1"/>
  <c r="L818" i="1"/>
  <c r="M818" i="1" s="1"/>
  <c r="K818" i="1"/>
  <c r="J818" i="1"/>
  <c r="G818" i="1"/>
  <c r="U817" i="1"/>
  <c r="Q817" i="1"/>
  <c r="L817" i="1"/>
  <c r="M817" i="1" s="1"/>
  <c r="K817" i="1"/>
  <c r="J817" i="1"/>
  <c r="G817" i="1"/>
  <c r="U816" i="1"/>
  <c r="Q816" i="1"/>
  <c r="J816" i="1"/>
  <c r="G816" i="1"/>
  <c r="K816" i="1" s="1"/>
  <c r="U815" i="1"/>
  <c r="Q815" i="1"/>
  <c r="J815" i="1"/>
  <c r="G815" i="1"/>
  <c r="K815" i="1" s="1"/>
  <c r="U814" i="1"/>
  <c r="Q814" i="1"/>
  <c r="L814" i="1"/>
  <c r="M814" i="1" s="1"/>
  <c r="J814" i="1"/>
  <c r="G814" i="1"/>
  <c r="K814" i="1" s="1"/>
  <c r="U813" i="1"/>
  <c r="Q813" i="1"/>
  <c r="L813" i="1"/>
  <c r="M813" i="1" s="1"/>
  <c r="K813" i="1"/>
  <c r="J813" i="1"/>
  <c r="G813" i="1"/>
  <c r="U812" i="1"/>
  <c r="Q812" i="1"/>
  <c r="K812" i="1"/>
  <c r="J812" i="1"/>
  <c r="L812" i="1" s="1"/>
  <c r="M812" i="1" s="1"/>
  <c r="G812" i="1"/>
  <c r="U811" i="1"/>
  <c r="Q811" i="1"/>
  <c r="J811" i="1"/>
  <c r="G811" i="1"/>
  <c r="K811" i="1" s="1"/>
  <c r="L811" i="1" s="1"/>
  <c r="M811" i="1" s="1"/>
  <c r="U810" i="1"/>
  <c r="Q810" i="1"/>
  <c r="J810" i="1"/>
  <c r="G810" i="1"/>
  <c r="K810" i="1" s="1"/>
  <c r="L810" i="1" s="1"/>
  <c r="M810" i="1" s="1"/>
  <c r="U809" i="1"/>
  <c r="Q809" i="1"/>
  <c r="J809" i="1"/>
  <c r="G809" i="1"/>
  <c r="K809" i="1" s="1"/>
  <c r="U808" i="1"/>
  <c r="Q808" i="1"/>
  <c r="K808" i="1"/>
  <c r="J808" i="1"/>
  <c r="L808" i="1" s="1"/>
  <c r="M808" i="1" s="1"/>
  <c r="G808" i="1"/>
  <c r="U807" i="1"/>
  <c r="Q807" i="1"/>
  <c r="J807" i="1"/>
  <c r="G807" i="1"/>
  <c r="K807" i="1" s="1"/>
  <c r="U806" i="1"/>
  <c r="Q806" i="1"/>
  <c r="J806" i="1"/>
  <c r="G806" i="1"/>
  <c r="K806" i="1" s="1"/>
  <c r="L806" i="1" s="1"/>
  <c r="M806" i="1" s="1"/>
  <c r="U805" i="1"/>
  <c r="Q805" i="1"/>
  <c r="M805" i="1"/>
  <c r="L805" i="1"/>
  <c r="K805" i="1"/>
  <c r="J805" i="1"/>
  <c r="G805" i="1"/>
  <c r="U804" i="1"/>
  <c r="Q804" i="1"/>
  <c r="K804" i="1"/>
  <c r="J804" i="1"/>
  <c r="L804" i="1" s="1"/>
  <c r="M804" i="1" s="1"/>
  <c r="G804" i="1"/>
  <c r="U803" i="1"/>
  <c r="Q803" i="1"/>
  <c r="M803" i="1"/>
  <c r="J803" i="1"/>
  <c r="L803" i="1" s="1"/>
  <c r="G803" i="1"/>
  <c r="K803" i="1" s="1"/>
  <c r="U802" i="1"/>
  <c r="Q802" i="1"/>
  <c r="J802" i="1"/>
  <c r="L802" i="1" s="1"/>
  <c r="M802" i="1" s="1"/>
  <c r="G802" i="1"/>
  <c r="K802" i="1" s="1"/>
  <c r="U801" i="1"/>
  <c r="Q801" i="1"/>
  <c r="L801" i="1"/>
  <c r="M801" i="1" s="1"/>
  <c r="K801" i="1"/>
  <c r="J801" i="1"/>
  <c r="G801" i="1"/>
  <c r="U800" i="1"/>
  <c r="Q800" i="1"/>
  <c r="K800" i="1"/>
  <c r="J800" i="1"/>
  <c r="L800" i="1" s="1"/>
  <c r="M800" i="1" s="1"/>
  <c r="G800" i="1"/>
  <c r="U799" i="1"/>
  <c r="Q799" i="1"/>
  <c r="J799" i="1"/>
  <c r="G799" i="1"/>
  <c r="K799" i="1" s="1"/>
  <c r="U798" i="1"/>
  <c r="Q798" i="1"/>
  <c r="J798" i="1"/>
  <c r="G798" i="1"/>
  <c r="K798" i="1" s="1"/>
  <c r="L798" i="1" s="1"/>
  <c r="M798" i="1" s="1"/>
  <c r="U797" i="1"/>
  <c r="Q797" i="1"/>
  <c r="K797" i="1"/>
  <c r="L797" i="1" s="1"/>
  <c r="M797" i="1" s="1"/>
  <c r="J797" i="1"/>
  <c r="G797" i="1"/>
  <c r="U796" i="1"/>
  <c r="Q796" i="1"/>
  <c r="K796" i="1"/>
  <c r="J796" i="1"/>
  <c r="G796" i="1"/>
  <c r="U795" i="1"/>
  <c r="Q795" i="1"/>
  <c r="K795" i="1"/>
  <c r="J795" i="1"/>
  <c r="G795" i="1"/>
  <c r="U794" i="1"/>
  <c r="Q794" i="1"/>
  <c r="M794" i="1"/>
  <c r="J794" i="1"/>
  <c r="G794" i="1"/>
  <c r="K794" i="1" s="1"/>
  <c r="L794" i="1" s="1"/>
  <c r="U793" i="1"/>
  <c r="Q793" i="1"/>
  <c r="K793" i="1"/>
  <c r="L793" i="1" s="1"/>
  <c r="M793" i="1" s="1"/>
  <c r="J793" i="1"/>
  <c r="G793" i="1"/>
  <c r="U792" i="1"/>
  <c r="Q792" i="1"/>
  <c r="K792" i="1"/>
  <c r="J792" i="1"/>
  <c r="L792" i="1" s="1"/>
  <c r="M792" i="1" s="1"/>
  <c r="G792" i="1"/>
  <c r="U791" i="1"/>
  <c r="Q791" i="1"/>
  <c r="J791" i="1"/>
  <c r="G791" i="1"/>
  <c r="K791" i="1" s="1"/>
  <c r="U790" i="1"/>
  <c r="Q790" i="1"/>
  <c r="J790" i="1"/>
  <c r="L790" i="1" s="1"/>
  <c r="M790" i="1" s="1"/>
  <c r="G790" i="1"/>
  <c r="K790" i="1" s="1"/>
  <c r="U789" i="1"/>
  <c r="Q789" i="1"/>
  <c r="L789" i="1"/>
  <c r="M789" i="1" s="1"/>
  <c r="K789" i="1"/>
  <c r="J789" i="1"/>
  <c r="G789" i="1"/>
  <c r="U788" i="1"/>
  <c r="Q788" i="1"/>
  <c r="L788" i="1"/>
  <c r="M788" i="1" s="1"/>
  <c r="K788" i="1"/>
  <c r="J788" i="1"/>
  <c r="G788" i="1"/>
  <c r="U787" i="1"/>
  <c r="Q787" i="1"/>
  <c r="J787" i="1"/>
  <c r="L787" i="1" s="1"/>
  <c r="M787" i="1" s="1"/>
  <c r="G787" i="1"/>
  <c r="K787" i="1" s="1"/>
  <c r="U786" i="1"/>
  <c r="Q786" i="1"/>
  <c r="M786" i="1"/>
  <c r="L786" i="1"/>
  <c r="J786" i="1"/>
  <c r="G786" i="1"/>
  <c r="K786" i="1" s="1"/>
  <c r="U785" i="1"/>
  <c r="Q785" i="1"/>
  <c r="K785" i="1"/>
  <c r="L785" i="1" s="1"/>
  <c r="M785" i="1" s="1"/>
  <c r="J785" i="1"/>
  <c r="G785" i="1"/>
  <c r="U784" i="1"/>
  <c r="Q784" i="1"/>
  <c r="K784" i="1"/>
  <c r="J784" i="1"/>
  <c r="L784" i="1" s="1"/>
  <c r="M784" i="1" s="1"/>
  <c r="G784" i="1"/>
  <c r="U783" i="1"/>
  <c r="Q783" i="1"/>
  <c r="K783" i="1"/>
  <c r="J783" i="1"/>
  <c r="G783" i="1"/>
  <c r="U782" i="1"/>
  <c r="Q782" i="1"/>
  <c r="J782" i="1"/>
  <c r="G782" i="1"/>
  <c r="K782" i="1" s="1"/>
  <c r="L782" i="1" s="1"/>
  <c r="M782" i="1" s="1"/>
  <c r="U781" i="1"/>
  <c r="Q781" i="1"/>
  <c r="K781" i="1"/>
  <c r="L781" i="1" s="1"/>
  <c r="M781" i="1" s="1"/>
  <c r="J781" i="1"/>
  <c r="G781" i="1"/>
  <c r="U780" i="1"/>
  <c r="Q780" i="1"/>
  <c r="K780" i="1"/>
  <c r="J780" i="1"/>
  <c r="L780" i="1" s="1"/>
  <c r="M780" i="1" s="1"/>
  <c r="G780" i="1"/>
  <c r="U779" i="1"/>
  <c r="Q779" i="1"/>
  <c r="J779" i="1"/>
  <c r="G779" i="1"/>
  <c r="K779" i="1" s="1"/>
  <c r="U778" i="1"/>
  <c r="Q778" i="1"/>
  <c r="L778" i="1"/>
  <c r="M778" i="1" s="1"/>
  <c r="J778" i="1"/>
  <c r="G778" i="1"/>
  <c r="K778" i="1" s="1"/>
  <c r="U777" i="1"/>
  <c r="Q777" i="1"/>
  <c r="L777" i="1"/>
  <c r="M777" i="1" s="1"/>
  <c r="K777" i="1"/>
  <c r="J777" i="1"/>
  <c r="G777" i="1"/>
  <c r="U776" i="1"/>
  <c r="Q776" i="1"/>
  <c r="K776" i="1"/>
  <c r="J776" i="1"/>
  <c r="L776" i="1" s="1"/>
  <c r="M776" i="1" s="1"/>
  <c r="G776" i="1"/>
  <c r="U775" i="1"/>
  <c r="Q775" i="1"/>
  <c r="J775" i="1"/>
  <c r="G775" i="1"/>
  <c r="K775" i="1" s="1"/>
  <c r="U774" i="1"/>
  <c r="Q774" i="1"/>
  <c r="M774" i="1"/>
  <c r="L774" i="1"/>
  <c r="J774" i="1"/>
  <c r="G774" i="1"/>
  <c r="K774" i="1" s="1"/>
  <c r="U773" i="1"/>
  <c r="Q773" i="1"/>
  <c r="J773" i="1"/>
  <c r="G773" i="1"/>
  <c r="K773" i="1" s="1"/>
  <c r="L773" i="1" s="1"/>
  <c r="M773" i="1" s="1"/>
  <c r="U772" i="1"/>
  <c r="Q772" i="1"/>
  <c r="K772" i="1"/>
  <c r="J772" i="1"/>
  <c r="L772" i="1" s="1"/>
  <c r="M772" i="1" s="1"/>
  <c r="G772" i="1"/>
  <c r="U771" i="1"/>
  <c r="Q771" i="1"/>
  <c r="J771" i="1"/>
  <c r="G771" i="1"/>
  <c r="K771" i="1" s="1"/>
  <c r="U770" i="1"/>
  <c r="Q770" i="1"/>
  <c r="J770" i="1"/>
  <c r="G770" i="1"/>
  <c r="K770" i="1" s="1"/>
  <c r="L770" i="1" s="1"/>
  <c r="M770" i="1" s="1"/>
  <c r="U769" i="1"/>
  <c r="Q769" i="1"/>
  <c r="M769" i="1"/>
  <c r="L769" i="1"/>
  <c r="K769" i="1"/>
  <c r="J769" i="1"/>
  <c r="G769" i="1"/>
  <c r="U768" i="1"/>
  <c r="Q768" i="1"/>
  <c r="K768" i="1"/>
  <c r="J768" i="1"/>
  <c r="L768" i="1" s="1"/>
  <c r="M768" i="1" s="1"/>
  <c r="G768" i="1"/>
  <c r="U767" i="1"/>
  <c r="Q767" i="1"/>
  <c r="M767" i="1"/>
  <c r="J767" i="1"/>
  <c r="L767" i="1" s="1"/>
  <c r="G767" i="1"/>
  <c r="K767" i="1" s="1"/>
  <c r="U766" i="1"/>
  <c r="Q766" i="1"/>
  <c r="J766" i="1"/>
  <c r="L766" i="1" s="1"/>
  <c r="M766" i="1" s="1"/>
  <c r="G766" i="1"/>
  <c r="K766" i="1" s="1"/>
  <c r="U765" i="1"/>
  <c r="Q765" i="1"/>
  <c r="L765" i="1"/>
  <c r="M765" i="1" s="1"/>
  <c r="K765" i="1"/>
  <c r="J765" i="1"/>
  <c r="G765" i="1"/>
  <c r="U764" i="1"/>
  <c r="Q764" i="1"/>
  <c r="K764" i="1"/>
  <c r="J764" i="1"/>
  <c r="L764" i="1" s="1"/>
  <c r="M764" i="1" s="1"/>
  <c r="G764" i="1"/>
  <c r="U763" i="1"/>
  <c r="Q763" i="1"/>
  <c r="J763" i="1"/>
  <c r="L763" i="1" s="1"/>
  <c r="M763" i="1" s="1"/>
  <c r="G763" i="1"/>
  <c r="K763" i="1" s="1"/>
  <c r="U762" i="1"/>
  <c r="Q762" i="1"/>
  <c r="J762" i="1"/>
  <c r="G762" i="1"/>
  <c r="K762" i="1" s="1"/>
  <c r="L762" i="1" s="1"/>
  <c r="M762" i="1" s="1"/>
  <c r="U761" i="1"/>
  <c r="Q761" i="1"/>
  <c r="J761" i="1"/>
  <c r="G761" i="1"/>
  <c r="K761" i="1" s="1"/>
  <c r="L761" i="1" s="1"/>
  <c r="M761" i="1" s="1"/>
  <c r="U760" i="1"/>
  <c r="Q760" i="1"/>
  <c r="K760" i="1"/>
  <c r="J760" i="1"/>
  <c r="G760" i="1"/>
  <c r="U759" i="1"/>
  <c r="Q759" i="1"/>
  <c r="J759" i="1"/>
  <c r="G759" i="1"/>
  <c r="K759" i="1" s="1"/>
  <c r="U758" i="1"/>
  <c r="Q758" i="1"/>
  <c r="M758" i="1"/>
  <c r="J758" i="1"/>
  <c r="G758" i="1"/>
  <c r="K758" i="1" s="1"/>
  <c r="L758" i="1" s="1"/>
  <c r="U757" i="1"/>
  <c r="Q757" i="1"/>
  <c r="L757" i="1"/>
  <c r="M757" i="1" s="1"/>
  <c r="K757" i="1"/>
  <c r="J757" i="1"/>
  <c r="G757" i="1"/>
  <c r="U756" i="1"/>
  <c r="Q756" i="1"/>
  <c r="K756" i="1"/>
  <c r="J756" i="1"/>
  <c r="L756" i="1" s="1"/>
  <c r="M756" i="1" s="1"/>
  <c r="G756" i="1"/>
  <c r="U755" i="1"/>
  <c r="Q755" i="1"/>
  <c r="J755" i="1"/>
  <c r="L755" i="1" s="1"/>
  <c r="M755" i="1" s="1"/>
  <c r="G755" i="1"/>
  <c r="K755" i="1" s="1"/>
  <c r="U754" i="1"/>
  <c r="Q754" i="1"/>
  <c r="L754" i="1"/>
  <c r="M754" i="1" s="1"/>
  <c r="J754" i="1"/>
  <c r="G754" i="1"/>
  <c r="K754" i="1" s="1"/>
  <c r="U753" i="1"/>
  <c r="Q753" i="1"/>
  <c r="L753" i="1"/>
  <c r="M753" i="1" s="1"/>
  <c r="K753" i="1"/>
  <c r="J753" i="1"/>
  <c r="G753" i="1"/>
  <c r="U752" i="1"/>
  <c r="Q752" i="1"/>
  <c r="L752" i="1"/>
  <c r="M752" i="1" s="1"/>
  <c r="K752" i="1"/>
  <c r="J752" i="1"/>
  <c r="G752" i="1"/>
  <c r="U751" i="1"/>
  <c r="Q751" i="1"/>
  <c r="J751" i="1"/>
  <c r="G751" i="1"/>
  <c r="K751" i="1" s="1"/>
  <c r="U750" i="1"/>
  <c r="Q750" i="1"/>
  <c r="J750" i="1"/>
  <c r="G750" i="1"/>
  <c r="K750" i="1" s="1"/>
  <c r="L750" i="1" s="1"/>
  <c r="M750" i="1" s="1"/>
  <c r="U749" i="1"/>
  <c r="Q749" i="1"/>
  <c r="J749" i="1"/>
  <c r="G749" i="1"/>
  <c r="K749" i="1" s="1"/>
  <c r="L749" i="1" s="1"/>
  <c r="M749" i="1" s="1"/>
  <c r="U748" i="1"/>
  <c r="Q748" i="1"/>
  <c r="K748" i="1"/>
  <c r="J748" i="1"/>
  <c r="G748" i="1"/>
  <c r="U747" i="1"/>
  <c r="Q747" i="1"/>
  <c r="K747" i="1"/>
  <c r="J747" i="1"/>
  <c r="G747" i="1"/>
  <c r="U746" i="1"/>
  <c r="Q746" i="1"/>
  <c r="M746" i="1"/>
  <c r="J746" i="1"/>
  <c r="G746" i="1"/>
  <c r="K746" i="1" s="1"/>
  <c r="L746" i="1" s="1"/>
  <c r="U745" i="1"/>
  <c r="Q745" i="1"/>
  <c r="K745" i="1"/>
  <c r="L745" i="1" s="1"/>
  <c r="M745" i="1" s="1"/>
  <c r="J745" i="1"/>
  <c r="G745" i="1"/>
  <c r="U744" i="1"/>
  <c r="Q744" i="1"/>
  <c r="K744" i="1"/>
  <c r="J744" i="1"/>
  <c r="L744" i="1" s="1"/>
  <c r="M744" i="1" s="1"/>
  <c r="G744" i="1"/>
  <c r="U743" i="1"/>
  <c r="Q743" i="1"/>
  <c r="J743" i="1"/>
  <c r="G743" i="1"/>
  <c r="K743" i="1" s="1"/>
  <c r="U742" i="1"/>
  <c r="Q742" i="1"/>
  <c r="J742" i="1"/>
  <c r="L742" i="1" s="1"/>
  <c r="M742" i="1" s="1"/>
  <c r="G742" i="1"/>
  <c r="K742" i="1" s="1"/>
  <c r="U741" i="1"/>
  <c r="Q741" i="1"/>
  <c r="L741" i="1"/>
  <c r="M741" i="1" s="1"/>
  <c r="K741" i="1"/>
  <c r="J741" i="1"/>
  <c r="G741" i="1"/>
  <c r="U740" i="1"/>
  <c r="Q740" i="1"/>
  <c r="K740" i="1"/>
  <c r="J740" i="1"/>
  <c r="L740" i="1" s="1"/>
  <c r="M740" i="1" s="1"/>
  <c r="G740" i="1"/>
  <c r="U739" i="1"/>
  <c r="Q739" i="1"/>
  <c r="J739" i="1"/>
  <c r="G739" i="1"/>
  <c r="K739" i="1" s="1"/>
  <c r="U738" i="1"/>
  <c r="Q738" i="1"/>
  <c r="J738" i="1"/>
  <c r="G738" i="1"/>
  <c r="K738" i="1" s="1"/>
  <c r="L738" i="1" s="1"/>
  <c r="M738" i="1" s="1"/>
  <c r="U737" i="1"/>
  <c r="Q737" i="1"/>
  <c r="K737" i="1"/>
  <c r="L737" i="1" s="1"/>
  <c r="M737" i="1" s="1"/>
  <c r="J737" i="1"/>
  <c r="G737" i="1"/>
  <c r="U736" i="1"/>
  <c r="Q736" i="1"/>
  <c r="K736" i="1"/>
  <c r="J736" i="1"/>
  <c r="L736" i="1" s="1"/>
  <c r="M736" i="1" s="1"/>
  <c r="G736" i="1"/>
  <c r="U735" i="1"/>
  <c r="Q735" i="1"/>
  <c r="K735" i="1"/>
  <c r="J735" i="1"/>
  <c r="L735" i="1" s="1"/>
  <c r="M735" i="1" s="1"/>
  <c r="G735" i="1"/>
  <c r="U734" i="1"/>
  <c r="Q734" i="1"/>
  <c r="M734" i="1"/>
  <c r="J734" i="1"/>
  <c r="G734" i="1"/>
  <c r="K734" i="1" s="1"/>
  <c r="L734" i="1" s="1"/>
  <c r="U733" i="1"/>
  <c r="Q733" i="1"/>
  <c r="L733" i="1"/>
  <c r="M733" i="1" s="1"/>
  <c r="K733" i="1"/>
  <c r="J733" i="1"/>
  <c r="G733" i="1"/>
  <c r="U732" i="1"/>
  <c r="Q732" i="1"/>
  <c r="K732" i="1"/>
  <c r="J732" i="1"/>
  <c r="L732" i="1" s="1"/>
  <c r="M732" i="1" s="1"/>
  <c r="G732" i="1"/>
  <c r="U731" i="1"/>
  <c r="Q731" i="1"/>
  <c r="J731" i="1"/>
  <c r="L731" i="1" s="1"/>
  <c r="M731" i="1" s="1"/>
  <c r="G731" i="1"/>
  <c r="K731" i="1" s="1"/>
  <c r="U730" i="1"/>
  <c r="Q730" i="1"/>
  <c r="J730" i="1"/>
  <c r="L730" i="1" s="1"/>
  <c r="M730" i="1" s="1"/>
  <c r="G730" i="1"/>
  <c r="K730" i="1" s="1"/>
  <c r="U729" i="1"/>
  <c r="Q729" i="1"/>
  <c r="L729" i="1"/>
  <c r="M729" i="1" s="1"/>
  <c r="K729" i="1"/>
  <c r="J729" i="1"/>
  <c r="G729" i="1"/>
  <c r="U728" i="1"/>
  <c r="Q728" i="1"/>
  <c r="K728" i="1"/>
  <c r="J728" i="1"/>
  <c r="L728" i="1" s="1"/>
  <c r="M728" i="1" s="1"/>
  <c r="G728" i="1"/>
  <c r="U727" i="1"/>
  <c r="Q727" i="1"/>
  <c r="J727" i="1"/>
  <c r="L727" i="1" s="1"/>
  <c r="M727" i="1" s="1"/>
  <c r="G727" i="1"/>
  <c r="K727" i="1" s="1"/>
  <c r="U726" i="1"/>
  <c r="Q726" i="1"/>
  <c r="L726" i="1"/>
  <c r="M726" i="1" s="1"/>
  <c r="J726" i="1"/>
  <c r="G726" i="1"/>
  <c r="K726" i="1" s="1"/>
  <c r="U725" i="1"/>
  <c r="Q725" i="1"/>
  <c r="J725" i="1"/>
  <c r="G725" i="1"/>
  <c r="K725" i="1" s="1"/>
  <c r="L725" i="1" s="1"/>
  <c r="M725" i="1" s="1"/>
  <c r="U724" i="1"/>
  <c r="Q724" i="1"/>
  <c r="K724" i="1"/>
  <c r="J724" i="1"/>
  <c r="G724" i="1"/>
  <c r="U723" i="1"/>
  <c r="Q723" i="1"/>
  <c r="K723" i="1"/>
  <c r="J723" i="1"/>
  <c r="G723" i="1"/>
  <c r="U722" i="1"/>
  <c r="Q722" i="1"/>
  <c r="M722" i="1"/>
  <c r="J722" i="1"/>
  <c r="G722" i="1"/>
  <c r="K722" i="1" s="1"/>
  <c r="L722" i="1" s="1"/>
  <c r="U721" i="1"/>
  <c r="Q721" i="1"/>
  <c r="L721" i="1"/>
  <c r="M721" i="1" s="1"/>
  <c r="K721" i="1"/>
  <c r="J721" i="1"/>
  <c r="G721" i="1"/>
  <c r="U720" i="1"/>
  <c r="Q720" i="1"/>
  <c r="K720" i="1"/>
  <c r="J720" i="1"/>
  <c r="L720" i="1" s="1"/>
  <c r="M720" i="1" s="1"/>
  <c r="G720" i="1"/>
  <c r="U719" i="1"/>
  <c r="Q719" i="1"/>
  <c r="J719" i="1"/>
  <c r="L719" i="1" s="1"/>
  <c r="M719" i="1" s="1"/>
  <c r="G719" i="1"/>
  <c r="K719" i="1" s="1"/>
  <c r="U718" i="1"/>
  <c r="Q718" i="1"/>
  <c r="J718" i="1"/>
  <c r="G718" i="1"/>
  <c r="K718" i="1" s="1"/>
  <c r="L718" i="1" s="1"/>
  <c r="M718" i="1" s="1"/>
  <c r="U717" i="1"/>
  <c r="Q717" i="1"/>
  <c r="L717" i="1"/>
  <c r="M717" i="1" s="1"/>
  <c r="K717" i="1"/>
  <c r="J717" i="1"/>
  <c r="G717" i="1"/>
  <c r="U716" i="1"/>
  <c r="Q716" i="1"/>
  <c r="K716" i="1"/>
  <c r="L716" i="1" s="1"/>
  <c r="M716" i="1" s="1"/>
  <c r="J716" i="1"/>
  <c r="G716" i="1"/>
  <c r="U715" i="1"/>
  <c r="Q715" i="1"/>
  <c r="J715" i="1"/>
  <c r="L715" i="1" s="1"/>
  <c r="M715" i="1" s="1"/>
  <c r="G715" i="1"/>
  <c r="K715" i="1" s="1"/>
  <c r="U714" i="1"/>
  <c r="Q714" i="1"/>
  <c r="J714" i="1"/>
  <c r="G714" i="1"/>
  <c r="K714" i="1" s="1"/>
  <c r="L714" i="1" s="1"/>
  <c r="M714" i="1" s="1"/>
  <c r="U713" i="1"/>
  <c r="Q713" i="1"/>
  <c r="J713" i="1"/>
  <c r="G713" i="1"/>
  <c r="K713" i="1" s="1"/>
  <c r="L713" i="1" s="1"/>
  <c r="M713" i="1" s="1"/>
  <c r="U712" i="1"/>
  <c r="Q712" i="1"/>
  <c r="K712" i="1"/>
  <c r="J712" i="1"/>
  <c r="G712" i="1"/>
  <c r="U711" i="1"/>
  <c r="Q711" i="1"/>
  <c r="K711" i="1"/>
  <c r="J711" i="1"/>
  <c r="L711" i="1" s="1"/>
  <c r="M711" i="1" s="1"/>
  <c r="G711" i="1"/>
  <c r="U710" i="1"/>
  <c r="Q710" i="1"/>
  <c r="J710" i="1"/>
  <c r="G710" i="1"/>
  <c r="K710" i="1" s="1"/>
  <c r="L710" i="1" s="1"/>
  <c r="M710" i="1" s="1"/>
  <c r="U709" i="1"/>
  <c r="Q709" i="1"/>
  <c r="K709" i="1"/>
  <c r="L709" i="1" s="1"/>
  <c r="M709" i="1" s="1"/>
  <c r="J709" i="1"/>
  <c r="G709" i="1"/>
  <c r="U708" i="1"/>
  <c r="Q708" i="1"/>
  <c r="K708" i="1"/>
  <c r="J708" i="1"/>
  <c r="L708" i="1" s="1"/>
  <c r="M708" i="1" s="1"/>
  <c r="G708" i="1"/>
  <c r="U707" i="1"/>
  <c r="Q707" i="1"/>
  <c r="J707" i="1"/>
  <c r="G707" i="1"/>
  <c r="K707" i="1" s="1"/>
  <c r="U706" i="1"/>
  <c r="Q706" i="1"/>
  <c r="L706" i="1"/>
  <c r="M706" i="1" s="1"/>
  <c r="J706" i="1"/>
  <c r="G706" i="1"/>
  <c r="K706" i="1" s="1"/>
  <c r="U705" i="1"/>
  <c r="Q705" i="1"/>
  <c r="K705" i="1"/>
  <c r="L705" i="1" s="1"/>
  <c r="M705" i="1" s="1"/>
  <c r="J705" i="1"/>
  <c r="G705" i="1"/>
  <c r="U704" i="1"/>
  <c r="Q704" i="1"/>
  <c r="K704" i="1"/>
  <c r="L704" i="1" s="1"/>
  <c r="M704" i="1" s="1"/>
  <c r="J704" i="1"/>
  <c r="G704" i="1"/>
  <c r="U703" i="1"/>
  <c r="Q703" i="1"/>
  <c r="J703" i="1"/>
  <c r="G703" i="1"/>
  <c r="K703" i="1" s="1"/>
  <c r="U702" i="1"/>
  <c r="Q702" i="1"/>
  <c r="M702" i="1"/>
  <c r="L702" i="1"/>
  <c r="J702" i="1"/>
  <c r="G702" i="1"/>
  <c r="K702" i="1" s="1"/>
  <c r="U701" i="1"/>
  <c r="Q701" i="1"/>
  <c r="K701" i="1"/>
  <c r="L701" i="1" s="1"/>
  <c r="M701" i="1" s="1"/>
  <c r="J701" i="1"/>
  <c r="G701" i="1"/>
  <c r="U700" i="1"/>
  <c r="Q700" i="1"/>
  <c r="K700" i="1"/>
  <c r="J700" i="1"/>
  <c r="L700" i="1" s="1"/>
  <c r="M700" i="1" s="1"/>
  <c r="G700" i="1"/>
  <c r="U699" i="1"/>
  <c r="Q699" i="1"/>
  <c r="K699" i="1"/>
  <c r="J699" i="1"/>
  <c r="G699" i="1"/>
  <c r="U698" i="1"/>
  <c r="Q698" i="1"/>
  <c r="L698" i="1"/>
  <c r="M698" i="1" s="1"/>
  <c r="J698" i="1"/>
  <c r="G698" i="1"/>
  <c r="K698" i="1" s="1"/>
  <c r="U697" i="1"/>
  <c r="Q697" i="1"/>
  <c r="L697" i="1"/>
  <c r="M697" i="1" s="1"/>
  <c r="K697" i="1"/>
  <c r="J697" i="1"/>
  <c r="G697" i="1"/>
  <c r="U696" i="1"/>
  <c r="Q696" i="1"/>
  <c r="K696" i="1"/>
  <c r="J696" i="1"/>
  <c r="L696" i="1" s="1"/>
  <c r="M696" i="1" s="1"/>
  <c r="G696" i="1"/>
  <c r="U695" i="1"/>
  <c r="Q695" i="1"/>
  <c r="J695" i="1"/>
  <c r="L695" i="1" s="1"/>
  <c r="M695" i="1" s="1"/>
  <c r="G695" i="1"/>
  <c r="K695" i="1" s="1"/>
  <c r="U694" i="1"/>
  <c r="Q694" i="1"/>
  <c r="J694" i="1"/>
  <c r="G694" i="1"/>
  <c r="K694" i="1" s="1"/>
  <c r="L694" i="1" s="1"/>
  <c r="M694" i="1" s="1"/>
  <c r="U693" i="1"/>
  <c r="Q693" i="1"/>
  <c r="L693" i="1"/>
  <c r="M693" i="1" s="1"/>
  <c r="K693" i="1"/>
  <c r="J693" i="1"/>
  <c r="G693" i="1"/>
  <c r="U692" i="1"/>
  <c r="Q692" i="1"/>
  <c r="K692" i="1"/>
  <c r="L692" i="1" s="1"/>
  <c r="M692" i="1" s="1"/>
  <c r="J692" i="1"/>
  <c r="G692" i="1"/>
  <c r="U691" i="1"/>
  <c r="Q691" i="1"/>
  <c r="J691" i="1"/>
  <c r="G691" i="1"/>
  <c r="K691" i="1" s="1"/>
  <c r="U690" i="1"/>
  <c r="Q690" i="1"/>
  <c r="L690" i="1"/>
  <c r="M690" i="1" s="1"/>
  <c r="J690" i="1"/>
  <c r="G690" i="1"/>
  <c r="K690" i="1" s="1"/>
  <c r="U689" i="1"/>
  <c r="Q689" i="1"/>
  <c r="K689" i="1"/>
  <c r="L689" i="1" s="1"/>
  <c r="M689" i="1" s="1"/>
  <c r="J689" i="1"/>
  <c r="G689" i="1"/>
  <c r="U688" i="1"/>
  <c r="Q688" i="1"/>
  <c r="K688" i="1"/>
  <c r="J688" i="1"/>
  <c r="L688" i="1" s="1"/>
  <c r="M688" i="1" s="1"/>
  <c r="G688" i="1"/>
  <c r="U687" i="1"/>
  <c r="Q687" i="1"/>
  <c r="K687" i="1"/>
  <c r="J687" i="1"/>
  <c r="L687" i="1" s="1"/>
  <c r="M687" i="1" s="1"/>
  <c r="G687" i="1"/>
  <c r="U686" i="1"/>
  <c r="Q686" i="1"/>
  <c r="J686" i="1"/>
  <c r="L686" i="1" s="1"/>
  <c r="M686" i="1" s="1"/>
  <c r="G686" i="1"/>
  <c r="K686" i="1" s="1"/>
  <c r="U685" i="1"/>
  <c r="Q685" i="1"/>
  <c r="K685" i="1"/>
  <c r="L685" i="1" s="1"/>
  <c r="M685" i="1" s="1"/>
  <c r="J685" i="1"/>
  <c r="G685" i="1"/>
  <c r="U684" i="1"/>
  <c r="Q684" i="1"/>
  <c r="K684" i="1"/>
  <c r="J684" i="1"/>
  <c r="L684" i="1" s="1"/>
  <c r="M684" i="1" s="1"/>
  <c r="G684" i="1"/>
  <c r="U683" i="1"/>
  <c r="Q683" i="1"/>
  <c r="J683" i="1"/>
  <c r="L683" i="1" s="1"/>
  <c r="M683" i="1" s="1"/>
  <c r="G683" i="1"/>
  <c r="K683" i="1" s="1"/>
  <c r="U682" i="1"/>
  <c r="Q682" i="1"/>
  <c r="J682" i="1"/>
  <c r="L682" i="1" s="1"/>
  <c r="M682" i="1" s="1"/>
  <c r="G682" i="1"/>
  <c r="K682" i="1" s="1"/>
  <c r="U681" i="1"/>
  <c r="Q681" i="1"/>
  <c r="L681" i="1"/>
  <c r="M681" i="1" s="1"/>
  <c r="K681" i="1"/>
  <c r="J681" i="1"/>
  <c r="G681" i="1"/>
  <c r="U680" i="1"/>
  <c r="Q680" i="1"/>
  <c r="L680" i="1"/>
  <c r="M680" i="1" s="1"/>
  <c r="K680" i="1"/>
  <c r="J680" i="1"/>
  <c r="G680" i="1"/>
  <c r="U679" i="1"/>
  <c r="Q679" i="1"/>
  <c r="K679" i="1"/>
  <c r="J679" i="1"/>
  <c r="L679" i="1" s="1"/>
  <c r="M679" i="1" s="1"/>
  <c r="G679" i="1"/>
  <c r="U678" i="1"/>
  <c r="Q678" i="1"/>
  <c r="J678" i="1"/>
  <c r="G678" i="1"/>
  <c r="K678" i="1" s="1"/>
  <c r="L678" i="1" s="1"/>
  <c r="M678" i="1" s="1"/>
  <c r="U677" i="1"/>
  <c r="Q677" i="1"/>
  <c r="M677" i="1"/>
  <c r="K677" i="1"/>
  <c r="L677" i="1" s="1"/>
  <c r="J677" i="1"/>
  <c r="G677" i="1"/>
  <c r="U676" i="1"/>
  <c r="Q676" i="1"/>
  <c r="J676" i="1"/>
  <c r="G676" i="1"/>
  <c r="K676" i="1" s="1"/>
  <c r="U675" i="1"/>
  <c r="Q675" i="1"/>
  <c r="M675" i="1"/>
  <c r="K675" i="1"/>
  <c r="J675" i="1"/>
  <c r="L675" i="1" s="1"/>
  <c r="G675" i="1"/>
  <c r="U674" i="1"/>
  <c r="Q674" i="1"/>
  <c r="J674" i="1"/>
  <c r="L674" i="1" s="1"/>
  <c r="M674" i="1" s="1"/>
  <c r="G674" i="1"/>
  <c r="K674" i="1" s="1"/>
  <c r="U673" i="1"/>
  <c r="Q673" i="1"/>
  <c r="L673" i="1"/>
  <c r="M673" i="1" s="1"/>
  <c r="K673" i="1"/>
  <c r="J673" i="1"/>
  <c r="G673" i="1"/>
  <c r="U672" i="1"/>
  <c r="Q672" i="1"/>
  <c r="J672" i="1"/>
  <c r="G672" i="1"/>
  <c r="K672" i="1" s="1"/>
  <c r="U671" i="1"/>
  <c r="Q671" i="1"/>
  <c r="J671" i="1"/>
  <c r="G671" i="1"/>
  <c r="K671" i="1" s="1"/>
  <c r="U670" i="1"/>
  <c r="Q670" i="1"/>
  <c r="J670" i="1"/>
  <c r="L670" i="1" s="1"/>
  <c r="M670" i="1" s="1"/>
  <c r="G670" i="1"/>
  <c r="K670" i="1" s="1"/>
  <c r="U669" i="1"/>
  <c r="Q669" i="1"/>
  <c r="J669" i="1"/>
  <c r="G669" i="1"/>
  <c r="K669" i="1" s="1"/>
  <c r="U668" i="1"/>
  <c r="Q668" i="1"/>
  <c r="K668" i="1"/>
  <c r="J668" i="1"/>
  <c r="L668" i="1" s="1"/>
  <c r="M668" i="1" s="1"/>
  <c r="G668" i="1"/>
  <c r="U667" i="1"/>
  <c r="Q667" i="1"/>
  <c r="L667" i="1"/>
  <c r="M667" i="1" s="1"/>
  <c r="K667" i="1"/>
  <c r="J667" i="1"/>
  <c r="G667" i="1"/>
  <c r="U666" i="1"/>
  <c r="Q666" i="1"/>
  <c r="L666" i="1"/>
  <c r="M666" i="1" s="1"/>
  <c r="J666" i="1"/>
  <c r="G666" i="1"/>
  <c r="K666" i="1" s="1"/>
  <c r="U665" i="1"/>
  <c r="Q665" i="1"/>
  <c r="J665" i="1"/>
  <c r="G665" i="1"/>
  <c r="K665" i="1" s="1"/>
  <c r="L665" i="1" s="1"/>
  <c r="M665" i="1" s="1"/>
  <c r="U664" i="1"/>
  <c r="Q664" i="1"/>
  <c r="J664" i="1"/>
  <c r="G664" i="1"/>
  <c r="K664" i="1" s="1"/>
  <c r="U663" i="1"/>
  <c r="Q663" i="1"/>
  <c r="J663" i="1"/>
  <c r="G663" i="1"/>
  <c r="K663" i="1" s="1"/>
  <c r="L663" i="1" s="1"/>
  <c r="M663" i="1" s="1"/>
  <c r="U662" i="1"/>
  <c r="Q662" i="1"/>
  <c r="K662" i="1"/>
  <c r="L662" i="1" s="1"/>
  <c r="M662" i="1" s="1"/>
  <c r="J662" i="1"/>
  <c r="G662" i="1"/>
  <c r="U661" i="1"/>
  <c r="Q661" i="1"/>
  <c r="J661" i="1"/>
  <c r="G661" i="1"/>
  <c r="K661" i="1" s="1"/>
  <c r="L661" i="1" s="1"/>
  <c r="M661" i="1" s="1"/>
  <c r="U660" i="1"/>
  <c r="Q660" i="1"/>
  <c r="J660" i="1"/>
  <c r="L660" i="1" s="1"/>
  <c r="M660" i="1" s="1"/>
  <c r="G660" i="1"/>
  <c r="K660" i="1" s="1"/>
  <c r="U659" i="1"/>
  <c r="Q659" i="1"/>
  <c r="J659" i="1"/>
  <c r="G659" i="1"/>
  <c r="K659" i="1" s="1"/>
  <c r="U658" i="1"/>
  <c r="Q658" i="1"/>
  <c r="K658" i="1"/>
  <c r="J658" i="1"/>
  <c r="L658" i="1" s="1"/>
  <c r="M658" i="1" s="1"/>
  <c r="G658" i="1"/>
  <c r="U657" i="1"/>
  <c r="Q657" i="1"/>
  <c r="K657" i="1"/>
  <c r="L657" i="1" s="1"/>
  <c r="M657" i="1" s="1"/>
  <c r="J657" i="1"/>
  <c r="G657" i="1"/>
  <c r="U656" i="1"/>
  <c r="Q656" i="1"/>
  <c r="J656" i="1"/>
  <c r="G656" i="1"/>
  <c r="K656" i="1" s="1"/>
  <c r="L656" i="1" s="1"/>
  <c r="M656" i="1" s="1"/>
  <c r="U655" i="1"/>
  <c r="Q655" i="1"/>
  <c r="M655" i="1"/>
  <c r="K655" i="1"/>
  <c r="L655" i="1" s="1"/>
  <c r="J655" i="1"/>
  <c r="G655" i="1"/>
  <c r="U654" i="1"/>
  <c r="Q654" i="1"/>
  <c r="J654" i="1"/>
  <c r="G654" i="1"/>
  <c r="K654" i="1" s="1"/>
  <c r="L654" i="1" s="1"/>
  <c r="M654" i="1" s="1"/>
  <c r="U653" i="1"/>
  <c r="Q653" i="1"/>
  <c r="J653" i="1"/>
  <c r="G653" i="1"/>
  <c r="K653" i="1" s="1"/>
  <c r="U652" i="1"/>
  <c r="Q652" i="1"/>
  <c r="K652" i="1"/>
  <c r="J652" i="1"/>
  <c r="L652" i="1" s="1"/>
  <c r="M652" i="1" s="1"/>
  <c r="G652" i="1"/>
  <c r="U651" i="1"/>
  <c r="Q651" i="1"/>
  <c r="L651" i="1"/>
  <c r="M651" i="1" s="1"/>
  <c r="K651" i="1"/>
  <c r="J651" i="1"/>
  <c r="G651" i="1"/>
  <c r="U650" i="1"/>
  <c r="Q650" i="1"/>
  <c r="L650" i="1"/>
  <c r="M650" i="1" s="1"/>
  <c r="K650" i="1"/>
  <c r="J650" i="1"/>
  <c r="G650" i="1"/>
  <c r="U649" i="1"/>
  <c r="Q649" i="1"/>
  <c r="K649" i="1"/>
  <c r="J649" i="1"/>
  <c r="L649" i="1" s="1"/>
  <c r="M649" i="1" s="1"/>
  <c r="G649" i="1"/>
  <c r="U648" i="1"/>
  <c r="Q648" i="1"/>
  <c r="J648" i="1"/>
  <c r="G648" i="1"/>
  <c r="K648" i="1" s="1"/>
  <c r="L648" i="1" s="1"/>
  <c r="M648" i="1" s="1"/>
  <c r="U647" i="1"/>
  <c r="Q647" i="1"/>
  <c r="J647" i="1"/>
  <c r="G647" i="1"/>
  <c r="K647" i="1" s="1"/>
  <c r="U646" i="1"/>
  <c r="Q646" i="1"/>
  <c r="K646" i="1"/>
  <c r="J646" i="1"/>
  <c r="L646" i="1" s="1"/>
  <c r="M646" i="1" s="1"/>
  <c r="G646" i="1"/>
  <c r="U645" i="1"/>
  <c r="Q645" i="1"/>
  <c r="K645" i="1"/>
  <c r="L645" i="1" s="1"/>
  <c r="M645" i="1" s="1"/>
  <c r="J645" i="1"/>
  <c r="G645" i="1"/>
  <c r="U644" i="1"/>
  <c r="Q644" i="1"/>
  <c r="J644" i="1"/>
  <c r="G644" i="1"/>
  <c r="K644" i="1" s="1"/>
  <c r="L644" i="1" s="1"/>
  <c r="M644" i="1" s="1"/>
  <c r="U643" i="1"/>
  <c r="Q643" i="1"/>
  <c r="M643" i="1"/>
  <c r="K643" i="1"/>
  <c r="L643" i="1" s="1"/>
  <c r="J643" i="1"/>
  <c r="G643" i="1"/>
  <c r="U642" i="1"/>
  <c r="Q642" i="1"/>
  <c r="J642" i="1"/>
  <c r="G642" i="1"/>
  <c r="K642" i="1" s="1"/>
  <c r="L642" i="1" s="1"/>
  <c r="M642" i="1" s="1"/>
  <c r="U641" i="1"/>
  <c r="Q641" i="1"/>
  <c r="J641" i="1"/>
  <c r="G641" i="1"/>
  <c r="K641" i="1" s="1"/>
  <c r="U640" i="1"/>
  <c r="Q640" i="1"/>
  <c r="K640" i="1"/>
  <c r="J640" i="1"/>
  <c r="L640" i="1" s="1"/>
  <c r="M640" i="1" s="1"/>
  <c r="G640" i="1"/>
  <c r="U639" i="1"/>
  <c r="Q639" i="1"/>
  <c r="L639" i="1"/>
  <c r="M639" i="1" s="1"/>
  <c r="K639" i="1"/>
  <c r="J639" i="1"/>
  <c r="G639" i="1"/>
  <c r="U638" i="1"/>
  <c r="Q638" i="1"/>
  <c r="L638" i="1"/>
  <c r="M638" i="1" s="1"/>
  <c r="K638" i="1"/>
  <c r="J638" i="1"/>
  <c r="G638" i="1"/>
  <c r="U637" i="1"/>
  <c r="Q637" i="1"/>
  <c r="K637" i="1"/>
  <c r="J637" i="1"/>
  <c r="L637" i="1" s="1"/>
  <c r="M637" i="1" s="1"/>
  <c r="G637" i="1"/>
  <c r="U636" i="1"/>
  <c r="Q636" i="1"/>
  <c r="J636" i="1"/>
  <c r="G636" i="1"/>
  <c r="K636" i="1" s="1"/>
  <c r="L636" i="1" s="1"/>
  <c r="M636" i="1" s="1"/>
  <c r="U635" i="1"/>
  <c r="Q635" i="1"/>
  <c r="J635" i="1"/>
  <c r="G635" i="1"/>
  <c r="K635" i="1" s="1"/>
  <c r="U634" i="1"/>
  <c r="Q634" i="1"/>
  <c r="K634" i="1"/>
  <c r="J634" i="1"/>
  <c r="L634" i="1" s="1"/>
  <c r="M634" i="1" s="1"/>
  <c r="G634" i="1"/>
  <c r="U633" i="1"/>
  <c r="Q633" i="1"/>
  <c r="K633" i="1"/>
  <c r="L633" i="1" s="1"/>
  <c r="M633" i="1" s="1"/>
  <c r="J633" i="1"/>
  <c r="G633" i="1"/>
  <c r="U632" i="1"/>
  <c r="Q632" i="1"/>
  <c r="J632" i="1"/>
  <c r="G632" i="1"/>
  <c r="K632" i="1" s="1"/>
  <c r="L632" i="1" s="1"/>
  <c r="M632" i="1" s="1"/>
  <c r="U631" i="1"/>
  <c r="Q631" i="1"/>
  <c r="M631" i="1"/>
  <c r="K631" i="1"/>
  <c r="L631" i="1" s="1"/>
  <c r="J631" i="1"/>
  <c r="G631" i="1"/>
  <c r="U630" i="1"/>
  <c r="Q630" i="1"/>
  <c r="J630" i="1"/>
  <c r="G630" i="1"/>
  <c r="K630" i="1" s="1"/>
  <c r="L630" i="1" s="1"/>
  <c r="M630" i="1" s="1"/>
  <c r="U629" i="1"/>
  <c r="Q629" i="1"/>
  <c r="J629" i="1"/>
  <c r="G629" i="1"/>
  <c r="K629" i="1" s="1"/>
  <c r="U628" i="1"/>
  <c r="Q628" i="1"/>
  <c r="K628" i="1"/>
  <c r="J628" i="1"/>
  <c r="L628" i="1" s="1"/>
  <c r="M628" i="1" s="1"/>
  <c r="G628" i="1"/>
  <c r="U627" i="1"/>
  <c r="Q627" i="1"/>
  <c r="L627" i="1"/>
  <c r="M627" i="1" s="1"/>
  <c r="K627" i="1"/>
  <c r="J627" i="1"/>
  <c r="G627" i="1"/>
  <c r="U626" i="1"/>
  <c r="Q626" i="1"/>
  <c r="L626" i="1"/>
  <c r="M626" i="1" s="1"/>
  <c r="K626" i="1"/>
  <c r="J626" i="1"/>
  <c r="G626" i="1"/>
  <c r="U625" i="1"/>
  <c r="Q625" i="1"/>
  <c r="K625" i="1"/>
  <c r="J625" i="1"/>
  <c r="L625" i="1" s="1"/>
  <c r="M625" i="1" s="1"/>
  <c r="G625" i="1"/>
  <c r="U624" i="1"/>
  <c r="Q624" i="1"/>
  <c r="J624" i="1"/>
  <c r="G624" i="1"/>
  <c r="K624" i="1" s="1"/>
  <c r="L624" i="1" s="1"/>
  <c r="M624" i="1" s="1"/>
  <c r="U623" i="1"/>
  <c r="Q623" i="1"/>
  <c r="J623" i="1"/>
  <c r="G623" i="1"/>
  <c r="K623" i="1" s="1"/>
  <c r="U622" i="1"/>
  <c r="Q622" i="1"/>
  <c r="K622" i="1"/>
  <c r="J622" i="1"/>
  <c r="L622" i="1" s="1"/>
  <c r="M622" i="1" s="1"/>
  <c r="G622" i="1"/>
  <c r="U621" i="1"/>
  <c r="Q621" i="1"/>
  <c r="K621" i="1"/>
  <c r="L621" i="1" s="1"/>
  <c r="M621" i="1" s="1"/>
  <c r="J621" i="1"/>
  <c r="G621" i="1"/>
  <c r="U620" i="1"/>
  <c r="Q620" i="1"/>
  <c r="J620" i="1"/>
  <c r="G620" i="1"/>
  <c r="K620" i="1" s="1"/>
  <c r="L620" i="1" s="1"/>
  <c r="M620" i="1" s="1"/>
  <c r="U619" i="1"/>
  <c r="Q619" i="1"/>
  <c r="M619" i="1"/>
  <c r="K619" i="1"/>
  <c r="L619" i="1" s="1"/>
  <c r="J619" i="1"/>
  <c r="G619" i="1"/>
  <c r="U618" i="1"/>
  <c r="Q618" i="1"/>
  <c r="J618" i="1"/>
  <c r="G618" i="1"/>
  <c r="K618" i="1" s="1"/>
  <c r="L618" i="1" s="1"/>
  <c r="M618" i="1" s="1"/>
  <c r="U617" i="1"/>
  <c r="Q617" i="1"/>
  <c r="J617" i="1"/>
  <c r="G617" i="1"/>
  <c r="K617" i="1" s="1"/>
  <c r="U616" i="1"/>
  <c r="Q616" i="1"/>
  <c r="K616" i="1"/>
  <c r="J616" i="1"/>
  <c r="L616" i="1" s="1"/>
  <c r="M616" i="1" s="1"/>
  <c r="G616" i="1"/>
  <c r="U615" i="1"/>
  <c r="Q615" i="1"/>
  <c r="L615" i="1"/>
  <c r="M615" i="1" s="1"/>
  <c r="K615" i="1"/>
  <c r="J615" i="1"/>
  <c r="G615" i="1"/>
  <c r="U614" i="1"/>
  <c r="Q614" i="1"/>
  <c r="L614" i="1"/>
  <c r="M614" i="1" s="1"/>
  <c r="K614" i="1"/>
  <c r="J614" i="1"/>
  <c r="G614" i="1"/>
  <c r="U613" i="1"/>
  <c r="Q613" i="1"/>
  <c r="K613" i="1"/>
  <c r="J613" i="1"/>
  <c r="L613" i="1" s="1"/>
  <c r="M613" i="1" s="1"/>
  <c r="G613" i="1"/>
  <c r="U612" i="1"/>
  <c r="Q612" i="1"/>
  <c r="J612" i="1"/>
  <c r="G612" i="1"/>
  <c r="K612" i="1" s="1"/>
  <c r="L612" i="1" s="1"/>
  <c r="M612" i="1" s="1"/>
  <c r="U611" i="1"/>
  <c r="Q611" i="1"/>
  <c r="J611" i="1"/>
  <c r="G611" i="1"/>
  <c r="K611" i="1" s="1"/>
  <c r="U610" i="1"/>
  <c r="Q610" i="1"/>
  <c r="K610" i="1"/>
  <c r="J610" i="1"/>
  <c r="L610" i="1" s="1"/>
  <c r="M610" i="1" s="1"/>
  <c r="G610" i="1"/>
  <c r="U609" i="1"/>
  <c r="Q609" i="1"/>
  <c r="K609" i="1"/>
  <c r="L609" i="1" s="1"/>
  <c r="M609" i="1" s="1"/>
  <c r="J609" i="1"/>
  <c r="G609" i="1"/>
  <c r="U608" i="1"/>
  <c r="Q608" i="1"/>
  <c r="J608" i="1"/>
  <c r="G608" i="1"/>
  <c r="K608" i="1" s="1"/>
  <c r="L608" i="1" s="1"/>
  <c r="M608" i="1" s="1"/>
  <c r="U607" i="1"/>
  <c r="Q607" i="1"/>
  <c r="M607" i="1"/>
  <c r="K607" i="1"/>
  <c r="L607" i="1" s="1"/>
  <c r="J607" i="1"/>
  <c r="G607" i="1"/>
  <c r="U606" i="1"/>
  <c r="Q606" i="1"/>
  <c r="J606" i="1"/>
  <c r="G606" i="1"/>
  <c r="K606" i="1" s="1"/>
  <c r="L606" i="1" s="1"/>
  <c r="M606" i="1" s="1"/>
  <c r="U605" i="1"/>
  <c r="Q605" i="1"/>
  <c r="J605" i="1"/>
  <c r="G605" i="1"/>
  <c r="K605" i="1" s="1"/>
  <c r="U604" i="1"/>
  <c r="Q604" i="1"/>
  <c r="K604" i="1"/>
  <c r="J604" i="1"/>
  <c r="L604" i="1" s="1"/>
  <c r="M604" i="1" s="1"/>
  <c r="G604" i="1"/>
  <c r="U603" i="1"/>
  <c r="Q603" i="1"/>
  <c r="L603" i="1"/>
  <c r="M603" i="1" s="1"/>
  <c r="K603" i="1"/>
  <c r="J603" i="1"/>
  <c r="G603" i="1"/>
  <c r="U602" i="1"/>
  <c r="Q602" i="1"/>
  <c r="L602" i="1"/>
  <c r="M602" i="1" s="1"/>
  <c r="K602" i="1"/>
  <c r="J602" i="1"/>
  <c r="G602" i="1"/>
  <c r="U601" i="1"/>
  <c r="Q601" i="1"/>
  <c r="K601" i="1"/>
  <c r="J601" i="1"/>
  <c r="L601" i="1" s="1"/>
  <c r="M601" i="1" s="1"/>
  <c r="G601" i="1"/>
  <c r="U600" i="1"/>
  <c r="Q600" i="1"/>
  <c r="J600" i="1"/>
  <c r="G600" i="1"/>
  <c r="K600" i="1" s="1"/>
  <c r="L600" i="1" s="1"/>
  <c r="M600" i="1" s="1"/>
  <c r="U599" i="1"/>
  <c r="Q599" i="1"/>
  <c r="J599" i="1"/>
  <c r="G599" i="1"/>
  <c r="K599" i="1" s="1"/>
  <c r="U598" i="1"/>
  <c r="Q598" i="1"/>
  <c r="K598" i="1"/>
  <c r="J598" i="1"/>
  <c r="L598" i="1" s="1"/>
  <c r="M598" i="1" s="1"/>
  <c r="G598" i="1"/>
  <c r="U597" i="1"/>
  <c r="Q597" i="1"/>
  <c r="K597" i="1"/>
  <c r="L597" i="1" s="1"/>
  <c r="M597" i="1" s="1"/>
  <c r="J597" i="1"/>
  <c r="G597" i="1"/>
  <c r="U596" i="1"/>
  <c r="Q596" i="1"/>
  <c r="J596" i="1"/>
  <c r="G596" i="1"/>
  <c r="K596" i="1" s="1"/>
  <c r="L596" i="1" s="1"/>
  <c r="M596" i="1" s="1"/>
  <c r="U595" i="1"/>
  <c r="Q595" i="1"/>
  <c r="M595" i="1"/>
  <c r="K595" i="1"/>
  <c r="L595" i="1" s="1"/>
  <c r="J595" i="1"/>
  <c r="G595" i="1"/>
  <c r="U594" i="1"/>
  <c r="Q594" i="1"/>
  <c r="J594" i="1"/>
  <c r="G594" i="1"/>
  <c r="K594" i="1" s="1"/>
  <c r="L594" i="1" s="1"/>
  <c r="M594" i="1" s="1"/>
  <c r="U593" i="1"/>
  <c r="Q593" i="1"/>
  <c r="J593" i="1"/>
  <c r="G593" i="1"/>
  <c r="K593" i="1" s="1"/>
  <c r="U592" i="1"/>
  <c r="Q592" i="1"/>
  <c r="K592" i="1"/>
  <c r="J592" i="1"/>
  <c r="L592" i="1" s="1"/>
  <c r="M592" i="1" s="1"/>
  <c r="G592" i="1"/>
  <c r="U591" i="1"/>
  <c r="Q591" i="1"/>
  <c r="L591" i="1"/>
  <c r="M591" i="1" s="1"/>
  <c r="K591" i="1"/>
  <c r="J591" i="1"/>
  <c r="G591" i="1"/>
  <c r="U590" i="1"/>
  <c r="Q590" i="1"/>
  <c r="L590" i="1"/>
  <c r="M590" i="1" s="1"/>
  <c r="K590" i="1"/>
  <c r="J590" i="1"/>
  <c r="G590" i="1"/>
  <c r="U589" i="1"/>
  <c r="Q589" i="1"/>
  <c r="K589" i="1"/>
  <c r="J589" i="1"/>
  <c r="L589" i="1" s="1"/>
  <c r="M589" i="1" s="1"/>
  <c r="G589" i="1"/>
  <c r="U588" i="1"/>
  <c r="Q588" i="1"/>
  <c r="J588" i="1"/>
  <c r="G588" i="1"/>
  <c r="K588" i="1" s="1"/>
  <c r="L588" i="1" s="1"/>
  <c r="M588" i="1" s="1"/>
  <c r="U587" i="1"/>
  <c r="Q587" i="1"/>
  <c r="J587" i="1"/>
  <c r="G587" i="1"/>
  <c r="K587" i="1" s="1"/>
  <c r="U586" i="1"/>
  <c r="Q586" i="1"/>
  <c r="K586" i="1"/>
  <c r="J586" i="1"/>
  <c r="L586" i="1" s="1"/>
  <c r="M586" i="1" s="1"/>
  <c r="G586" i="1"/>
  <c r="U585" i="1"/>
  <c r="Q585" i="1"/>
  <c r="K585" i="1"/>
  <c r="L585" i="1" s="1"/>
  <c r="M585" i="1" s="1"/>
  <c r="J585" i="1"/>
  <c r="G585" i="1"/>
  <c r="U584" i="1"/>
  <c r="Q584" i="1"/>
  <c r="J584" i="1"/>
  <c r="G584" i="1"/>
  <c r="K584" i="1" s="1"/>
  <c r="L584" i="1" s="1"/>
  <c r="M584" i="1" s="1"/>
  <c r="U583" i="1"/>
  <c r="Q583" i="1"/>
  <c r="M583" i="1"/>
  <c r="K583" i="1"/>
  <c r="L583" i="1" s="1"/>
  <c r="J583" i="1"/>
  <c r="G583" i="1"/>
  <c r="U582" i="1"/>
  <c r="Q582" i="1"/>
  <c r="J582" i="1"/>
  <c r="G582" i="1"/>
  <c r="K582" i="1" s="1"/>
  <c r="L582" i="1" s="1"/>
  <c r="M582" i="1" s="1"/>
  <c r="U581" i="1"/>
  <c r="Q581" i="1"/>
  <c r="J581" i="1"/>
  <c r="G581" i="1"/>
  <c r="K581" i="1" s="1"/>
  <c r="U580" i="1"/>
  <c r="Q580" i="1"/>
  <c r="K580" i="1"/>
  <c r="J580" i="1"/>
  <c r="L580" i="1" s="1"/>
  <c r="M580" i="1" s="1"/>
  <c r="G580" i="1"/>
  <c r="U579" i="1"/>
  <c r="Q579" i="1"/>
  <c r="L579" i="1"/>
  <c r="M579" i="1" s="1"/>
  <c r="K579" i="1"/>
  <c r="J579" i="1"/>
  <c r="G579" i="1"/>
  <c r="U578" i="1"/>
  <c r="Q578" i="1"/>
  <c r="L578" i="1"/>
  <c r="M578" i="1" s="1"/>
  <c r="K578" i="1"/>
  <c r="J578" i="1"/>
  <c r="G578" i="1"/>
  <c r="U577" i="1"/>
  <c r="Q577" i="1"/>
  <c r="K577" i="1"/>
  <c r="J577" i="1"/>
  <c r="L577" i="1" s="1"/>
  <c r="M577" i="1" s="1"/>
  <c r="G577" i="1"/>
  <c r="U576" i="1"/>
  <c r="Q576" i="1"/>
  <c r="J576" i="1"/>
  <c r="G576" i="1"/>
  <c r="K576" i="1" s="1"/>
  <c r="L576" i="1" s="1"/>
  <c r="M576" i="1" s="1"/>
  <c r="U575" i="1"/>
  <c r="Q575" i="1"/>
  <c r="J575" i="1"/>
  <c r="G575" i="1"/>
  <c r="K575" i="1" s="1"/>
  <c r="U574" i="1"/>
  <c r="Q574" i="1"/>
  <c r="K574" i="1"/>
  <c r="J574" i="1"/>
  <c r="L574" i="1" s="1"/>
  <c r="M574" i="1" s="1"/>
  <c r="G574" i="1"/>
  <c r="U573" i="1"/>
  <c r="Q573" i="1"/>
  <c r="K573" i="1"/>
  <c r="L573" i="1" s="1"/>
  <c r="M573" i="1" s="1"/>
  <c r="J573" i="1"/>
  <c r="G573" i="1"/>
  <c r="U572" i="1"/>
  <c r="Q572" i="1"/>
  <c r="J572" i="1"/>
  <c r="G572" i="1"/>
  <c r="K572" i="1" s="1"/>
  <c r="L572" i="1" s="1"/>
  <c r="M572" i="1" s="1"/>
  <c r="U571" i="1"/>
  <c r="Q571" i="1"/>
  <c r="M571" i="1"/>
  <c r="K571" i="1"/>
  <c r="L571" i="1" s="1"/>
  <c r="J571" i="1"/>
  <c r="G571" i="1"/>
  <c r="U570" i="1"/>
  <c r="Q570" i="1"/>
  <c r="J570" i="1"/>
  <c r="G570" i="1"/>
  <c r="K570" i="1" s="1"/>
  <c r="L570" i="1" s="1"/>
  <c r="M570" i="1" s="1"/>
  <c r="U569" i="1"/>
  <c r="Q569" i="1"/>
  <c r="J569" i="1"/>
  <c r="G569" i="1"/>
  <c r="K569" i="1" s="1"/>
  <c r="U568" i="1"/>
  <c r="Q568" i="1"/>
  <c r="K568" i="1"/>
  <c r="J568" i="1"/>
  <c r="L568" i="1" s="1"/>
  <c r="M568" i="1" s="1"/>
  <c r="G568" i="1"/>
  <c r="U567" i="1"/>
  <c r="Q567" i="1"/>
  <c r="L567" i="1"/>
  <c r="M567" i="1" s="1"/>
  <c r="K567" i="1"/>
  <c r="J567" i="1"/>
  <c r="G567" i="1"/>
  <c r="U566" i="1"/>
  <c r="Q566" i="1"/>
  <c r="L566" i="1"/>
  <c r="M566" i="1" s="1"/>
  <c r="K566" i="1"/>
  <c r="J566" i="1"/>
  <c r="G566" i="1"/>
  <c r="U565" i="1"/>
  <c r="Q565" i="1"/>
  <c r="K565" i="1"/>
  <c r="J565" i="1"/>
  <c r="L565" i="1" s="1"/>
  <c r="M565" i="1" s="1"/>
  <c r="G565" i="1"/>
  <c r="U564" i="1"/>
  <c r="Q564" i="1"/>
  <c r="J564" i="1"/>
  <c r="G564" i="1"/>
  <c r="K564" i="1" s="1"/>
  <c r="L564" i="1" s="1"/>
  <c r="M564" i="1" s="1"/>
  <c r="U563" i="1"/>
  <c r="Q563" i="1"/>
  <c r="J563" i="1"/>
  <c r="G563" i="1"/>
  <c r="K563" i="1" s="1"/>
  <c r="U562" i="1"/>
  <c r="Q562" i="1"/>
  <c r="K562" i="1"/>
  <c r="J562" i="1"/>
  <c r="L562" i="1" s="1"/>
  <c r="M562" i="1" s="1"/>
  <c r="G562" i="1"/>
  <c r="U561" i="1"/>
  <c r="Q561" i="1"/>
  <c r="K561" i="1"/>
  <c r="L561" i="1" s="1"/>
  <c r="M561" i="1" s="1"/>
  <c r="J561" i="1"/>
  <c r="G561" i="1"/>
  <c r="U560" i="1"/>
  <c r="Q560" i="1"/>
  <c r="J560" i="1"/>
  <c r="G560" i="1"/>
  <c r="K560" i="1" s="1"/>
  <c r="L560" i="1" s="1"/>
  <c r="M560" i="1" s="1"/>
  <c r="U559" i="1"/>
  <c r="Q559" i="1"/>
  <c r="M559" i="1"/>
  <c r="K559" i="1"/>
  <c r="L559" i="1" s="1"/>
  <c r="J559" i="1"/>
  <c r="G559" i="1"/>
  <c r="U558" i="1"/>
  <c r="Q558" i="1"/>
  <c r="J558" i="1"/>
  <c r="G558" i="1"/>
  <c r="K558" i="1" s="1"/>
  <c r="L558" i="1" s="1"/>
  <c r="M558" i="1" s="1"/>
  <c r="U557" i="1"/>
  <c r="Q557" i="1"/>
  <c r="J557" i="1"/>
  <c r="G557" i="1"/>
  <c r="K557" i="1" s="1"/>
  <c r="U556" i="1"/>
  <c r="Q556" i="1"/>
  <c r="K556" i="1"/>
  <c r="J556" i="1"/>
  <c r="L556" i="1" s="1"/>
  <c r="M556" i="1" s="1"/>
  <c r="G556" i="1"/>
  <c r="U555" i="1"/>
  <c r="Q555" i="1"/>
  <c r="L555" i="1"/>
  <c r="M555" i="1" s="1"/>
  <c r="K555" i="1"/>
  <c r="J555" i="1"/>
  <c r="G555" i="1"/>
  <c r="U554" i="1"/>
  <c r="Q554" i="1"/>
  <c r="L554" i="1"/>
  <c r="M554" i="1" s="1"/>
  <c r="K554" i="1"/>
  <c r="J554" i="1"/>
  <c r="G554" i="1"/>
  <c r="U553" i="1"/>
  <c r="Q553" i="1"/>
  <c r="K553" i="1"/>
  <c r="J553" i="1"/>
  <c r="L553" i="1" s="1"/>
  <c r="M553" i="1" s="1"/>
  <c r="G553" i="1"/>
  <c r="U552" i="1"/>
  <c r="Q552" i="1"/>
  <c r="J552" i="1"/>
  <c r="G552" i="1"/>
  <c r="K552" i="1" s="1"/>
  <c r="L552" i="1" s="1"/>
  <c r="M552" i="1" s="1"/>
  <c r="U551" i="1"/>
  <c r="Q551" i="1"/>
  <c r="J551" i="1"/>
  <c r="G551" i="1"/>
  <c r="K551" i="1" s="1"/>
  <c r="U550" i="1"/>
  <c r="Q550" i="1"/>
  <c r="K550" i="1"/>
  <c r="J550" i="1"/>
  <c r="G550" i="1"/>
  <c r="U549" i="1"/>
  <c r="Q549" i="1"/>
  <c r="K549" i="1"/>
  <c r="L549" i="1" s="1"/>
  <c r="M549" i="1" s="1"/>
  <c r="J549" i="1"/>
  <c r="G549" i="1"/>
  <c r="U548" i="1"/>
  <c r="Q548" i="1"/>
  <c r="J548" i="1"/>
  <c r="G548" i="1"/>
  <c r="K548" i="1" s="1"/>
  <c r="L548" i="1" s="1"/>
  <c r="M548" i="1" s="1"/>
  <c r="U547" i="1"/>
  <c r="Q547" i="1"/>
  <c r="K547" i="1"/>
  <c r="L547" i="1" s="1"/>
  <c r="M547" i="1" s="1"/>
  <c r="J547" i="1"/>
  <c r="G547" i="1"/>
  <c r="U546" i="1"/>
  <c r="Q546" i="1"/>
  <c r="J546" i="1"/>
  <c r="G546" i="1"/>
  <c r="K546" i="1" s="1"/>
  <c r="L546" i="1" s="1"/>
  <c r="M546" i="1" s="1"/>
  <c r="U545" i="1"/>
  <c r="Q545" i="1"/>
  <c r="J545" i="1"/>
  <c r="L545" i="1" s="1"/>
  <c r="M545" i="1" s="1"/>
  <c r="G545" i="1"/>
  <c r="K545" i="1" s="1"/>
  <c r="U544" i="1"/>
  <c r="Q544" i="1"/>
  <c r="K544" i="1"/>
  <c r="J544" i="1"/>
  <c r="L544" i="1" s="1"/>
  <c r="M544" i="1" s="1"/>
  <c r="G544" i="1"/>
  <c r="U543" i="1"/>
  <c r="Q543" i="1"/>
  <c r="L543" i="1"/>
  <c r="M543" i="1" s="1"/>
  <c r="K543" i="1"/>
  <c r="J543" i="1"/>
  <c r="G543" i="1"/>
  <c r="U542" i="1"/>
  <c r="Q542" i="1"/>
  <c r="L542" i="1"/>
  <c r="M542" i="1" s="1"/>
  <c r="K542" i="1"/>
  <c r="J542" i="1"/>
  <c r="G542" i="1"/>
  <c r="U541" i="1"/>
  <c r="Q541" i="1"/>
  <c r="K541" i="1"/>
  <c r="J541" i="1"/>
  <c r="L541" i="1" s="1"/>
  <c r="M541" i="1" s="1"/>
  <c r="G541" i="1"/>
  <c r="U540" i="1"/>
  <c r="Q540" i="1"/>
  <c r="L540" i="1"/>
  <c r="M540" i="1" s="1"/>
  <c r="J540" i="1"/>
  <c r="G540" i="1"/>
  <c r="K540" i="1" s="1"/>
  <c r="U539" i="1"/>
  <c r="Q539" i="1"/>
  <c r="J539" i="1"/>
  <c r="G539" i="1"/>
  <c r="K539" i="1" s="1"/>
  <c r="U538" i="1"/>
  <c r="Q538" i="1"/>
  <c r="K538" i="1"/>
  <c r="J538" i="1"/>
  <c r="L538" i="1" s="1"/>
  <c r="M538" i="1" s="1"/>
  <c r="G538" i="1"/>
  <c r="U537" i="1"/>
  <c r="Q537" i="1"/>
  <c r="K537" i="1"/>
  <c r="L537" i="1" s="1"/>
  <c r="M537" i="1" s="1"/>
  <c r="J537" i="1"/>
  <c r="G537" i="1"/>
  <c r="U536" i="1"/>
  <c r="Q536" i="1"/>
  <c r="M536" i="1"/>
  <c r="L536" i="1"/>
  <c r="K536" i="1"/>
  <c r="J536" i="1"/>
  <c r="G536" i="1"/>
  <c r="U535" i="1"/>
  <c r="Q535" i="1"/>
  <c r="M535" i="1"/>
  <c r="K535" i="1"/>
  <c r="L535" i="1" s="1"/>
  <c r="J535" i="1"/>
  <c r="G535" i="1"/>
  <c r="U534" i="1"/>
  <c r="Q534" i="1"/>
  <c r="J534" i="1"/>
  <c r="G534" i="1"/>
  <c r="K534" i="1" s="1"/>
  <c r="L534" i="1" s="1"/>
  <c r="M534" i="1" s="1"/>
  <c r="U533" i="1"/>
  <c r="Q533" i="1"/>
  <c r="J533" i="1"/>
  <c r="G533" i="1"/>
  <c r="K533" i="1" s="1"/>
  <c r="U532" i="1"/>
  <c r="Q532" i="1"/>
  <c r="K532" i="1"/>
  <c r="J532" i="1"/>
  <c r="L532" i="1" s="1"/>
  <c r="M532" i="1" s="1"/>
  <c r="G532" i="1"/>
  <c r="U531" i="1"/>
  <c r="Q531" i="1"/>
  <c r="L531" i="1"/>
  <c r="M531" i="1" s="1"/>
  <c r="K531" i="1"/>
  <c r="J531" i="1"/>
  <c r="G531" i="1"/>
  <c r="U530" i="1"/>
  <c r="Q530" i="1"/>
  <c r="K530" i="1"/>
  <c r="J530" i="1"/>
  <c r="L530" i="1" s="1"/>
  <c r="M530" i="1" s="1"/>
  <c r="G530" i="1"/>
  <c r="U529" i="1"/>
  <c r="Q529" i="1"/>
  <c r="K529" i="1"/>
  <c r="L529" i="1" s="1"/>
  <c r="M529" i="1" s="1"/>
  <c r="J529" i="1"/>
  <c r="G529" i="1"/>
  <c r="U528" i="1"/>
  <c r="Q528" i="1"/>
  <c r="J528" i="1"/>
  <c r="G528" i="1"/>
  <c r="K528" i="1" s="1"/>
  <c r="L528" i="1" s="1"/>
  <c r="M528" i="1" s="1"/>
  <c r="U527" i="1"/>
  <c r="Q527" i="1"/>
  <c r="J527" i="1"/>
  <c r="L527" i="1" s="1"/>
  <c r="M527" i="1" s="1"/>
  <c r="G527" i="1"/>
  <c r="K527" i="1" s="1"/>
  <c r="U526" i="1"/>
  <c r="Q526" i="1"/>
  <c r="K526" i="1"/>
  <c r="J526" i="1"/>
  <c r="G526" i="1"/>
  <c r="U525" i="1"/>
  <c r="Q525" i="1"/>
  <c r="J525" i="1"/>
  <c r="G525" i="1"/>
  <c r="K525" i="1" s="1"/>
  <c r="L525" i="1" s="1"/>
  <c r="M525" i="1" s="1"/>
  <c r="U524" i="1"/>
  <c r="Q524" i="1"/>
  <c r="M524" i="1"/>
  <c r="L524" i="1"/>
  <c r="K524" i="1"/>
  <c r="J524" i="1"/>
  <c r="G524" i="1"/>
  <c r="U523" i="1"/>
  <c r="Q523" i="1"/>
  <c r="K523" i="1"/>
  <c r="L523" i="1" s="1"/>
  <c r="M523" i="1" s="1"/>
  <c r="J523" i="1"/>
  <c r="G523" i="1"/>
  <c r="U522" i="1"/>
  <c r="Q522" i="1"/>
  <c r="J522" i="1"/>
  <c r="G522" i="1"/>
  <c r="K522" i="1" s="1"/>
  <c r="L522" i="1" s="1"/>
  <c r="M522" i="1" s="1"/>
  <c r="U521" i="1"/>
  <c r="Q521" i="1"/>
  <c r="J521" i="1"/>
  <c r="G521" i="1"/>
  <c r="K521" i="1" s="1"/>
  <c r="U520" i="1"/>
  <c r="Q520" i="1"/>
  <c r="K520" i="1"/>
  <c r="J520" i="1"/>
  <c r="L520" i="1" s="1"/>
  <c r="M520" i="1" s="1"/>
  <c r="G520" i="1"/>
  <c r="U519" i="1"/>
  <c r="Q519" i="1"/>
  <c r="L519" i="1"/>
  <c r="M519" i="1" s="1"/>
  <c r="K519" i="1"/>
  <c r="J519" i="1"/>
  <c r="G519" i="1"/>
  <c r="U518" i="1"/>
  <c r="Q518" i="1"/>
  <c r="L518" i="1"/>
  <c r="M518" i="1" s="1"/>
  <c r="K518" i="1"/>
  <c r="J518" i="1"/>
  <c r="G518" i="1"/>
  <c r="U517" i="1"/>
  <c r="Q517" i="1"/>
  <c r="K517" i="1"/>
  <c r="L517" i="1" s="1"/>
  <c r="M517" i="1" s="1"/>
  <c r="J517" i="1"/>
  <c r="G517" i="1"/>
  <c r="U516" i="1"/>
  <c r="Q516" i="1"/>
  <c r="J516" i="1"/>
  <c r="G516" i="1"/>
  <c r="K516" i="1" s="1"/>
  <c r="L516" i="1" s="1"/>
  <c r="M516" i="1" s="1"/>
  <c r="U515" i="1"/>
  <c r="Q515" i="1"/>
  <c r="J515" i="1"/>
  <c r="G515" i="1"/>
  <c r="K515" i="1" s="1"/>
  <c r="U514" i="1"/>
  <c r="Q514" i="1"/>
  <c r="K514" i="1"/>
  <c r="J514" i="1"/>
  <c r="L514" i="1" s="1"/>
  <c r="M514" i="1" s="1"/>
  <c r="G514" i="1"/>
  <c r="U513" i="1"/>
  <c r="Q513" i="1"/>
  <c r="K513" i="1"/>
  <c r="L513" i="1" s="1"/>
  <c r="M513" i="1" s="1"/>
  <c r="J513" i="1"/>
  <c r="G513" i="1"/>
  <c r="U512" i="1"/>
  <c r="Q512" i="1"/>
  <c r="M512" i="1"/>
  <c r="L512" i="1"/>
  <c r="K512" i="1"/>
  <c r="J512" i="1"/>
  <c r="G512" i="1"/>
  <c r="U511" i="1"/>
  <c r="Q511" i="1"/>
  <c r="M511" i="1"/>
  <c r="K511" i="1"/>
  <c r="L511" i="1" s="1"/>
  <c r="J511" i="1"/>
  <c r="G511" i="1"/>
  <c r="U510" i="1"/>
  <c r="Q510" i="1"/>
  <c r="J510" i="1"/>
  <c r="G510" i="1"/>
  <c r="K510" i="1" s="1"/>
  <c r="L510" i="1" s="1"/>
  <c r="M510" i="1" s="1"/>
  <c r="U509" i="1"/>
  <c r="Q509" i="1"/>
  <c r="J509" i="1"/>
  <c r="G509" i="1"/>
  <c r="K509" i="1" s="1"/>
  <c r="U508" i="1"/>
  <c r="Q508" i="1"/>
  <c r="K508" i="1"/>
  <c r="J508" i="1"/>
  <c r="L508" i="1" s="1"/>
  <c r="M508" i="1" s="1"/>
  <c r="G508" i="1"/>
  <c r="U507" i="1"/>
  <c r="Q507" i="1"/>
  <c r="L507" i="1"/>
  <c r="M507" i="1" s="1"/>
  <c r="K507" i="1"/>
  <c r="J507" i="1"/>
  <c r="G507" i="1"/>
  <c r="U506" i="1"/>
  <c r="Q506" i="1"/>
  <c r="L506" i="1"/>
  <c r="M506" i="1" s="1"/>
  <c r="K506" i="1"/>
  <c r="J506" i="1"/>
  <c r="G506" i="1"/>
  <c r="U505" i="1"/>
  <c r="Q505" i="1"/>
  <c r="K505" i="1"/>
  <c r="L505" i="1" s="1"/>
  <c r="M505" i="1" s="1"/>
  <c r="J505" i="1"/>
  <c r="G505" i="1"/>
  <c r="U504" i="1"/>
  <c r="Q504" i="1"/>
  <c r="J504" i="1"/>
  <c r="G504" i="1"/>
  <c r="K504" i="1" s="1"/>
  <c r="L504" i="1" s="1"/>
  <c r="M504" i="1" s="1"/>
  <c r="U503" i="1"/>
  <c r="Q503" i="1"/>
  <c r="J503" i="1"/>
  <c r="L503" i="1" s="1"/>
  <c r="M503" i="1" s="1"/>
  <c r="G503" i="1"/>
  <c r="K503" i="1" s="1"/>
  <c r="U502" i="1"/>
  <c r="Q502" i="1"/>
  <c r="K502" i="1"/>
  <c r="J502" i="1"/>
  <c r="L502" i="1" s="1"/>
  <c r="M502" i="1" s="1"/>
  <c r="G502" i="1"/>
  <c r="U501" i="1"/>
  <c r="Q501" i="1"/>
  <c r="K501" i="1"/>
  <c r="L501" i="1" s="1"/>
  <c r="M501" i="1" s="1"/>
  <c r="J501" i="1"/>
  <c r="G501" i="1"/>
  <c r="U500" i="1"/>
  <c r="Q500" i="1"/>
  <c r="M500" i="1"/>
  <c r="L500" i="1"/>
  <c r="K500" i="1"/>
  <c r="J500" i="1"/>
  <c r="G500" i="1"/>
  <c r="U499" i="1"/>
  <c r="Q499" i="1"/>
  <c r="K499" i="1"/>
  <c r="L499" i="1" s="1"/>
  <c r="M499" i="1" s="1"/>
  <c r="J499" i="1"/>
  <c r="G499" i="1"/>
  <c r="U498" i="1"/>
  <c r="Q498" i="1"/>
  <c r="J498" i="1"/>
  <c r="G498" i="1"/>
  <c r="K498" i="1" s="1"/>
  <c r="L498" i="1" s="1"/>
  <c r="M498" i="1" s="1"/>
  <c r="U497" i="1"/>
  <c r="Q497" i="1"/>
  <c r="J497" i="1"/>
  <c r="L497" i="1" s="1"/>
  <c r="M497" i="1" s="1"/>
  <c r="G497" i="1"/>
  <c r="K497" i="1" s="1"/>
  <c r="U496" i="1"/>
  <c r="Q496" i="1"/>
  <c r="J496" i="1"/>
  <c r="L496" i="1" s="1"/>
  <c r="M496" i="1" s="1"/>
  <c r="G496" i="1"/>
  <c r="K496" i="1" s="1"/>
  <c r="U495" i="1"/>
  <c r="Q495" i="1"/>
  <c r="L495" i="1"/>
  <c r="M495" i="1" s="1"/>
  <c r="K495" i="1"/>
  <c r="J495" i="1"/>
  <c r="G495" i="1"/>
  <c r="U494" i="1"/>
  <c r="Q494" i="1"/>
  <c r="K494" i="1"/>
  <c r="J494" i="1"/>
  <c r="L494" i="1" s="1"/>
  <c r="M494" i="1" s="1"/>
  <c r="G494" i="1"/>
  <c r="U493" i="1"/>
  <c r="Q493" i="1"/>
  <c r="K493" i="1"/>
  <c r="L493" i="1" s="1"/>
  <c r="M493" i="1" s="1"/>
  <c r="J493" i="1"/>
  <c r="G493" i="1"/>
  <c r="U492" i="1"/>
  <c r="Q492" i="1"/>
  <c r="L492" i="1"/>
  <c r="M492" i="1" s="1"/>
  <c r="J492" i="1"/>
  <c r="G492" i="1"/>
  <c r="K492" i="1" s="1"/>
  <c r="U491" i="1"/>
  <c r="Q491" i="1"/>
  <c r="J491" i="1"/>
  <c r="G491" i="1"/>
  <c r="K491" i="1" s="1"/>
  <c r="U490" i="1"/>
  <c r="Q490" i="1"/>
  <c r="K490" i="1"/>
  <c r="L490" i="1" s="1"/>
  <c r="M490" i="1" s="1"/>
  <c r="J490" i="1"/>
  <c r="G490" i="1"/>
  <c r="U489" i="1"/>
  <c r="Q489" i="1"/>
  <c r="K489" i="1"/>
  <c r="J489" i="1"/>
  <c r="L489" i="1" s="1"/>
  <c r="M489" i="1" s="1"/>
  <c r="G489" i="1"/>
  <c r="U488" i="1"/>
  <c r="Q488" i="1"/>
  <c r="M488" i="1"/>
  <c r="L488" i="1"/>
  <c r="K488" i="1"/>
  <c r="J488" i="1"/>
  <c r="G488" i="1"/>
  <c r="U487" i="1"/>
  <c r="Q487" i="1"/>
  <c r="K487" i="1"/>
  <c r="L487" i="1" s="1"/>
  <c r="M487" i="1" s="1"/>
  <c r="J487" i="1"/>
  <c r="G487" i="1"/>
  <c r="U486" i="1"/>
  <c r="Q486" i="1"/>
  <c r="J486" i="1"/>
  <c r="G486" i="1"/>
  <c r="K486" i="1" s="1"/>
  <c r="L486" i="1" s="1"/>
  <c r="M486" i="1" s="1"/>
  <c r="U485" i="1"/>
  <c r="Q485" i="1"/>
  <c r="M485" i="1"/>
  <c r="K485" i="1"/>
  <c r="J485" i="1"/>
  <c r="L485" i="1" s="1"/>
  <c r="G485" i="1"/>
  <c r="U484" i="1"/>
  <c r="Q484" i="1"/>
  <c r="J484" i="1"/>
  <c r="G484" i="1"/>
  <c r="K484" i="1" s="1"/>
  <c r="U483" i="1"/>
  <c r="Q483" i="1"/>
  <c r="L483" i="1"/>
  <c r="M483" i="1" s="1"/>
  <c r="K483" i="1"/>
  <c r="J483" i="1"/>
  <c r="G483" i="1"/>
  <c r="U482" i="1"/>
  <c r="Q482" i="1"/>
  <c r="K482" i="1"/>
  <c r="J482" i="1"/>
  <c r="L482" i="1" s="1"/>
  <c r="M482" i="1" s="1"/>
  <c r="G482" i="1"/>
  <c r="U481" i="1"/>
  <c r="Q481" i="1"/>
  <c r="K481" i="1"/>
  <c r="L481" i="1" s="1"/>
  <c r="M481" i="1" s="1"/>
  <c r="J481" i="1"/>
  <c r="G481" i="1"/>
  <c r="U480" i="1"/>
  <c r="Q480" i="1"/>
  <c r="L480" i="1"/>
  <c r="M480" i="1" s="1"/>
  <c r="J480" i="1"/>
  <c r="G480" i="1"/>
  <c r="K480" i="1" s="1"/>
  <c r="U479" i="1"/>
  <c r="Q479" i="1"/>
  <c r="J479" i="1"/>
  <c r="G479" i="1"/>
  <c r="K479" i="1" s="1"/>
  <c r="U478" i="1"/>
  <c r="Q478" i="1"/>
  <c r="K478" i="1"/>
  <c r="L478" i="1" s="1"/>
  <c r="M478" i="1" s="1"/>
  <c r="J478" i="1"/>
  <c r="G478" i="1"/>
  <c r="U477" i="1"/>
  <c r="Q477" i="1"/>
  <c r="J477" i="1"/>
  <c r="G477" i="1"/>
  <c r="K477" i="1" s="1"/>
  <c r="U476" i="1"/>
  <c r="Q476" i="1"/>
  <c r="M476" i="1"/>
  <c r="L476" i="1"/>
  <c r="K476" i="1"/>
  <c r="J476" i="1"/>
  <c r="G476" i="1"/>
  <c r="U475" i="1"/>
  <c r="Q475" i="1"/>
  <c r="K475" i="1"/>
  <c r="L475" i="1" s="1"/>
  <c r="M475" i="1" s="1"/>
  <c r="J475" i="1"/>
  <c r="G475" i="1"/>
  <c r="U474" i="1"/>
  <c r="Q474" i="1"/>
  <c r="J474" i="1"/>
  <c r="G474" i="1"/>
  <c r="K474" i="1" s="1"/>
  <c r="L474" i="1" s="1"/>
  <c r="M474" i="1" s="1"/>
  <c r="U473" i="1"/>
  <c r="Q473" i="1"/>
  <c r="M473" i="1"/>
  <c r="K473" i="1"/>
  <c r="J473" i="1"/>
  <c r="L473" i="1" s="1"/>
  <c r="G473" i="1"/>
  <c r="U472" i="1"/>
  <c r="Q472" i="1"/>
  <c r="J472" i="1"/>
  <c r="L472" i="1" s="1"/>
  <c r="M472" i="1" s="1"/>
  <c r="G472" i="1"/>
  <c r="K472" i="1" s="1"/>
  <c r="U471" i="1"/>
  <c r="Q471" i="1"/>
  <c r="M471" i="1"/>
  <c r="L471" i="1"/>
  <c r="K471" i="1"/>
  <c r="J471" i="1"/>
  <c r="G471" i="1"/>
  <c r="U470" i="1"/>
  <c r="Q470" i="1"/>
  <c r="K470" i="1"/>
  <c r="L470" i="1" s="1"/>
  <c r="M470" i="1" s="1"/>
  <c r="J470" i="1"/>
  <c r="G470" i="1"/>
  <c r="U469" i="1"/>
  <c r="Q469" i="1"/>
  <c r="K469" i="1"/>
  <c r="L469" i="1" s="1"/>
  <c r="M469" i="1" s="1"/>
  <c r="J469" i="1"/>
  <c r="G469" i="1"/>
  <c r="U468" i="1"/>
  <c r="Q468" i="1"/>
  <c r="J468" i="1"/>
  <c r="L468" i="1" s="1"/>
  <c r="M468" i="1" s="1"/>
  <c r="G468" i="1"/>
  <c r="K468" i="1" s="1"/>
  <c r="U467" i="1"/>
  <c r="Q467" i="1"/>
  <c r="J467" i="1"/>
  <c r="L467" i="1" s="1"/>
  <c r="M467" i="1" s="1"/>
  <c r="G467" i="1"/>
  <c r="K467" i="1" s="1"/>
  <c r="U466" i="1"/>
  <c r="Q466" i="1"/>
  <c r="K466" i="1"/>
  <c r="J466" i="1"/>
  <c r="L466" i="1" s="1"/>
  <c r="M466" i="1" s="1"/>
  <c r="G466" i="1"/>
  <c r="U465" i="1"/>
  <c r="Q465" i="1"/>
  <c r="K465" i="1"/>
  <c r="J465" i="1"/>
  <c r="G465" i="1"/>
  <c r="U464" i="1"/>
  <c r="Q464" i="1"/>
  <c r="L464" i="1"/>
  <c r="M464" i="1" s="1"/>
  <c r="K464" i="1"/>
  <c r="J464" i="1"/>
  <c r="G464" i="1"/>
  <c r="U463" i="1"/>
  <c r="Q463" i="1"/>
  <c r="M463" i="1"/>
  <c r="J463" i="1"/>
  <c r="G463" i="1"/>
  <c r="K463" i="1" s="1"/>
  <c r="L463" i="1" s="1"/>
  <c r="U462" i="1"/>
  <c r="Q462" i="1"/>
  <c r="J462" i="1"/>
  <c r="G462" i="1"/>
  <c r="K462" i="1" s="1"/>
  <c r="L462" i="1" s="1"/>
  <c r="M462" i="1" s="1"/>
  <c r="U461" i="1"/>
  <c r="Q461" i="1"/>
  <c r="K461" i="1"/>
  <c r="J461" i="1"/>
  <c r="G461" i="1"/>
  <c r="U460" i="1"/>
  <c r="Q460" i="1"/>
  <c r="J460" i="1"/>
  <c r="G460" i="1"/>
  <c r="K460" i="1" s="1"/>
  <c r="U459" i="1"/>
  <c r="Q459" i="1"/>
  <c r="K459" i="1"/>
  <c r="L459" i="1" s="1"/>
  <c r="M459" i="1" s="1"/>
  <c r="J459" i="1"/>
  <c r="G459" i="1"/>
  <c r="U458" i="1"/>
  <c r="Q458" i="1"/>
  <c r="K458" i="1"/>
  <c r="J458" i="1"/>
  <c r="L458" i="1" s="1"/>
  <c r="M458" i="1" s="1"/>
  <c r="G458" i="1"/>
  <c r="U457" i="1"/>
  <c r="Q457" i="1"/>
  <c r="M457" i="1"/>
  <c r="K457" i="1"/>
  <c r="L457" i="1" s="1"/>
  <c r="J457" i="1"/>
  <c r="G457" i="1"/>
  <c r="U456" i="1"/>
  <c r="Q456" i="1"/>
  <c r="J456" i="1"/>
  <c r="L456" i="1" s="1"/>
  <c r="M456" i="1" s="1"/>
  <c r="G456" i="1"/>
  <c r="K456" i="1" s="1"/>
  <c r="U455" i="1"/>
  <c r="Q455" i="1"/>
  <c r="J455" i="1"/>
  <c r="L455" i="1" s="1"/>
  <c r="M455" i="1" s="1"/>
  <c r="G455" i="1"/>
  <c r="K455" i="1" s="1"/>
  <c r="U454" i="1"/>
  <c r="Q454" i="1"/>
  <c r="L454" i="1"/>
  <c r="M454" i="1" s="1"/>
  <c r="K454" i="1"/>
  <c r="J454" i="1"/>
  <c r="G454" i="1"/>
  <c r="U453" i="1"/>
  <c r="Q453" i="1"/>
  <c r="L453" i="1"/>
  <c r="M453" i="1" s="1"/>
  <c r="J453" i="1"/>
  <c r="G453" i="1"/>
  <c r="K453" i="1" s="1"/>
  <c r="U452" i="1"/>
  <c r="Q452" i="1"/>
  <c r="M452" i="1"/>
  <c r="L452" i="1"/>
  <c r="K452" i="1"/>
  <c r="J452" i="1"/>
  <c r="G452" i="1"/>
  <c r="U451" i="1"/>
  <c r="Q451" i="1"/>
  <c r="L451" i="1"/>
  <c r="M451" i="1" s="1"/>
  <c r="K451" i="1"/>
  <c r="J451" i="1"/>
  <c r="G451" i="1"/>
  <c r="U450" i="1"/>
  <c r="Q450" i="1"/>
  <c r="J450" i="1"/>
  <c r="G450" i="1"/>
  <c r="K450" i="1" s="1"/>
  <c r="L450" i="1" s="1"/>
  <c r="M450" i="1" s="1"/>
  <c r="U449" i="1"/>
  <c r="Q449" i="1"/>
  <c r="J449" i="1"/>
  <c r="G449" i="1"/>
  <c r="K449" i="1" s="1"/>
  <c r="U448" i="1"/>
  <c r="Q448" i="1"/>
  <c r="K448" i="1"/>
  <c r="J448" i="1"/>
  <c r="G448" i="1"/>
  <c r="U447" i="1"/>
  <c r="Q447" i="1"/>
  <c r="L447" i="1"/>
  <c r="M447" i="1" s="1"/>
  <c r="K447" i="1"/>
  <c r="J447" i="1"/>
  <c r="G447" i="1"/>
  <c r="U446" i="1"/>
  <c r="Q446" i="1"/>
  <c r="K446" i="1"/>
  <c r="J446" i="1"/>
  <c r="L446" i="1" s="1"/>
  <c r="M446" i="1" s="1"/>
  <c r="G446" i="1"/>
  <c r="U445" i="1"/>
  <c r="Q445" i="1"/>
  <c r="K445" i="1"/>
  <c r="L445" i="1" s="1"/>
  <c r="M445" i="1" s="1"/>
  <c r="J445" i="1"/>
  <c r="G445" i="1"/>
  <c r="U444" i="1"/>
  <c r="Q444" i="1"/>
  <c r="J444" i="1"/>
  <c r="L444" i="1" s="1"/>
  <c r="M444" i="1" s="1"/>
  <c r="G444" i="1"/>
  <c r="K444" i="1" s="1"/>
  <c r="U443" i="1"/>
  <c r="Q443" i="1"/>
  <c r="J443" i="1"/>
  <c r="G443" i="1"/>
  <c r="K443" i="1" s="1"/>
  <c r="U442" i="1"/>
  <c r="Q442" i="1"/>
  <c r="K442" i="1"/>
  <c r="L442" i="1" s="1"/>
  <c r="M442" i="1" s="1"/>
  <c r="J442" i="1"/>
  <c r="G442" i="1"/>
  <c r="U441" i="1"/>
  <c r="Q441" i="1"/>
  <c r="K441" i="1"/>
  <c r="L441" i="1" s="1"/>
  <c r="M441" i="1" s="1"/>
  <c r="J441" i="1"/>
  <c r="G441" i="1"/>
  <c r="U440" i="1"/>
  <c r="Q440" i="1"/>
  <c r="L440" i="1"/>
  <c r="M440" i="1" s="1"/>
  <c r="K440" i="1"/>
  <c r="J440" i="1"/>
  <c r="G440" i="1"/>
  <c r="U439" i="1"/>
  <c r="Q439" i="1"/>
  <c r="M439" i="1"/>
  <c r="K439" i="1"/>
  <c r="L439" i="1" s="1"/>
  <c r="J439" i="1"/>
  <c r="G439" i="1"/>
  <c r="U438" i="1"/>
  <c r="Q438" i="1"/>
  <c r="J438" i="1"/>
  <c r="G438" i="1"/>
  <c r="K438" i="1" s="1"/>
  <c r="L438" i="1" s="1"/>
  <c r="M438" i="1" s="1"/>
  <c r="U437" i="1"/>
  <c r="Q437" i="1"/>
  <c r="J437" i="1"/>
  <c r="G437" i="1"/>
  <c r="K437" i="1" s="1"/>
  <c r="U436" i="1"/>
  <c r="Q436" i="1"/>
  <c r="K436" i="1"/>
  <c r="J436" i="1"/>
  <c r="L436" i="1" s="1"/>
  <c r="M436" i="1" s="1"/>
  <c r="G436" i="1"/>
  <c r="U435" i="1"/>
  <c r="Q435" i="1"/>
  <c r="K435" i="1"/>
  <c r="L435" i="1" s="1"/>
  <c r="M435" i="1" s="1"/>
  <c r="J435" i="1"/>
  <c r="G435" i="1"/>
  <c r="U434" i="1"/>
  <c r="Q434" i="1"/>
  <c r="L434" i="1"/>
  <c r="M434" i="1" s="1"/>
  <c r="K434" i="1"/>
  <c r="J434" i="1"/>
  <c r="G434" i="1"/>
  <c r="U433" i="1"/>
  <c r="Q433" i="1"/>
  <c r="M433" i="1"/>
  <c r="K433" i="1"/>
  <c r="L433" i="1" s="1"/>
  <c r="J433" i="1"/>
  <c r="G433" i="1"/>
  <c r="U432" i="1"/>
  <c r="Q432" i="1"/>
  <c r="J432" i="1"/>
  <c r="G432" i="1"/>
  <c r="K432" i="1" s="1"/>
  <c r="L432" i="1" s="1"/>
  <c r="M432" i="1" s="1"/>
  <c r="U431" i="1"/>
  <c r="Q431" i="1"/>
  <c r="J431" i="1"/>
  <c r="L431" i="1" s="1"/>
  <c r="M431" i="1" s="1"/>
  <c r="G431" i="1"/>
  <c r="K431" i="1" s="1"/>
  <c r="U430" i="1"/>
  <c r="Q430" i="1"/>
  <c r="K430" i="1"/>
  <c r="J430" i="1"/>
  <c r="L430" i="1" s="1"/>
  <c r="M430" i="1" s="1"/>
  <c r="G430" i="1"/>
  <c r="U429" i="1"/>
  <c r="Q429" i="1"/>
  <c r="K429" i="1"/>
  <c r="J429" i="1"/>
  <c r="L429" i="1" s="1"/>
  <c r="M429" i="1" s="1"/>
  <c r="G429" i="1"/>
  <c r="U428" i="1"/>
  <c r="Q428" i="1"/>
  <c r="M428" i="1"/>
  <c r="L428" i="1"/>
  <c r="K428" i="1"/>
  <c r="J428" i="1"/>
  <c r="G428" i="1"/>
  <c r="U427" i="1"/>
  <c r="Q427" i="1"/>
  <c r="J427" i="1"/>
  <c r="G427" i="1"/>
  <c r="K427" i="1" s="1"/>
  <c r="L427" i="1" s="1"/>
  <c r="M427" i="1" s="1"/>
  <c r="U426" i="1"/>
  <c r="Q426" i="1"/>
  <c r="J426" i="1"/>
  <c r="G426" i="1"/>
  <c r="K426" i="1" s="1"/>
  <c r="L426" i="1" s="1"/>
  <c r="M426" i="1" s="1"/>
  <c r="U425" i="1"/>
  <c r="Q425" i="1"/>
  <c r="K425" i="1"/>
  <c r="J425" i="1"/>
  <c r="L425" i="1" s="1"/>
  <c r="M425" i="1" s="1"/>
  <c r="G425" i="1"/>
  <c r="U424" i="1"/>
  <c r="Q424" i="1"/>
  <c r="K424" i="1"/>
  <c r="J424" i="1"/>
  <c r="G424" i="1"/>
  <c r="U423" i="1"/>
  <c r="Q423" i="1"/>
  <c r="K423" i="1"/>
  <c r="L423" i="1" s="1"/>
  <c r="M423" i="1" s="1"/>
  <c r="J423" i="1"/>
  <c r="G423" i="1"/>
  <c r="U422" i="1"/>
  <c r="Q422" i="1"/>
  <c r="K422" i="1"/>
  <c r="L422" i="1" s="1"/>
  <c r="M422" i="1" s="1"/>
  <c r="J422" i="1"/>
  <c r="G422" i="1"/>
  <c r="U421" i="1"/>
  <c r="Q421" i="1"/>
  <c r="K421" i="1"/>
  <c r="L421" i="1" s="1"/>
  <c r="M421" i="1" s="1"/>
  <c r="J421" i="1"/>
  <c r="G421" i="1"/>
  <c r="U420" i="1"/>
  <c r="Q420" i="1"/>
  <c r="L420" i="1"/>
  <c r="M420" i="1" s="1"/>
  <c r="J420" i="1"/>
  <c r="G420" i="1"/>
  <c r="K420" i="1" s="1"/>
  <c r="U419" i="1"/>
  <c r="Q419" i="1"/>
  <c r="J419" i="1"/>
  <c r="G419" i="1"/>
  <c r="K419" i="1" s="1"/>
  <c r="U418" i="1"/>
  <c r="Q418" i="1"/>
  <c r="K418" i="1"/>
  <c r="J418" i="1"/>
  <c r="L418" i="1" s="1"/>
  <c r="M418" i="1" s="1"/>
  <c r="G418" i="1"/>
  <c r="U417" i="1"/>
  <c r="Q417" i="1"/>
  <c r="J417" i="1"/>
  <c r="L417" i="1" s="1"/>
  <c r="M417" i="1" s="1"/>
  <c r="G417" i="1"/>
  <c r="K417" i="1" s="1"/>
  <c r="U416" i="1"/>
  <c r="Q416" i="1"/>
  <c r="L416" i="1"/>
  <c r="M416" i="1" s="1"/>
  <c r="K416" i="1"/>
  <c r="J416" i="1"/>
  <c r="G416" i="1"/>
  <c r="U415" i="1"/>
  <c r="Q415" i="1"/>
  <c r="K415" i="1"/>
  <c r="L415" i="1" s="1"/>
  <c r="M415" i="1" s="1"/>
  <c r="J415" i="1"/>
  <c r="G415" i="1"/>
  <c r="U414" i="1"/>
  <c r="Q414" i="1"/>
  <c r="L414" i="1"/>
  <c r="M414" i="1" s="1"/>
  <c r="J414" i="1"/>
  <c r="G414" i="1"/>
  <c r="K414" i="1" s="1"/>
  <c r="U413" i="1"/>
  <c r="Q413" i="1"/>
  <c r="K413" i="1"/>
  <c r="J413" i="1"/>
  <c r="L413" i="1" s="1"/>
  <c r="M413" i="1" s="1"/>
  <c r="G413" i="1"/>
  <c r="U412" i="1"/>
  <c r="Q412" i="1"/>
  <c r="K412" i="1"/>
  <c r="J412" i="1"/>
  <c r="G412" i="1"/>
  <c r="U411" i="1"/>
  <c r="Q411" i="1"/>
  <c r="K411" i="1"/>
  <c r="L411" i="1" s="1"/>
  <c r="M411" i="1" s="1"/>
  <c r="J411" i="1"/>
  <c r="G411" i="1"/>
  <c r="U410" i="1"/>
  <c r="Q410" i="1"/>
  <c r="K410" i="1"/>
  <c r="L410" i="1" s="1"/>
  <c r="M410" i="1" s="1"/>
  <c r="J410" i="1"/>
  <c r="G410" i="1"/>
  <c r="U409" i="1"/>
  <c r="Q409" i="1"/>
  <c r="K409" i="1"/>
  <c r="J409" i="1"/>
  <c r="G409" i="1"/>
  <c r="U408" i="1"/>
  <c r="Q408" i="1"/>
  <c r="L408" i="1"/>
  <c r="M408" i="1" s="1"/>
  <c r="J408" i="1"/>
  <c r="G408" i="1"/>
  <c r="K408" i="1" s="1"/>
  <c r="U407" i="1"/>
  <c r="Q407" i="1"/>
  <c r="J407" i="1"/>
  <c r="L407" i="1" s="1"/>
  <c r="M407" i="1" s="1"/>
  <c r="G407" i="1"/>
  <c r="K407" i="1" s="1"/>
  <c r="U406" i="1"/>
  <c r="Q406" i="1"/>
  <c r="L406" i="1"/>
  <c r="M406" i="1" s="1"/>
  <c r="K406" i="1"/>
  <c r="J406" i="1"/>
  <c r="G406" i="1"/>
  <c r="U405" i="1"/>
  <c r="Q405" i="1"/>
  <c r="K405" i="1"/>
  <c r="J405" i="1"/>
  <c r="L405" i="1" s="1"/>
  <c r="M405" i="1" s="1"/>
  <c r="G405" i="1"/>
  <c r="U404" i="1"/>
  <c r="Q404" i="1"/>
  <c r="K404" i="1"/>
  <c r="L404" i="1" s="1"/>
  <c r="M404" i="1" s="1"/>
  <c r="J404" i="1"/>
  <c r="G404" i="1"/>
  <c r="U403" i="1"/>
  <c r="Q403" i="1"/>
  <c r="L403" i="1"/>
  <c r="M403" i="1" s="1"/>
  <c r="J403" i="1"/>
  <c r="G403" i="1"/>
  <c r="K403" i="1" s="1"/>
  <c r="U402" i="1"/>
  <c r="Q402" i="1"/>
  <c r="J402" i="1"/>
  <c r="G402" i="1"/>
  <c r="K402" i="1" s="1"/>
  <c r="U401" i="1"/>
  <c r="Q401" i="1"/>
  <c r="L401" i="1"/>
  <c r="M401" i="1" s="1"/>
  <c r="K401" i="1"/>
  <c r="J401" i="1"/>
  <c r="G401" i="1"/>
  <c r="U400" i="1"/>
  <c r="Q400" i="1"/>
  <c r="J400" i="1"/>
  <c r="G400" i="1"/>
  <c r="K400" i="1" s="1"/>
  <c r="L400" i="1" s="1"/>
  <c r="M400" i="1" s="1"/>
  <c r="U399" i="1"/>
  <c r="Q399" i="1"/>
  <c r="L399" i="1"/>
  <c r="M399" i="1" s="1"/>
  <c r="K399" i="1"/>
  <c r="J399" i="1"/>
  <c r="G399" i="1"/>
  <c r="U398" i="1"/>
  <c r="Q398" i="1"/>
  <c r="K398" i="1"/>
  <c r="L398" i="1" s="1"/>
  <c r="M398" i="1" s="1"/>
  <c r="J398" i="1"/>
  <c r="G398" i="1"/>
  <c r="U397" i="1"/>
  <c r="Q397" i="1"/>
  <c r="J397" i="1"/>
  <c r="G397" i="1"/>
  <c r="K397" i="1" s="1"/>
  <c r="L397" i="1" s="1"/>
  <c r="M397" i="1" s="1"/>
  <c r="U396" i="1"/>
  <c r="Q396" i="1"/>
  <c r="K396" i="1"/>
  <c r="J396" i="1"/>
  <c r="L396" i="1" s="1"/>
  <c r="M396" i="1" s="1"/>
  <c r="G396" i="1"/>
  <c r="U395" i="1"/>
  <c r="Q395" i="1"/>
  <c r="J395" i="1"/>
  <c r="G395" i="1"/>
  <c r="K395" i="1" s="1"/>
  <c r="U394" i="1"/>
  <c r="Q394" i="1"/>
  <c r="M394" i="1"/>
  <c r="K394" i="1"/>
  <c r="L394" i="1" s="1"/>
  <c r="J394" i="1"/>
  <c r="G394" i="1"/>
  <c r="U393" i="1"/>
  <c r="Q393" i="1"/>
  <c r="K393" i="1"/>
  <c r="J393" i="1"/>
  <c r="L393" i="1" s="1"/>
  <c r="M393" i="1" s="1"/>
  <c r="G393" i="1"/>
  <c r="U392" i="1"/>
  <c r="Q392" i="1"/>
  <c r="K392" i="1"/>
  <c r="L392" i="1" s="1"/>
  <c r="M392" i="1" s="1"/>
  <c r="J392" i="1"/>
  <c r="G392" i="1"/>
  <c r="U391" i="1"/>
  <c r="Q391" i="1"/>
  <c r="L391" i="1"/>
  <c r="M391" i="1" s="1"/>
  <c r="J391" i="1"/>
  <c r="G391" i="1"/>
  <c r="K391" i="1" s="1"/>
  <c r="U390" i="1"/>
  <c r="Q390" i="1"/>
  <c r="J390" i="1"/>
  <c r="G390" i="1"/>
  <c r="K390" i="1" s="1"/>
  <c r="U389" i="1"/>
  <c r="Q389" i="1"/>
  <c r="L389" i="1"/>
  <c r="M389" i="1" s="1"/>
  <c r="K389" i="1"/>
  <c r="J389" i="1"/>
  <c r="G389" i="1"/>
  <c r="U388" i="1"/>
  <c r="Q388" i="1"/>
  <c r="J388" i="1"/>
  <c r="G388" i="1"/>
  <c r="K388" i="1" s="1"/>
  <c r="U387" i="1"/>
  <c r="Q387" i="1"/>
  <c r="L387" i="1"/>
  <c r="M387" i="1" s="1"/>
  <c r="K387" i="1"/>
  <c r="J387" i="1"/>
  <c r="G387" i="1"/>
  <c r="U386" i="1"/>
  <c r="Q386" i="1"/>
  <c r="K386" i="1"/>
  <c r="L386" i="1" s="1"/>
  <c r="M386" i="1" s="1"/>
  <c r="J386" i="1"/>
  <c r="G386" i="1"/>
  <c r="U385" i="1"/>
  <c r="Q385" i="1"/>
  <c r="J385" i="1"/>
  <c r="G385" i="1"/>
  <c r="K385" i="1" s="1"/>
  <c r="L385" i="1" s="1"/>
  <c r="M385" i="1" s="1"/>
  <c r="U384" i="1"/>
  <c r="Q384" i="1"/>
  <c r="K384" i="1"/>
  <c r="J384" i="1"/>
  <c r="L384" i="1" s="1"/>
  <c r="M384" i="1" s="1"/>
  <c r="G384" i="1"/>
  <c r="U383" i="1"/>
  <c r="Q383" i="1"/>
  <c r="J383" i="1"/>
  <c r="G383" i="1"/>
  <c r="K383" i="1" s="1"/>
  <c r="U382" i="1"/>
  <c r="Q382" i="1"/>
  <c r="M382" i="1"/>
  <c r="K382" i="1"/>
  <c r="L382" i="1" s="1"/>
  <c r="J382" i="1"/>
  <c r="G382" i="1"/>
  <c r="U381" i="1"/>
  <c r="Q381" i="1"/>
  <c r="K381" i="1"/>
  <c r="J381" i="1"/>
  <c r="L381" i="1" s="1"/>
  <c r="M381" i="1" s="1"/>
  <c r="G381" i="1"/>
  <c r="U380" i="1"/>
  <c r="Q380" i="1"/>
  <c r="K380" i="1"/>
  <c r="L380" i="1" s="1"/>
  <c r="M380" i="1" s="1"/>
  <c r="J380" i="1"/>
  <c r="G380" i="1"/>
  <c r="U379" i="1"/>
  <c r="Q379" i="1"/>
  <c r="L379" i="1"/>
  <c r="M379" i="1" s="1"/>
  <c r="J379" i="1"/>
  <c r="G379" i="1"/>
  <c r="K379" i="1" s="1"/>
  <c r="U378" i="1"/>
  <c r="Q378" i="1"/>
  <c r="J378" i="1"/>
  <c r="G378" i="1"/>
  <c r="K378" i="1" s="1"/>
  <c r="U377" i="1"/>
  <c r="Q377" i="1"/>
  <c r="L377" i="1"/>
  <c r="M377" i="1" s="1"/>
  <c r="K377" i="1"/>
  <c r="J377" i="1"/>
  <c r="G377" i="1"/>
  <c r="U376" i="1"/>
  <c r="Q376" i="1"/>
  <c r="J376" i="1"/>
  <c r="G376" i="1"/>
  <c r="K376" i="1" s="1"/>
  <c r="U375" i="1"/>
  <c r="Q375" i="1"/>
  <c r="L375" i="1"/>
  <c r="M375" i="1" s="1"/>
  <c r="K375" i="1"/>
  <c r="J375" i="1"/>
  <c r="G375" i="1"/>
  <c r="U374" i="1"/>
  <c r="Q374" i="1"/>
  <c r="K374" i="1"/>
  <c r="L374" i="1" s="1"/>
  <c r="M374" i="1" s="1"/>
  <c r="J374" i="1"/>
  <c r="G374" i="1"/>
  <c r="U373" i="1"/>
  <c r="Q373" i="1"/>
  <c r="J373" i="1"/>
  <c r="G373" i="1"/>
  <c r="K373" i="1" s="1"/>
  <c r="L373" i="1" s="1"/>
  <c r="M373" i="1" s="1"/>
  <c r="U372" i="1"/>
  <c r="Q372" i="1"/>
  <c r="K372" i="1"/>
  <c r="J372" i="1"/>
  <c r="L372" i="1" s="1"/>
  <c r="M372" i="1" s="1"/>
  <c r="G372" i="1"/>
  <c r="U371" i="1"/>
  <c r="Q371" i="1"/>
  <c r="J371" i="1"/>
  <c r="G371" i="1"/>
  <c r="K371" i="1" s="1"/>
  <c r="U370" i="1"/>
  <c r="Q370" i="1"/>
  <c r="M370" i="1"/>
  <c r="K370" i="1"/>
  <c r="L370" i="1" s="1"/>
  <c r="J370" i="1"/>
  <c r="G370" i="1"/>
  <c r="U369" i="1"/>
  <c r="Q369" i="1"/>
  <c r="K369" i="1"/>
  <c r="J369" i="1"/>
  <c r="L369" i="1" s="1"/>
  <c r="M369" i="1" s="1"/>
  <c r="G369" i="1"/>
  <c r="U368" i="1"/>
  <c r="Q368" i="1"/>
  <c r="K368" i="1"/>
  <c r="L368" i="1" s="1"/>
  <c r="M368" i="1" s="1"/>
  <c r="J368" i="1"/>
  <c r="G368" i="1"/>
  <c r="U367" i="1"/>
  <c r="Q367" i="1"/>
  <c r="L367" i="1"/>
  <c r="M367" i="1" s="1"/>
  <c r="J367" i="1"/>
  <c r="G367" i="1"/>
  <c r="K367" i="1" s="1"/>
  <c r="U366" i="1"/>
  <c r="Q366" i="1"/>
  <c r="J366" i="1"/>
  <c r="G366" i="1"/>
  <c r="K366" i="1" s="1"/>
  <c r="U365" i="1"/>
  <c r="Q365" i="1"/>
  <c r="L365" i="1"/>
  <c r="M365" i="1" s="1"/>
  <c r="K365" i="1"/>
  <c r="J365" i="1"/>
  <c r="G365" i="1"/>
  <c r="U364" i="1"/>
  <c r="Q364" i="1"/>
  <c r="J364" i="1"/>
  <c r="G364" i="1"/>
  <c r="K364" i="1" s="1"/>
  <c r="U363" i="1"/>
  <c r="Q363" i="1"/>
  <c r="L363" i="1"/>
  <c r="M363" i="1" s="1"/>
  <c r="K363" i="1"/>
  <c r="J363" i="1"/>
  <c r="G363" i="1"/>
  <c r="U362" i="1"/>
  <c r="Q362" i="1"/>
  <c r="K362" i="1"/>
  <c r="L362" i="1" s="1"/>
  <c r="M362" i="1" s="1"/>
  <c r="J362" i="1"/>
  <c r="G362" i="1"/>
  <c r="U361" i="1"/>
  <c r="Q361" i="1"/>
  <c r="J361" i="1"/>
  <c r="G361" i="1"/>
  <c r="K361" i="1" s="1"/>
  <c r="L361" i="1" s="1"/>
  <c r="M361" i="1" s="1"/>
  <c r="U360" i="1"/>
  <c r="Q360" i="1"/>
  <c r="K360" i="1"/>
  <c r="J360" i="1"/>
  <c r="L360" i="1" s="1"/>
  <c r="M360" i="1" s="1"/>
  <c r="G360" i="1"/>
  <c r="U359" i="1"/>
  <c r="Q359" i="1"/>
  <c r="J359" i="1"/>
  <c r="G359" i="1"/>
  <c r="K359" i="1" s="1"/>
  <c r="U358" i="1"/>
  <c r="Q358" i="1"/>
  <c r="M358" i="1"/>
  <c r="K358" i="1"/>
  <c r="L358" i="1" s="1"/>
  <c r="J358" i="1"/>
  <c r="G358" i="1"/>
  <c r="U357" i="1"/>
  <c r="Q357" i="1"/>
  <c r="K357" i="1"/>
  <c r="J357" i="1"/>
  <c r="L357" i="1" s="1"/>
  <c r="M357" i="1" s="1"/>
  <c r="G357" i="1"/>
  <c r="U356" i="1"/>
  <c r="Q356" i="1"/>
  <c r="K356" i="1"/>
  <c r="L356" i="1" s="1"/>
  <c r="M356" i="1" s="1"/>
  <c r="J356" i="1"/>
  <c r="G356" i="1"/>
  <c r="U355" i="1"/>
  <c r="Q355" i="1"/>
  <c r="L355" i="1"/>
  <c r="M355" i="1" s="1"/>
  <c r="J355" i="1"/>
  <c r="G355" i="1"/>
  <c r="K355" i="1" s="1"/>
  <c r="U354" i="1"/>
  <c r="Q354" i="1"/>
  <c r="J354" i="1"/>
  <c r="G354" i="1"/>
  <c r="K354" i="1" s="1"/>
  <c r="U353" i="1"/>
  <c r="Q353" i="1"/>
  <c r="L353" i="1"/>
  <c r="M353" i="1" s="1"/>
  <c r="K353" i="1"/>
  <c r="J353" i="1"/>
  <c r="G353" i="1"/>
  <c r="U352" i="1"/>
  <c r="Q352" i="1"/>
  <c r="J352" i="1"/>
  <c r="G352" i="1"/>
  <c r="K352" i="1" s="1"/>
  <c r="U351" i="1"/>
  <c r="Q351" i="1"/>
  <c r="L351" i="1"/>
  <c r="M351" i="1" s="1"/>
  <c r="K351" i="1"/>
  <c r="J351" i="1"/>
  <c r="G351" i="1"/>
  <c r="U350" i="1"/>
  <c r="Q350" i="1"/>
  <c r="K350" i="1"/>
  <c r="L350" i="1" s="1"/>
  <c r="M350" i="1" s="1"/>
  <c r="J350" i="1"/>
  <c r="G350" i="1"/>
  <c r="U349" i="1"/>
  <c r="Q349" i="1"/>
  <c r="J349" i="1"/>
  <c r="G349" i="1"/>
  <c r="K349" i="1" s="1"/>
  <c r="L349" i="1" s="1"/>
  <c r="M349" i="1" s="1"/>
  <c r="U348" i="1"/>
  <c r="Q348" i="1"/>
  <c r="K348" i="1"/>
  <c r="J348" i="1"/>
  <c r="L348" i="1" s="1"/>
  <c r="M348" i="1" s="1"/>
  <c r="G348" i="1"/>
  <c r="U347" i="1"/>
  <c r="Q347" i="1"/>
  <c r="J347" i="1"/>
  <c r="G347" i="1"/>
  <c r="K347" i="1" s="1"/>
  <c r="U346" i="1"/>
  <c r="Q346" i="1"/>
  <c r="M346" i="1"/>
  <c r="K346" i="1"/>
  <c r="L346" i="1" s="1"/>
  <c r="J346" i="1"/>
  <c r="G346" i="1"/>
  <c r="U345" i="1"/>
  <c r="Q345" i="1"/>
  <c r="K345" i="1"/>
  <c r="J345" i="1"/>
  <c r="L345" i="1" s="1"/>
  <c r="M345" i="1" s="1"/>
  <c r="G345" i="1"/>
  <c r="U344" i="1"/>
  <c r="Q344" i="1"/>
  <c r="K344" i="1"/>
  <c r="L344" i="1" s="1"/>
  <c r="M344" i="1" s="1"/>
  <c r="J344" i="1"/>
  <c r="G344" i="1"/>
  <c r="U343" i="1"/>
  <c r="Q343" i="1"/>
  <c r="L343" i="1"/>
  <c r="M343" i="1" s="1"/>
  <c r="J343" i="1"/>
  <c r="G343" i="1"/>
  <c r="K343" i="1" s="1"/>
  <c r="U342" i="1"/>
  <c r="Q342" i="1"/>
  <c r="J342" i="1"/>
  <c r="G342" i="1"/>
  <c r="K342" i="1" s="1"/>
  <c r="U341" i="1"/>
  <c r="Q341" i="1"/>
  <c r="L341" i="1"/>
  <c r="M341" i="1" s="1"/>
  <c r="K341" i="1"/>
  <c r="J341" i="1"/>
  <c r="G341" i="1"/>
  <c r="U340" i="1"/>
  <c r="Q340" i="1"/>
  <c r="J340" i="1"/>
  <c r="G340" i="1"/>
  <c r="K340" i="1" s="1"/>
  <c r="U339" i="1"/>
  <c r="Q339" i="1"/>
  <c r="L339" i="1"/>
  <c r="M339" i="1" s="1"/>
  <c r="K339" i="1"/>
  <c r="J339" i="1"/>
  <c r="G339" i="1"/>
  <c r="U338" i="1"/>
  <c r="Q338" i="1"/>
  <c r="K338" i="1"/>
  <c r="L338" i="1" s="1"/>
  <c r="M338" i="1" s="1"/>
  <c r="J338" i="1"/>
  <c r="G338" i="1"/>
  <c r="U337" i="1"/>
  <c r="Q337" i="1"/>
  <c r="J337" i="1"/>
  <c r="G337" i="1"/>
  <c r="K337" i="1" s="1"/>
  <c r="L337" i="1" s="1"/>
  <c r="M337" i="1" s="1"/>
  <c r="U336" i="1"/>
  <c r="Q336" i="1"/>
  <c r="K336" i="1"/>
  <c r="J336" i="1"/>
  <c r="L336" i="1" s="1"/>
  <c r="M336" i="1" s="1"/>
  <c r="G336" i="1"/>
  <c r="U335" i="1"/>
  <c r="Q335" i="1"/>
  <c r="K335" i="1"/>
  <c r="J335" i="1"/>
  <c r="L335" i="1" s="1"/>
  <c r="M335" i="1" s="1"/>
  <c r="G335" i="1"/>
  <c r="U334" i="1"/>
  <c r="Q334" i="1"/>
  <c r="K334" i="1"/>
  <c r="L334" i="1" s="1"/>
  <c r="M334" i="1" s="1"/>
  <c r="J334" i="1"/>
  <c r="G334" i="1"/>
  <c r="U333" i="1"/>
  <c r="Q333" i="1"/>
  <c r="K333" i="1"/>
  <c r="J333" i="1"/>
  <c r="L333" i="1" s="1"/>
  <c r="M333" i="1" s="1"/>
  <c r="G333" i="1"/>
  <c r="U332" i="1"/>
  <c r="Q332" i="1"/>
  <c r="K332" i="1"/>
  <c r="L332" i="1" s="1"/>
  <c r="M332" i="1" s="1"/>
  <c r="J332" i="1"/>
  <c r="G332" i="1"/>
  <c r="U331" i="1"/>
  <c r="Q331" i="1"/>
  <c r="L331" i="1"/>
  <c r="M331" i="1" s="1"/>
  <c r="J331" i="1"/>
  <c r="G331" i="1"/>
  <c r="K331" i="1" s="1"/>
  <c r="U330" i="1"/>
  <c r="Q330" i="1"/>
  <c r="J330" i="1"/>
  <c r="L330" i="1" s="1"/>
  <c r="M330" i="1" s="1"/>
  <c r="G330" i="1"/>
  <c r="K330" i="1" s="1"/>
  <c r="U329" i="1"/>
  <c r="Q329" i="1"/>
  <c r="L329" i="1"/>
  <c r="M329" i="1" s="1"/>
  <c r="K329" i="1"/>
  <c r="J329" i="1"/>
  <c r="G329" i="1"/>
  <c r="U328" i="1"/>
  <c r="Q328" i="1"/>
  <c r="J328" i="1"/>
  <c r="G328" i="1"/>
  <c r="K328" i="1" s="1"/>
  <c r="L328" i="1" s="1"/>
  <c r="M328" i="1" s="1"/>
  <c r="U327" i="1"/>
  <c r="Q327" i="1"/>
  <c r="L327" i="1"/>
  <c r="M327" i="1" s="1"/>
  <c r="K327" i="1"/>
  <c r="J327" i="1"/>
  <c r="G327" i="1"/>
  <c r="U326" i="1"/>
  <c r="Q326" i="1"/>
  <c r="J326" i="1"/>
  <c r="G326" i="1"/>
  <c r="K326" i="1" s="1"/>
  <c r="L326" i="1" s="1"/>
  <c r="M326" i="1" s="1"/>
  <c r="U325" i="1"/>
  <c r="Q325" i="1"/>
  <c r="J325" i="1"/>
  <c r="G325" i="1"/>
  <c r="K325" i="1" s="1"/>
  <c r="L325" i="1" s="1"/>
  <c r="M325" i="1" s="1"/>
  <c r="U324" i="1"/>
  <c r="Q324" i="1"/>
  <c r="K324" i="1"/>
  <c r="J324" i="1"/>
  <c r="G324" i="1"/>
  <c r="U323" i="1"/>
  <c r="Q323" i="1"/>
  <c r="K323" i="1"/>
  <c r="J323" i="1"/>
  <c r="L323" i="1" s="1"/>
  <c r="M323" i="1" s="1"/>
  <c r="G323" i="1"/>
  <c r="U322" i="1"/>
  <c r="Q322" i="1"/>
  <c r="M322" i="1"/>
  <c r="K322" i="1"/>
  <c r="L322" i="1" s="1"/>
  <c r="J322" i="1"/>
  <c r="G322" i="1"/>
  <c r="U321" i="1"/>
  <c r="Q321" i="1"/>
  <c r="K321" i="1"/>
  <c r="J321" i="1"/>
  <c r="L321" i="1" s="1"/>
  <c r="M321" i="1" s="1"/>
  <c r="G321" i="1"/>
  <c r="U320" i="1"/>
  <c r="Q320" i="1"/>
  <c r="K320" i="1"/>
  <c r="L320" i="1" s="1"/>
  <c r="M320" i="1" s="1"/>
  <c r="J320" i="1"/>
  <c r="G320" i="1"/>
  <c r="U319" i="1"/>
  <c r="Q319" i="1"/>
  <c r="J319" i="1"/>
  <c r="G319" i="1"/>
  <c r="K319" i="1" s="1"/>
  <c r="L319" i="1" s="1"/>
  <c r="M319" i="1" s="1"/>
  <c r="U318" i="1"/>
  <c r="Q318" i="1"/>
  <c r="J318" i="1"/>
  <c r="G318" i="1"/>
  <c r="K318" i="1" s="1"/>
  <c r="U317" i="1"/>
  <c r="Q317" i="1"/>
  <c r="L317" i="1"/>
  <c r="M317" i="1" s="1"/>
  <c r="K317" i="1"/>
  <c r="J317" i="1"/>
  <c r="G317" i="1"/>
  <c r="U316" i="1"/>
  <c r="Q316" i="1"/>
  <c r="J316" i="1"/>
  <c r="G316" i="1"/>
  <c r="K316" i="1" s="1"/>
  <c r="L316" i="1" s="1"/>
  <c r="M316" i="1" s="1"/>
  <c r="U315" i="1"/>
  <c r="Q315" i="1"/>
  <c r="L315" i="1"/>
  <c r="M315" i="1" s="1"/>
  <c r="K315" i="1"/>
  <c r="J315" i="1"/>
  <c r="G315" i="1"/>
  <c r="U314" i="1"/>
  <c r="Q314" i="1"/>
  <c r="J314" i="1"/>
  <c r="G314" i="1"/>
  <c r="K314" i="1" s="1"/>
  <c r="L314" i="1" s="1"/>
  <c r="M314" i="1" s="1"/>
  <c r="U313" i="1"/>
  <c r="Q313" i="1"/>
  <c r="J313" i="1"/>
  <c r="G313" i="1"/>
  <c r="K313" i="1" s="1"/>
  <c r="L313" i="1" s="1"/>
  <c r="M313" i="1" s="1"/>
  <c r="U312" i="1"/>
  <c r="Q312" i="1"/>
  <c r="K312" i="1"/>
  <c r="J312" i="1"/>
  <c r="G312" i="1"/>
  <c r="U311" i="1"/>
  <c r="Q311" i="1"/>
  <c r="K311" i="1"/>
  <c r="J311" i="1"/>
  <c r="L311" i="1" s="1"/>
  <c r="M311" i="1" s="1"/>
  <c r="G311" i="1"/>
  <c r="U310" i="1"/>
  <c r="Q310" i="1"/>
  <c r="K310" i="1"/>
  <c r="L310" i="1" s="1"/>
  <c r="M310" i="1" s="1"/>
  <c r="J310" i="1"/>
  <c r="G310" i="1"/>
  <c r="U309" i="1"/>
  <c r="Q309" i="1"/>
  <c r="K309" i="1"/>
  <c r="J309" i="1"/>
  <c r="L309" i="1" s="1"/>
  <c r="M309" i="1" s="1"/>
  <c r="G309" i="1"/>
  <c r="U308" i="1"/>
  <c r="Q308" i="1"/>
  <c r="K308" i="1"/>
  <c r="L308" i="1" s="1"/>
  <c r="M308" i="1" s="1"/>
  <c r="J308" i="1"/>
  <c r="G308" i="1"/>
  <c r="U307" i="1"/>
  <c r="Q307" i="1"/>
  <c r="J307" i="1"/>
  <c r="L307" i="1" s="1"/>
  <c r="M307" i="1" s="1"/>
  <c r="G307" i="1"/>
  <c r="K307" i="1" s="1"/>
  <c r="U306" i="1"/>
  <c r="Q306" i="1"/>
  <c r="J306" i="1"/>
  <c r="L306" i="1" s="1"/>
  <c r="M306" i="1" s="1"/>
  <c r="G306" i="1"/>
  <c r="K306" i="1" s="1"/>
  <c r="U305" i="1"/>
  <c r="Q305" i="1"/>
  <c r="L305" i="1"/>
  <c r="M305" i="1" s="1"/>
  <c r="K305" i="1"/>
  <c r="J305" i="1"/>
  <c r="G305" i="1"/>
  <c r="U304" i="1"/>
  <c r="Q304" i="1"/>
  <c r="J304" i="1"/>
  <c r="G304" i="1"/>
  <c r="K304" i="1" s="1"/>
  <c r="L304" i="1" s="1"/>
  <c r="M304" i="1" s="1"/>
  <c r="U303" i="1"/>
  <c r="Q303" i="1"/>
  <c r="J303" i="1"/>
  <c r="G303" i="1"/>
  <c r="K303" i="1" s="1"/>
  <c r="L303" i="1" s="1"/>
  <c r="M303" i="1" s="1"/>
  <c r="U302" i="1"/>
  <c r="Q302" i="1"/>
  <c r="J302" i="1"/>
  <c r="G302" i="1"/>
  <c r="K302" i="1" s="1"/>
  <c r="L302" i="1" s="1"/>
  <c r="M302" i="1" s="1"/>
  <c r="U301" i="1"/>
  <c r="Q301" i="1"/>
  <c r="J301" i="1"/>
  <c r="G301" i="1"/>
  <c r="K301" i="1" s="1"/>
  <c r="L301" i="1" s="1"/>
  <c r="M301" i="1" s="1"/>
  <c r="U300" i="1"/>
  <c r="Q300" i="1"/>
  <c r="K300" i="1"/>
  <c r="J300" i="1"/>
  <c r="G300" i="1"/>
  <c r="U299" i="1"/>
  <c r="Q299" i="1"/>
  <c r="K299" i="1"/>
  <c r="J299" i="1"/>
  <c r="L299" i="1" s="1"/>
  <c r="M299" i="1" s="1"/>
  <c r="G299" i="1"/>
  <c r="U298" i="1"/>
  <c r="Q298" i="1"/>
  <c r="M298" i="1"/>
  <c r="K298" i="1"/>
  <c r="L298" i="1" s="1"/>
  <c r="J298" i="1"/>
  <c r="G298" i="1"/>
  <c r="U297" i="1"/>
  <c r="Q297" i="1"/>
  <c r="K297" i="1"/>
  <c r="J297" i="1"/>
  <c r="L297" i="1" s="1"/>
  <c r="M297" i="1" s="1"/>
  <c r="G297" i="1"/>
  <c r="U296" i="1"/>
  <c r="Q296" i="1"/>
  <c r="K296" i="1"/>
  <c r="J296" i="1"/>
  <c r="L296" i="1" s="1"/>
  <c r="M296" i="1" s="1"/>
  <c r="G296" i="1"/>
  <c r="U295" i="1"/>
  <c r="Q295" i="1"/>
  <c r="J295" i="1"/>
  <c r="G295" i="1"/>
  <c r="K295" i="1" s="1"/>
  <c r="L295" i="1" s="1"/>
  <c r="M295" i="1" s="1"/>
  <c r="U294" i="1"/>
  <c r="Q294" i="1"/>
  <c r="J294" i="1"/>
  <c r="G294" i="1"/>
  <c r="K294" i="1" s="1"/>
  <c r="U293" i="1"/>
  <c r="Q293" i="1"/>
  <c r="L293" i="1"/>
  <c r="M293" i="1" s="1"/>
  <c r="K293" i="1"/>
  <c r="J293" i="1"/>
  <c r="G293" i="1"/>
  <c r="U292" i="1"/>
  <c r="Q292" i="1"/>
  <c r="J292" i="1"/>
  <c r="G292" i="1"/>
  <c r="K292" i="1" s="1"/>
  <c r="L292" i="1" s="1"/>
  <c r="M292" i="1" s="1"/>
  <c r="U291" i="1"/>
  <c r="Q291" i="1"/>
  <c r="J291" i="1"/>
  <c r="G291" i="1"/>
  <c r="K291" i="1" s="1"/>
  <c r="L291" i="1" s="1"/>
  <c r="M291" i="1" s="1"/>
  <c r="U290" i="1"/>
  <c r="Q290" i="1"/>
  <c r="K290" i="1"/>
  <c r="L290" i="1" s="1"/>
  <c r="M290" i="1" s="1"/>
  <c r="J290" i="1"/>
  <c r="G290" i="1"/>
  <c r="U289" i="1"/>
  <c r="Q289" i="1"/>
  <c r="J289" i="1"/>
  <c r="G289" i="1"/>
  <c r="K289" i="1" s="1"/>
  <c r="L289" i="1" s="1"/>
  <c r="M289" i="1" s="1"/>
  <c r="U288" i="1"/>
  <c r="Q288" i="1"/>
  <c r="K288" i="1"/>
  <c r="J288" i="1"/>
  <c r="L288" i="1" s="1"/>
  <c r="M288" i="1" s="1"/>
  <c r="G288" i="1"/>
  <c r="U287" i="1"/>
  <c r="Q287" i="1"/>
  <c r="K287" i="1"/>
  <c r="J287" i="1"/>
  <c r="L287" i="1" s="1"/>
  <c r="M287" i="1" s="1"/>
  <c r="G287" i="1"/>
  <c r="U286" i="1"/>
  <c r="Q286" i="1"/>
  <c r="K286" i="1"/>
  <c r="L286" i="1" s="1"/>
  <c r="M286" i="1" s="1"/>
  <c r="J286" i="1"/>
  <c r="G286" i="1"/>
  <c r="U285" i="1"/>
  <c r="Q285" i="1"/>
  <c r="K285" i="1"/>
  <c r="J285" i="1"/>
  <c r="L285" i="1" s="1"/>
  <c r="M285" i="1" s="1"/>
  <c r="G285" i="1"/>
  <c r="U284" i="1"/>
  <c r="Q284" i="1"/>
  <c r="K284" i="1"/>
  <c r="J284" i="1"/>
  <c r="L284" i="1" s="1"/>
  <c r="M284" i="1" s="1"/>
  <c r="G284" i="1"/>
  <c r="U283" i="1"/>
  <c r="Q283" i="1"/>
  <c r="L283" i="1"/>
  <c r="M283" i="1" s="1"/>
  <c r="J283" i="1"/>
  <c r="G283" i="1"/>
  <c r="K283" i="1" s="1"/>
  <c r="U282" i="1"/>
  <c r="Q282" i="1"/>
  <c r="J282" i="1"/>
  <c r="L282" i="1" s="1"/>
  <c r="M282" i="1" s="1"/>
  <c r="G282" i="1"/>
  <c r="K282" i="1" s="1"/>
  <c r="U281" i="1"/>
  <c r="Q281" i="1"/>
  <c r="L281" i="1"/>
  <c r="M281" i="1" s="1"/>
  <c r="K281" i="1"/>
  <c r="J281" i="1"/>
  <c r="G281" i="1"/>
  <c r="U280" i="1"/>
  <c r="Q280" i="1"/>
  <c r="J280" i="1"/>
  <c r="G280" i="1"/>
  <c r="K280" i="1" s="1"/>
  <c r="L280" i="1" s="1"/>
  <c r="M280" i="1" s="1"/>
  <c r="U279" i="1"/>
  <c r="Q279" i="1"/>
  <c r="J279" i="1"/>
  <c r="G279" i="1"/>
  <c r="K279" i="1" s="1"/>
  <c r="L279" i="1" s="1"/>
  <c r="M279" i="1" s="1"/>
  <c r="U278" i="1"/>
  <c r="Q278" i="1"/>
  <c r="K278" i="1"/>
  <c r="L278" i="1" s="1"/>
  <c r="M278" i="1" s="1"/>
  <c r="J278" i="1"/>
  <c r="G278" i="1"/>
  <c r="U277" i="1"/>
  <c r="Q277" i="1"/>
  <c r="J277" i="1"/>
  <c r="G277" i="1"/>
  <c r="K277" i="1" s="1"/>
  <c r="L277" i="1" s="1"/>
  <c r="M277" i="1" s="1"/>
  <c r="U276" i="1"/>
  <c r="Q276" i="1"/>
  <c r="K276" i="1"/>
  <c r="J276" i="1"/>
  <c r="G276" i="1"/>
  <c r="U275" i="1"/>
  <c r="Q275" i="1"/>
  <c r="K275" i="1"/>
  <c r="J275" i="1"/>
  <c r="L275" i="1" s="1"/>
  <c r="M275" i="1" s="1"/>
  <c r="G275" i="1"/>
  <c r="U274" i="1"/>
  <c r="Q274" i="1"/>
  <c r="M274" i="1"/>
  <c r="K274" i="1"/>
  <c r="L274" i="1" s="1"/>
  <c r="J274" i="1"/>
  <c r="G274" i="1"/>
  <c r="U273" i="1"/>
  <c r="Q273" i="1"/>
  <c r="K273" i="1"/>
  <c r="J273" i="1"/>
  <c r="L273" i="1" s="1"/>
  <c r="M273" i="1" s="1"/>
  <c r="G273" i="1"/>
  <c r="U272" i="1"/>
  <c r="Q272" i="1"/>
  <c r="K272" i="1"/>
  <c r="J272" i="1"/>
  <c r="L272" i="1" s="1"/>
  <c r="M272" i="1" s="1"/>
  <c r="G272" i="1"/>
  <c r="U271" i="1"/>
  <c r="Q271" i="1"/>
  <c r="L271" i="1"/>
  <c r="M271" i="1" s="1"/>
  <c r="J271" i="1"/>
  <c r="G271" i="1"/>
  <c r="K271" i="1" s="1"/>
  <c r="U270" i="1"/>
  <c r="Q270" i="1"/>
  <c r="J270" i="1"/>
  <c r="G270" i="1"/>
  <c r="K270" i="1" s="1"/>
  <c r="U269" i="1"/>
  <c r="Q269" i="1"/>
  <c r="L269" i="1"/>
  <c r="M269" i="1" s="1"/>
  <c r="K269" i="1"/>
  <c r="J269" i="1"/>
  <c r="G269" i="1"/>
  <c r="U268" i="1"/>
  <c r="Q268" i="1"/>
  <c r="J268" i="1"/>
  <c r="G268" i="1"/>
  <c r="K268" i="1" s="1"/>
  <c r="L268" i="1" s="1"/>
  <c r="M268" i="1" s="1"/>
  <c r="U267" i="1"/>
  <c r="Q267" i="1"/>
  <c r="J267" i="1"/>
  <c r="G267" i="1"/>
  <c r="K267" i="1" s="1"/>
  <c r="L267" i="1" s="1"/>
  <c r="M267" i="1" s="1"/>
  <c r="U266" i="1"/>
  <c r="Q266" i="1"/>
  <c r="K266" i="1"/>
  <c r="L266" i="1" s="1"/>
  <c r="M266" i="1" s="1"/>
  <c r="J266" i="1"/>
  <c r="G266" i="1"/>
  <c r="U265" i="1"/>
  <c r="Q265" i="1"/>
  <c r="J265" i="1"/>
  <c r="G265" i="1"/>
  <c r="K265" i="1" s="1"/>
  <c r="L265" i="1" s="1"/>
  <c r="M265" i="1" s="1"/>
  <c r="U264" i="1"/>
  <c r="Q264" i="1"/>
  <c r="M264" i="1"/>
  <c r="K264" i="1"/>
  <c r="J264" i="1"/>
  <c r="L264" i="1" s="1"/>
  <c r="G264" i="1"/>
  <c r="U263" i="1"/>
  <c r="Q263" i="1"/>
  <c r="K263" i="1"/>
  <c r="J263" i="1"/>
  <c r="L263" i="1" s="1"/>
  <c r="M263" i="1" s="1"/>
  <c r="G263" i="1"/>
  <c r="U262" i="1"/>
  <c r="Q262" i="1"/>
  <c r="K262" i="1"/>
  <c r="L262" i="1" s="1"/>
  <c r="M262" i="1" s="1"/>
  <c r="J262" i="1"/>
  <c r="G262" i="1"/>
  <c r="U261" i="1"/>
  <c r="Q261" i="1"/>
  <c r="K261" i="1"/>
  <c r="J261" i="1"/>
  <c r="L261" i="1" s="1"/>
  <c r="M261" i="1" s="1"/>
  <c r="G261" i="1"/>
  <c r="U260" i="1"/>
  <c r="Q260" i="1"/>
  <c r="K260" i="1"/>
  <c r="J260" i="1"/>
  <c r="L260" i="1" s="1"/>
  <c r="M260" i="1" s="1"/>
  <c r="G260" i="1"/>
  <c r="U259" i="1"/>
  <c r="Q259" i="1"/>
  <c r="J259" i="1"/>
  <c r="L259" i="1" s="1"/>
  <c r="M259" i="1" s="1"/>
  <c r="G259" i="1"/>
  <c r="K259" i="1" s="1"/>
  <c r="U258" i="1"/>
  <c r="Q258" i="1"/>
  <c r="J258" i="1"/>
  <c r="G258" i="1"/>
  <c r="K258" i="1" s="1"/>
  <c r="U257" i="1"/>
  <c r="Q257" i="1"/>
  <c r="L257" i="1"/>
  <c r="M257" i="1" s="1"/>
  <c r="K257" i="1"/>
  <c r="J257" i="1"/>
  <c r="G257" i="1"/>
  <c r="U256" i="1"/>
  <c r="Q256" i="1"/>
  <c r="J256" i="1"/>
  <c r="G256" i="1"/>
  <c r="K256" i="1" s="1"/>
  <c r="L256" i="1" s="1"/>
  <c r="M256" i="1" s="1"/>
  <c r="U255" i="1"/>
  <c r="Q255" i="1"/>
  <c r="J255" i="1"/>
  <c r="G255" i="1"/>
  <c r="K255" i="1" s="1"/>
  <c r="L255" i="1" s="1"/>
  <c r="M255" i="1" s="1"/>
  <c r="U254" i="1"/>
  <c r="Q254" i="1"/>
  <c r="J254" i="1"/>
  <c r="G254" i="1"/>
  <c r="K254" i="1" s="1"/>
  <c r="L254" i="1" s="1"/>
  <c r="M254" i="1" s="1"/>
  <c r="U253" i="1"/>
  <c r="Q253" i="1"/>
  <c r="J253" i="1"/>
  <c r="G253" i="1"/>
  <c r="K253" i="1" s="1"/>
  <c r="L253" i="1" s="1"/>
  <c r="M253" i="1" s="1"/>
  <c r="U252" i="1"/>
  <c r="Q252" i="1"/>
  <c r="K252" i="1"/>
  <c r="J252" i="1"/>
  <c r="G252" i="1"/>
  <c r="U251" i="1"/>
  <c r="Q251" i="1"/>
  <c r="K251" i="1"/>
  <c r="J251" i="1"/>
  <c r="L251" i="1" s="1"/>
  <c r="M251" i="1" s="1"/>
  <c r="G251" i="1"/>
  <c r="U250" i="1"/>
  <c r="Q250" i="1"/>
  <c r="M250" i="1"/>
  <c r="K250" i="1"/>
  <c r="L250" i="1" s="1"/>
  <c r="J250" i="1"/>
  <c r="G250" i="1"/>
  <c r="U249" i="1"/>
  <c r="Q249" i="1"/>
  <c r="K249" i="1"/>
  <c r="J249" i="1"/>
  <c r="L249" i="1" s="1"/>
  <c r="M249" i="1" s="1"/>
  <c r="G249" i="1"/>
  <c r="U248" i="1"/>
  <c r="Q248" i="1"/>
  <c r="K248" i="1"/>
  <c r="J248" i="1"/>
  <c r="L248" i="1" s="1"/>
  <c r="M248" i="1" s="1"/>
  <c r="G248" i="1"/>
  <c r="U247" i="1"/>
  <c r="Q247" i="1"/>
  <c r="J247" i="1"/>
  <c r="G247" i="1"/>
  <c r="K247" i="1" s="1"/>
  <c r="L247" i="1" s="1"/>
  <c r="M247" i="1" s="1"/>
  <c r="U246" i="1"/>
  <c r="Q246" i="1"/>
  <c r="J246" i="1"/>
  <c r="G246" i="1"/>
  <c r="K246" i="1" s="1"/>
  <c r="U245" i="1"/>
  <c r="Q245" i="1"/>
  <c r="L245" i="1"/>
  <c r="M245" i="1" s="1"/>
  <c r="K245" i="1"/>
  <c r="J245" i="1"/>
  <c r="G245" i="1"/>
  <c r="U244" i="1"/>
  <c r="Q244" i="1"/>
  <c r="J244" i="1"/>
  <c r="G244" i="1"/>
  <c r="K244" i="1" s="1"/>
  <c r="L244" i="1" s="1"/>
  <c r="M244" i="1" s="1"/>
  <c r="U243" i="1"/>
  <c r="Q243" i="1"/>
  <c r="J243" i="1"/>
  <c r="G243" i="1"/>
  <c r="K243" i="1" s="1"/>
  <c r="L243" i="1" s="1"/>
  <c r="M243" i="1" s="1"/>
  <c r="U242" i="1"/>
  <c r="Q242" i="1"/>
  <c r="J242" i="1"/>
  <c r="G242" i="1"/>
  <c r="K242" i="1" s="1"/>
  <c r="L242" i="1" s="1"/>
  <c r="M242" i="1" s="1"/>
  <c r="U241" i="1"/>
  <c r="Q241" i="1"/>
  <c r="J241" i="1"/>
  <c r="G241" i="1"/>
  <c r="K241" i="1" s="1"/>
  <c r="L241" i="1" s="1"/>
  <c r="M241" i="1" s="1"/>
  <c r="U240" i="1"/>
  <c r="Q240" i="1"/>
  <c r="M240" i="1"/>
  <c r="K240" i="1"/>
  <c r="J240" i="1"/>
  <c r="L240" i="1" s="1"/>
  <c r="G240" i="1"/>
  <c r="U239" i="1"/>
  <c r="Q239" i="1"/>
  <c r="K239" i="1"/>
  <c r="J239" i="1"/>
  <c r="L239" i="1" s="1"/>
  <c r="M239" i="1" s="1"/>
  <c r="G239" i="1"/>
  <c r="U238" i="1"/>
  <c r="Q238" i="1"/>
  <c r="K238" i="1"/>
  <c r="L238" i="1" s="1"/>
  <c r="M238" i="1" s="1"/>
  <c r="J238" i="1"/>
  <c r="G238" i="1"/>
  <c r="U237" i="1"/>
  <c r="Q237" i="1"/>
  <c r="K237" i="1"/>
  <c r="J237" i="1"/>
  <c r="L237" i="1" s="1"/>
  <c r="M237" i="1" s="1"/>
  <c r="G237" i="1"/>
  <c r="U236" i="1"/>
  <c r="Q236" i="1"/>
  <c r="K236" i="1"/>
  <c r="J236" i="1"/>
  <c r="L236" i="1" s="1"/>
  <c r="M236" i="1" s="1"/>
  <c r="G236" i="1"/>
  <c r="U235" i="1"/>
  <c r="Q235" i="1"/>
  <c r="J235" i="1"/>
  <c r="L235" i="1" s="1"/>
  <c r="M235" i="1" s="1"/>
  <c r="G235" i="1"/>
  <c r="K235" i="1" s="1"/>
  <c r="U234" i="1"/>
  <c r="Q234" i="1"/>
  <c r="J234" i="1"/>
  <c r="L234" i="1" s="1"/>
  <c r="M234" i="1" s="1"/>
  <c r="G234" i="1"/>
  <c r="K234" i="1" s="1"/>
  <c r="U233" i="1"/>
  <c r="Q233" i="1"/>
  <c r="L233" i="1"/>
  <c r="M233" i="1" s="1"/>
  <c r="K233" i="1"/>
  <c r="J233" i="1"/>
  <c r="G233" i="1"/>
  <c r="U232" i="1"/>
  <c r="Q232" i="1"/>
  <c r="J232" i="1"/>
  <c r="G232" i="1"/>
  <c r="K232" i="1" s="1"/>
  <c r="L232" i="1" s="1"/>
  <c r="M232" i="1" s="1"/>
  <c r="U231" i="1"/>
  <c r="Q231" i="1"/>
  <c r="J231" i="1"/>
  <c r="G231" i="1"/>
  <c r="K231" i="1" s="1"/>
  <c r="L231" i="1" s="1"/>
  <c r="M231" i="1" s="1"/>
  <c r="U230" i="1"/>
  <c r="Q230" i="1"/>
  <c r="K230" i="1"/>
  <c r="L230" i="1" s="1"/>
  <c r="M230" i="1" s="1"/>
  <c r="J230" i="1"/>
  <c r="G230" i="1"/>
  <c r="U229" i="1"/>
  <c r="Q229" i="1"/>
  <c r="J229" i="1"/>
  <c r="G229" i="1"/>
  <c r="K229" i="1" s="1"/>
  <c r="L229" i="1" s="1"/>
  <c r="M229" i="1" s="1"/>
  <c r="U228" i="1"/>
  <c r="Q228" i="1"/>
  <c r="K228" i="1"/>
  <c r="J228" i="1"/>
  <c r="G228" i="1"/>
  <c r="U227" i="1"/>
  <c r="Q227" i="1"/>
  <c r="K227" i="1"/>
  <c r="J227" i="1"/>
  <c r="L227" i="1" s="1"/>
  <c r="M227" i="1" s="1"/>
  <c r="G227" i="1"/>
  <c r="U226" i="1"/>
  <c r="Q226" i="1"/>
  <c r="K226" i="1"/>
  <c r="L226" i="1" s="1"/>
  <c r="M226" i="1" s="1"/>
  <c r="J226" i="1"/>
  <c r="G226" i="1"/>
  <c r="U225" i="1"/>
  <c r="Q225" i="1"/>
  <c r="K225" i="1"/>
  <c r="J225" i="1"/>
  <c r="L225" i="1" s="1"/>
  <c r="M225" i="1" s="1"/>
  <c r="G225" i="1"/>
  <c r="U224" i="1"/>
  <c r="Q224" i="1"/>
  <c r="K224" i="1"/>
  <c r="J224" i="1"/>
  <c r="L224" i="1" s="1"/>
  <c r="M224" i="1" s="1"/>
  <c r="G224" i="1"/>
  <c r="U223" i="1"/>
  <c r="Q223" i="1"/>
  <c r="J223" i="1"/>
  <c r="G223" i="1"/>
  <c r="K223" i="1" s="1"/>
  <c r="L223" i="1" s="1"/>
  <c r="M223" i="1" s="1"/>
  <c r="U222" i="1"/>
  <c r="Q222" i="1"/>
  <c r="J222" i="1"/>
  <c r="G222" i="1"/>
  <c r="K222" i="1" s="1"/>
  <c r="U221" i="1"/>
  <c r="Q221" i="1"/>
  <c r="L221" i="1"/>
  <c r="M221" i="1" s="1"/>
  <c r="K221" i="1"/>
  <c r="J221" i="1"/>
  <c r="G221" i="1"/>
  <c r="U220" i="1"/>
  <c r="Q220" i="1"/>
  <c r="J220" i="1"/>
  <c r="G220" i="1"/>
  <c r="K220" i="1" s="1"/>
  <c r="L220" i="1" s="1"/>
  <c r="M220" i="1" s="1"/>
  <c r="U219" i="1"/>
  <c r="Q219" i="1"/>
  <c r="L219" i="1"/>
  <c r="M219" i="1" s="1"/>
  <c r="J219" i="1"/>
  <c r="G219" i="1"/>
  <c r="K219" i="1" s="1"/>
  <c r="U218" i="1"/>
  <c r="Q218" i="1"/>
  <c r="M218" i="1"/>
  <c r="K218" i="1"/>
  <c r="L218" i="1" s="1"/>
  <c r="J218" i="1"/>
  <c r="G218" i="1"/>
  <c r="U217" i="1"/>
  <c r="Q217" i="1"/>
  <c r="J217" i="1"/>
  <c r="G217" i="1"/>
  <c r="K217" i="1" s="1"/>
  <c r="L217" i="1" s="1"/>
  <c r="M217" i="1" s="1"/>
  <c r="U216" i="1"/>
  <c r="Q216" i="1"/>
  <c r="K216" i="1"/>
  <c r="J216" i="1"/>
  <c r="L216" i="1" s="1"/>
  <c r="M216" i="1" s="1"/>
  <c r="G216" i="1"/>
  <c r="U215" i="1"/>
  <c r="Q215" i="1"/>
  <c r="K215" i="1"/>
  <c r="J215" i="1"/>
  <c r="L215" i="1" s="1"/>
  <c r="M215" i="1" s="1"/>
  <c r="G215" i="1"/>
  <c r="U214" i="1"/>
  <c r="Q214" i="1"/>
  <c r="J214" i="1"/>
  <c r="G214" i="1"/>
  <c r="K214" i="1" s="1"/>
  <c r="L214" i="1" s="1"/>
  <c r="M214" i="1" s="1"/>
  <c r="U213" i="1"/>
  <c r="Q213" i="1"/>
  <c r="K213" i="1"/>
  <c r="J213" i="1"/>
  <c r="L213" i="1" s="1"/>
  <c r="M213" i="1" s="1"/>
  <c r="G213" i="1"/>
  <c r="U212" i="1"/>
  <c r="Q212" i="1"/>
  <c r="K212" i="1"/>
  <c r="J212" i="1"/>
  <c r="L212" i="1" s="1"/>
  <c r="M212" i="1" s="1"/>
  <c r="G212" i="1"/>
  <c r="U211" i="1"/>
  <c r="Q211" i="1"/>
  <c r="J211" i="1"/>
  <c r="L211" i="1" s="1"/>
  <c r="M211" i="1" s="1"/>
  <c r="G211" i="1"/>
  <c r="K211" i="1" s="1"/>
  <c r="U210" i="1"/>
  <c r="Q210" i="1"/>
  <c r="J210" i="1"/>
  <c r="L210" i="1" s="1"/>
  <c r="M210" i="1" s="1"/>
  <c r="G210" i="1"/>
  <c r="K210" i="1" s="1"/>
  <c r="U209" i="1"/>
  <c r="Q209" i="1"/>
  <c r="K209" i="1"/>
  <c r="J209" i="1"/>
  <c r="L209" i="1" s="1"/>
  <c r="M209" i="1" s="1"/>
  <c r="G209" i="1"/>
  <c r="U208" i="1"/>
  <c r="Q208" i="1"/>
  <c r="J208" i="1"/>
  <c r="G208" i="1"/>
  <c r="K208" i="1" s="1"/>
  <c r="L208" i="1" s="1"/>
  <c r="M208" i="1" s="1"/>
  <c r="U207" i="1"/>
  <c r="Q207" i="1"/>
  <c r="J207" i="1"/>
  <c r="G207" i="1"/>
  <c r="K207" i="1" s="1"/>
  <c r="L207" i="1" s="1"/>
  <c r="M207" i="1" s="1"/>
  <c r="U206" i="1"/>
  <c r="Q206" i="1"/>
  <c r="K206" i="1"/>
  <c r="L206" i="1" s="1"/>
  <c r="M206" i="1" s="1"/>
  <c r="J206" i="1"/>
  <c r="G206" i="1"/>
  <c r="U205" i="1"/>
  <c r="Q205" i="1"/>
  <c r="L205" i="1"/>
  <c r="M205" i="1" s="1"/>
  <c r="J205" i="1"/>
  <c r="G205" i="1"/>
  <c r="K205" i="1" s="1"/>
  <c r="U204" i="1"/>
  <c r="Q204" i="1"/>
  <c r="M204" i="1"/>
  <c r="K204" i="1"/>
  <c r="J204" i="1"/>
  <c r="L204" i="1" s="1"/>
  <c r="G204" i="1"/>
  <c r="U203" i="1"/>
  <c r="Q203" i="1"/>
  <c r="K203" i="1"/>
  <c r="J203" i="1"/>
  <c r="G203" i="1"/>
  <c r="U202" i="1"/>
  <c r="Q202" i="1"/>
  <c r="K202" i="1"/>
  <c r="L202" i="1" s="1"/>
  <c r="M202" i="1" s="1"/>
  <c r="J202" i="1"/>
  <c r="G202" i="1"/>
  <c r="U201" i="1"/>
  <c r="Q201" i="1"/>
  <c r="L201" i="1"/>
  <c r="M201" i="1" s="1"/>
  <c r="K201" i="1"/>
  <c r="J201" i="1"/>
  <c r="G201" i="1"/>
  <c r="U200" i="1"/>
  <c r="Q200" i="1"/>
  <c r="M200" i="1"/>
  <c r="K200" i="1"/>
  <c r="J200" i="1"/>
  <c r="L200" i="1" s="1"/>
  <c r="G200" i="1"/>
  <c r="U199" i="1"/>
  <c r="Q199" i="1"/>
  <c r="L199" i="1"/>
  <c r="M199" i="1" s="1"/>
  <c r="J199" i="1"/>
  <c r="G199" i="1"/>
  <c r="K199" i="1" s="1"/>
  <c r="U198" i="1"/>
  <c r="Q198" i="1"/>
  <c r="J198" i="1"/>
  <c r="L198" i="1" s="1"/>
  <c r="M198" i="1" s="1"/>
  <c r="G198" i="1"/>
  <c r="K198" i="1" s="1"/>
  <c r="U197" i="1"/>
  <c r="Q197" i="1"/>
  <c r="K197" i="1"/>
  <c r="J197" i="1"/>
  <c r="L197" i="1" s="1"/>
  <c r="M197" i="1" s="1"/>
  <c r="G197" i="1"/>
  <c r="U196" i="1"/>
  <c r="Q196" i="1"/>
  <c r="K196" i="1"/>
  <c r="J196" i="1"/>
  <c r="L196" i="1" s="1"/>
  <c r="M196" i="1" s="1"/>
  <c r="G196" i="1"/>
  <c r="U195" i="1"/>
  <c r="Q195" i="1"/>
  <c r="J195" i="1"/>
  <c r="G195" i="1"/>
  <c r="K195" i="1" s="1"/>
  <c r="L195" i="1" s="1"/>
  <c r="M195" i="1" s="1"/>
  <c r="U194" i="1"/>
  <c r="Q194" i="1"/>
  <c r="K194" i="1"/>
  <c r="L194" i="1" s="1"/>
  <c r="M194" i="1" s="1"/>
  <c r="J194" i="1"/>
  <c r="G194" i="1"/>
  <c r="U193" i="1"/>
  <c r="Q193" i="1"/>
  <c r="L193" i="1"/>
  <c r="M193" i="1" s="1"/>
  <c r="K193" i="1"/>
  <c r="J193" i="1"/>
  <c r="G193" i="1"/>
  <c r="U192" i="1"/>
  <c r="Q192" i="1"/>
  <c r="K192" i="1"/>
  <c r="J192" i="1"/>
  <c r="L192" i="1" s="1"/>
  <c r="M192" i="1" s="1"/>
  <c r="G192" i="1"/>
  <c r="U191" i="1"/>
  <c r="Q191" i="1"/>
  <c r="K191" i="1"/>
  <c r="J191" i="1"/>
  <c r="L191" i="1" s="1"/>
  <c r="M191" i="1" s="1"/>
  <c r="G191" i="1"/>
  <c r="U190" i="1"/>
  <c r="Q190" i="1"/>
  <c r="K190" i="1"/>
  <c r="L190" i="1" s="1"/>
  <c r="M190" i="1" s="1"/>
  <c r="J190" i="1"/>
  <c r="G190" i="1"/>
  <c r="U189" i="1"/>
  <c r="Q189" i="1"/>
  <c r="K189" i="1"/>
  <c r="L189" i="1" s="1"/>
  <c r="M189" i="1" s="1"/>
  <c r="J189" i="1"/>
  <c r="G189" i="1"/>
  <c r="U188" i="1"/>
  <c r="Q188" i="1"/>
  <c r="K188" i="1"/>
  <c r="J188" i="1"/>
  <c r="G188" i="1"/>
  <c r="U187" i="1"/>
  <c r="Q187" i="1"/>
  <c r="L187" i="1"/>
  <c r="M187" i="1" s="1"/>
  <c r="J187" i="1"/>
  <c r="G187" i="1"/>
  <c r="K187" i="1" s="1"/>
  <c r="U186" i="1"/>
  <c r="Q186" i="1"/>
  <c r="J186" i="1"/>
  <c r="G186" i="1"/>
  <c r="K186" i="1" s="1"/>
  <c r="L186" i="1" s="1"/>
  <c r="M186" i="1" s="1"/>
  <c r="U185" i="1"/>
  <c r="Q185" i="1"/>
  <c r="K185" i="1"/>
  <c r="L185" i="1" s="1"/>
  <c r="M185" i="1" s="1"/>
  <c r="J185" i="1"/>
  <c r="G185" i="1"/>
  <c r="U184" i="1"/>
  <c r="Q184" i="1"/>
  <c r="J184" i="1"/>
  <c r="G184" i="1"/>
  <c r="K184" i="1" s="1"/>
  <c r="L184" i="1" s="1"/>
  <c r="M184" i="1" s="1"/>
  <c r="U183" i="1"/>
  <c r="Q183" i="1"/>
  <c r="L183" i="1"/>
  <c r="M183" i="1" s="1"/>
  <c r="J183" i="1"/>
  <c r="G183" i="1"/>
  <c r="K183" i="1" s="1"/>
  <c r="U182" i="1"/>
  <c r="Q182" i="1"/>
  <c r="K182" i="1"/>
  <c r="J182" i="1"/>
  <c r="L182" i="1" s="1"/>
  <c r="M182" i="1" s="1"/>
  <c r="G182" i="1"/>
  <c r="U181" i="1"/>
  <c r="Q181" i="1"/>
  <c r="J181" i="1"/>
  <c r="G181" i="1"/>
  <c r="K181" i="1" s="1"/>
  <c r="L181" i="1" s="1"/>
  <c r="M181" i="1" s="1"/>
  <c r="U180" i="1"/>
  <c r="Q180" i="1"/>
  <c r="K180" i="1"/>
  <c r="L180" i="1" s="1"/>
  <c r="M180" i="1" s="1"/>
  <c r="J180" i="1"/>
  <c r="G180" i="1"/>
  <c r="U179" i="1"/>
  <c r="Q179" i="1"/>
  <c r="J179" i="1"/>
  <c r="G179" i="1"/>
  <c r="K179" i="1" s="1"/>
  <c r="U178" i="1"/>
  <c r="Q178" i="1"/>
  <c r="J178" i="1"/>
  <c r="G178" i="1"/>
  <c r="K178" i="1" s="1"/>
  <c r="L178" i="1" s="1"/>
  <c r="M178" i="1" s="1"/>
  <c r="U177" i="1"/>
  <c r="Q177" i="1"/>
  <c r="J177" i="1"/>
  <c r="L177" i="1" s="1"/>
  <c r="M177" i="1" s="1"/>
  <c r="G177" i="1"/>
  <c r="K177" i="1" s="1"/>
  <c r="U176" i="1"/>
  <c r="Q176" i="1"/>
  <c r="K176" i="1"/>
  <c r="J176" i="1"/>
  <c r="G176" i="1"/>
  <c r="U175" i="1"/>
  <c r="Q175" i="1"/>
  <c r="K175" i="1"/>
  <c r="J175" i="1"/>
  <c r="L175" i="1" s="1"/>
  <c r="M175" i="1" s="1"/>
  <c r="G175" i="1"/>
  <c r="U174" i="1"/>
  <c r="Q174" i="1"/>
  <c r="J174" i="1"/>
  <c r="L174" i="1" s="1"/>
  <c r="M174" i="1" s="1"/>
  <c r="G174" i="1"/>
  <c r="K174" i="1" s="1"/>
  <c r="U173" i="1"/>
  <c r="Q173" i="1"/>
  <c r="J173" i="1"/>
  <c r="G173" i="1"/>
  <c r="K173" i="1" s="1"/>
  <c r="L173" i="1" s="1"/>
  <c r="M173" i="1" s="1"/>
  <c r="U172" i="1"/>
  <c r="Q172" i="1"/>
  <c r="K172" i="1"/>
  <c r="L172" i="1" s="1"/>
  <c r="M172" i="1" s="1"/>
  <c r="J172" i="1"/>
  <c r="G172" i="1"/>
  <c r="U171" i="1"/>
  <c r="Q171" i="1"/>
  <c r="K171" i="1"/>
  <c r="J171" i="1"/>
  <c r="L171" i="1" s="1"/>
  <c r="M171" i="1" s="1"/>
  <c r="G171" i="1"/>
  <c r="U170" i="1"/>
  <c r="Q170" i="1"/>
  <c r="J170" i="1"/>
  <c r="L170" i="1" s="1"/>
  <c r="M170" i="1" s="1"/>
  <c r="G170" i="1"/>
  <c r="K170" i="1" s="1"/>
  <c r="U169" i="1"/>
  <c r="Q169" i="1"/>
  <c r="J169" i="1"/>
  <c r="G169" i="1"/>
  <c r="K169" i="1" s="1"/>
  <c r="L169" i="1" s="1"/>
  <c r="M169" i="1" s="1"/>
  <c r="U168" i="1"/>
  <c r="Q168" i="1"/>
  <c r="J168" i="1"/>
  <c r="L168" i="1" s="1"/>
  <c r="M168" i="1" s="1"/>
  <c r="G168" i="1"/>
  <c r="K168" i="1" s="1"/>
  <c r="U167" i="1"/>
  <c r="Q167" i="1"/>
  <c r="J167" i="1"/>
  <c r="G167" i="1"/>
  <c r="K167" i="1" s="1"/>
  <c r="U166" i="1"/>
  <c r="Q166" i="1"/>
  <c r="K166" i="1"/>
  <c r="J166" i="1"/>
  <c r="L166" i="1" s="1"/>
  <c r="M166" i="1" s="1"/>
  <c r="G166" i="1"/>
  <c r="U165" i="1"/>
  <c r="Q165" i="1"/>
  <c r="K165" i="1"/>
  <c r="L165" i="1" s="1"/>
  <c r="M165" i="1" s="1"/>
  <c r="J165" i="1"/>
  <c r="G165" i="1"/>
  <c r="U164" i="1"/>
  <c r="Q164" i="1"/>
  <c r="K164" i="1"/>
  <c r="J164" i="1"/>
  <c r="L164" i="1" s="1"/>
  <c r="M164" i="1" s="1"/>
  <c r="G164" i="1"/>
  <c r="U163" i="1"/>
  <c r="Q163" i="1"/>
  <c r="J163" i="1"/>
  <c r="G163" i="1"/>
  <c r="K163" i="1" s="1"/>
  <c r="L163" i="1" s="1"/>
  <c r="M163" i="1" s="1"/>
  <c r="U162" i="1"/>
  <c r="Q162" i="1"/>
  <c r="L162" i="1"/>
  <c r="M162" i="1" s="1"/>
  <c r="J162" i="1"/>
  <c r="G162" i="1"/>
  <c r="K162" i="1" s="1"/>
  <c r="U161" i="1"/>
  <c r="Q161" i="1"/>
  <c r="J161" i="1"/>
  <c r="L161" i="1" s="1"/>
  <c r="M161" i="1" s="1"/>
  <c r="G161" i="1"/>
  <c r="K161" i="1" s="1"/>
  <c r="U160" i="1"/>
  <c r="Q160" i="1"/>
  <c r="J160" i="1"/>
  <c r="L160" i="1" s="1"/>
  <c r="M160" i="1" s="1"/>
  <c r="G160" i="1"/>
  <c r="K160" i="1" s="1"/>
  <c r="U159" i="1"/>
  <c r="Q159" i="1"/>
  <c r="K159" i="1"/>
  <c r="J159" i="1"/>
  <c r="L159" i="1" s="1"/>
  <c r="M159" i="1" s="1"/>
  <c r="G159" i="1"/>
  <c r="U158" i="1"/>
  <c r="Q158" i="1"/>
  <c r="K158" i="1"/>
  <c r="L158" i="1" s="1"/>
  <c r="M158" i="1" s="1"/>
  <c r="J158" i="1"/>
  <c r="G158" i="1"/>
  <c r="U157" i="1"/>
  <c r="Q157" i="1"/>
  <c r="K157" i="1"/>
  <c r="J157" i="1"/>
  <c r="L157" i="1" s="1"/>
  <c r="M157" i="1" s="1"/>
  <c r="G157" i="1"/>
  <c r="U156" i="1"/>
  <c r="Q156" i="1"/>
  <c r="J156" i="1"/>
  <c r="G156" i="1"/>
  <c r="K156" i="1" s="1"/>
  <c r="L156" i="1" s="1"/>
  <c r="M156" i="1" s="1"/>
  <c r="U155" i="1"/>
  <c r="Q155" i="1"/>
  <c r="J155" i="1"/>
  <c r="G155" i="1"/>
  <c r="K155" i="1" s="1"/>
  <c r="L155" i="1" s="1"/>
  <c r="M155" i="1" s="1"/>
  <c r="U154" i="1"/>
  <c r="Q154" i="1"/>
  <c r="J154" i="1"/>
  <c r="G154" i="1"/>
  <c r="K154" i="1" s="1"/>
  <c r="U153" i="1"/>
  <c r="Q153" i="1"/>
  <c r="K153" i="1"/>
  <c r="J153" i="1"/>
  <c r="L153" i="1" s="1"/>
  <c r="M153" i="1" s="1"/>
  <c r="G153" i="1"/>
  <c r="U152" i="1"/>
  <c r="Q152" i="1"/>
  <c r="J152" i="1"/>
  <c r="G152" i="1"/>
  <c r="K152" i="1" s="1"/>
  <c r="L152" i="1" s="1"/>
  <c r="M152" i="1" s="1"/>
  <c r="U151" i="1"/>
  <c r="Q151" i="1"/>
  <c r="L151" i="1"/>
  <c r="M151" i="1" s="1"/>
  <c r="K151" i="1"/>
  <c r="J151" i="1"/>
  <c r="G151" i="1"/>
  <c r="U150" i="1"/>
  <c r="Q150" i="1"/>
  <c r="K150" i="1"/>
  <c r="L150" i="1" s="1"/>
  <c r="M150" i="1" s="1"/>
  <c r="J150" i="1"/>
  <c r="G150" i="1"/>
  <c r="U149" i="1"/>
  <c r="Q149" i="1"/>
  <c r="J149" i="1"/>
  <c r="G149" i="1"/>
  <c r="K149" i="1" s="1"/>
  <c r="U148" i="1"/>
  <c r="Q148" i="1"/>
  <c r="J148" i="1"/>
  <c r="G148" i="1"/>
  <c r="K148" i="1" s="1"/>
  <c r="U147" i="1"/>
  <c r="Q147" i="1"/>
  <c r="K147" i="1"/>
  <c r="J147" i="1"/>
  <c r="L147" i="1" s="1"/>
  <c r="M147" i="1" s="1"/>
  <c r="G147" i="1"/>
  <c r="U146" i="1"/>
  <c r="Q146" i="1"/>
  <c r="K146" i="1"/>
  <c r="L146" i="1" s="1"/>
  <c r="M146" i="1" s="1"/>
  <c r="J146" i="1"/>
  <c r="G146" i="1"/>
  <c r="U145" i="1"/>
  <c r="Q145" i="1"/>
  <c r="K145" i="1"/>
  <c r="J145" i="1"/>
  <c r="L145" i="1" s="1"/>
  <c r="M145" i="1" s="1"/>
  <c r="G145" i="1"/>
  <c r="U144" i="1"/>
  <c r="Q144" i="1"/>
  <c r="J144" i="1"/>
  <c r="G144" i="1"/>
  <c r="K144" i="1" s="1"/>
  <c r="L144" i="1" s="1"/>
  <c r="M144" i="1" s="1"/>
  <c r="U143" i="1"/>
  <c r="Q143" i="1"/>
  <c r="J143" i="1"/>
  <c r="G143" i="1"/>
  <c r="K143" i="1" s="1"/>
  <c r="L143" i="1" s="1"/>
  <c r="M143" i="1" s="1"/>
  <c r="U142" i="1"/>
  <c r="Q142" i="1"/>
  <c r="J142" i="1"/>
  <c r="G142" i="1"/>
  <c r="K142" i="1" s="1"/>
  <c r="U141" i="1"/>
  <c r="Q141" i="1"/>
  <c r="K141" i="1"/>
  <c r="J141" i="1"/>
  <c r="L141" i="1" s="1"/>
  <c r="M141" i="1" s="1"/>
  <c r="G141" i="1"/>
  <c r="U140" i="1"/>
  <c r="Q140" i="1"/>
  <c r="J140" i="1"/>
  <c r="G140" i="1"/>
  <c r="K140" i="1" s="1"/>
  <c r="L140" i="1" s="1"/>
  <c r="M140" i="1" s="1"/>
  <c r="U139" i="1"/>
  <c r="Q139" i="1"/>
  <c r="L139" i="1"/>
  <c r="M139" i="1" s="1"/>
  <c r="K139" i="1"/>
  <c r="J139" i="1"/>
  <c r="G139" i="1"/>
  <c r="U138" i="1"/>
  <c r="Q138" i="1"/>
  <c r="K138" i="1"/>
  <c r="L138" i="1" s="1"/>
  <c r="M138" i="1" s="1"/>
  <c r="J138" i="1"/>
  <c r="G138" i="1"/>
  <c r="U137" i="1"/>
  <c r="Q137" i="1"/>
  <c r="J137" i="1"/>
  <c r="G137" i="1"/>
  <c r="K137" i="1" s="1"/>
  <c r="U136" i="1"/>
  <c r="Q136" i="1"/>
  <c r="J136" i="1"/>
  <c r="L136" i="1" s="1"/>
  <c r="M136" i="1" s="1"/>
  <c r="G136" i="1"/>
  <c r="K136" i="1" s="1"/>
  <c r="U135" i="1"/>
  <c r="Q135" i="1"/>
  <c r="K135" i="1"/>
  <c r="J135" i="1"/>
  <c r="L135" i="1" s="1"/>
  <c r="M135" i="1" s="1"/>
  <c r="G135" i="1"/>
  <c r="U134" i="1"/>
  <c r="Q134" i="1"/>
  <c r="K134" i="1"/>
  <c r="L134" i="1" s="1"/>
  <c r="M134" i="1" s="1"/>
  <c r="J134" i="1"/>
  <c r="G134" i="1"/>
  <c r="U133" i="1"/>
  <c r="Q133" i="1"/>
  <c r="K133" i="1"/>
  <c r="J133" i="1"/>
  <c r="L133" i="1" s="1"/>
  <c r="M133" i="1" s="1"/>
  <c r="G133" i="1"/>
  <c r="U132" i="1"/>
  <c r="Q132" i="1"/>
  <c r="J132" i="1"/>
  <c r="G132" i="1"/>
  <c r="K132" i="1" s="1"/>
  <c r="L132" i="1" s="1"/>
  <c r="M132" i="1" s="1"/>
  <c r="U131" i="1"/>
  <c r="Q131" i="1"/>
  <c r="J131" i="1"/>
  <c r="G131" i="1"/>
  <c r="K131" i="1" s="1"/>
  <c r="L131" i="1" s="1"/>
  <c r="M131" i="1" s="1"/>
  <c r="U130" i="1"/>
  <c r="Q130" i="1"/>
  <c r="J130" i="1"/>
  <c r="L130" i="1" s="1"/>
  <c r="M130" i="1" s="1"/>
  <c r="G130" i="1"/>
  <c r="K130" i="1" s="1"/>
  <c r="U129" i="1"/>
  <c r="Q129" i="1"/>
  <c r="J129" i="1"/>
  <c r="G129" i="1"/>
  <c r="K129" i="1" s="1"/>
  <c r="U128" i="1"/>
  <c r="Q128" i="1"/>
  <c r="J128" i="1"/>
  <c r="G128" i="1"/>
  <c r="K128" i="1" s="1"/>
  <c r="L128" i="1" s="1"/>
  <c r="M128" i="1" s="1"/>
  <c r="U127" i="1"/>
  <c r="Q127" i="1"/>
  <c r="L127" i="1"/>
  <c r="M127" i="1" s="1"/>
  <c r="K127" i="1"/>
  <c r="J127" i="1"/>
  <c r="G127" i="1"/>
  <c r="U126" i="1"/>
  <c r="Q126" i="1"/>
  <c r="K126" i="1"/>
  <c r="L126" i="1" s="1"/>
  <c r="M126" i="1" s="1"/>
  <c r="J126" i="1"/>
  <c r="G126" i="1"/>
  <c r="U125" i="1"/>
  <c r="Q125" i="1"/>
  <c r="J125" i="1"/>
  <c r="L125" i="1" s="1"/>
  <c r="M125" i="1" s="1"/>
  <c r="G125" i="1"/>
  <c r="K125" i="1" s="1"/>
  <c r="U124" i="1"/>
  <c r="Q124" i="1"/>
  <c r="J124" i="1"/>
  <c r="L124" i="1" s="1"/>
  <c r="M124" i="1" s="1"/>
  <c r="G124" i="1"/>
  <c r="K124" i="1" s="1"/>
  <c r="U123" i="1"/>
  <c r="Q123" i="1"/>
  <c r="K123" i="1"/>
  <c r="J123" i="1"/>
  <c r="L123" i="1" s="1"/>
  <c r="M123" i="1" s="1"/>
  <c r="G123" i="1"/>
  <c r="U122" i="1"/>
  <c r="Q122" i="1"/>
  <c r="K122" i="1"/>
  <c r="J122" i="1"/>
  <c r="L122" i="1" s="1"/>
  <c r="M122" i="1" s="1"/>
  <c r="G122" i="1"/>
  <c r="U121" i="1"/>
  <c r="Q121" i="1"/>
  <c r="K121" i="1"/>
  <c r="J121" i="1"/>
  <c r="L121" i="1" s="1"/>
  <c r="M121" i="1" s="1"/>
  <c r="G121" i="1"/>
  <c r="U120" i="1"/>
  <c r="Q120" i="1"/>
  <c r="J120" i="1"/>
  <c r="G120" i="1"/>
  <c r="K120" i="1" s="1"/>
  <c r="L120" i="1" s="1"/>
  <c r="M120" i="1" s="1"/>
  <c r="U119" i="1"/>
  <c r="Q119" i="1"/>
  <c r="J119" i="1"/>
  <c r="G119" i="1"/>
  <c r="K119" i="1" s="1"/>
  <c r="L119" i="1" s="1"/>
  <c r="M119" i="1" s="1"/>
  <c r="U118" i="1"/>
  <c r="Q118" i="1"/>
  <c r="J118" i="1"/>
  <c r="G118" i="1"/>
  <c r="K118" i="1" s="1"/>
  <c r="U117" i="1"/>
  <c r="Q117" i="1"/>
  <c r="J117" i="1"/>
  <c r="G117" i="1"/>
  <c r="K117" i="1" s="1"/>
  <c r="U116" i="1"/>
  <c r="Q116" i="1"/>
  <c r="J116" i="1"/>
  <c r="G116" i="1"/>
  <c r="K116" i="1" s="1"/>
  <c r="L116" i="1" s="1"/>
  <c r="M116" i="1" s="1"/>
  <c r="U115" i="1"/>
  <c r="Q115" i="1"/>
  <c r="L115" i="1"/>
  <c r="M115" i="1" s="1"/>
  <c r="K115" i="1"/>
  <c r="J115" i="1"/>
  <c r="G115" i="1"/>
  <c r="U114" i="1"/>
  <c r="Q114" i="1"/>
  <c r="K114" i="1"/>
  <c r="L114" i="1" s="1"/>
  <c r="M114" i="1" s="1"/>
  <c r="J114" i="1"/>
  <c r="G114" i="1"/>
  <c r="U113" i="1"/>
  <c r="Q113" i="1"/>
  <c r="J113" i="1"/>
  <c r="G113" i="1"/>
  <c r="K113" i="1" s="1"/>
  <c r="U112" i="1"/>
  <c r="Q112" i="1"/>
  <c r="J112" i="1"/>
  <c r="L112" i="1" s="1"/>
  <c r="M112" i="1" s="1"/>
  <c r="G112" i="1"/>
  <c r="K112" i="1" s="1"/>
  <c r="U111" i="1"/>
  <c r="Q111" i="1"/>
  <c r="K111" i="1"/>
  <c r="J111" i="1"/>
  <c r="L111" i="1" s="1"/>
  <c r="M111" i="1" s="1"/>
  <c r="G111" i="1"/>
  <c r="U110" i="1"/>
  <c r="Q110" i="1"/>
  <c r="K110" i="1"/>
  <c r="J110" i="1"/>
  <c r="L110" i="1" s="1"/>
  <c r="M110" i="1" s="1"/>
  <c r="G110" i="1"/>
  <c r="U109" i="1"/>
  <c r="Q109" i="1"/>
  <c r="K109" i="1"/>
  <c r="J109" i="1"/>
  <c r="L109" i="1" s="1"/>
  <c r="M109" i="1" s="1"/>
  <c r="G109" i="1"/>
  <c r="U108" i="1"/>
  <c r="Q108" i="1"/>
  <c r="J108" i="1"/>
  <c r="G108" i="1"/>
  <c r="K108" i="1" s="1"/>
  <c r="L108" i="1" s="1"/>
  <c r="M108" i="1" s="1"/>
  <c r="U107" i="1"/>
  <c r="Q107" i="1"/>
  <c r="J107" i="1"/>
  <c r="G107" i="1"/>
  <c r="K107" i="1" s="1"/>
  <c r="L107" i="1" s="1"/>
  <c r="M107" i="1" s="1"/>
  <c r="U106" i="1"/>
  <c r="Q106" i="1"/>
  <c r="J106" i="1"/>
  <c r="L106" i="1" s="1"/>
  <c r="M106" i="1" s="1"/>
  <c r="G106" i="1"/>
  <c r="K106" i="1" s="1"/>
  <c r="U105" i="1"/>
  <c r="Q105" i="1"/>
  <c r="J105" i="1"/>
  <c r="G105" i="1"/>
  <c r="K105" i="1" s="1"/>
  <c r="U104" i="1"/>
  <c r="Q104" i="1"/>
  <c r="J104" i="1"/>
  <c r="G104" i="1"/>
  <c r="K104" i="1" s="1"/>
  <c r="L104" i="1" s="1"/>
  <c r="M104" i="1" s="1"/>
  <c r="U103" i="1"/>
  <c r="Q103" i="1"/>
  <c r="L103" i="1"/>
  <c r="M103" i="1" s="1"/>
  <c r="K103" i="1"/>
  <c r="J103" i="1"/>
  <c r="G103" i="1"/>
  <c r="U102" i="1"/>
  <c r="Q102" i="1"/>
  <c r="K102" i="1"/>
  <c r="L102" i="1" s="1"/>
  <c r="M102" i="1" s="1"/>
  <c r="J102" i="1"/>
  <c r="G102" i="1"/>
  <c r="U101" i="1"/>
  <c r="Q101" i="1"/>
  <c r="J101" i="1"/>
  <c r="L101" i="1" s="1"/>
  <c r="M101" i="1" s="1"/>
  <c r="G101" i="1"/>
  <c r="K101" i="1" s="1"/>
  <c r="U100" i="1"/>
  <c r="Q100" i="1"/>
  <c r="J100" i="1"/>
  <c r="L100" i="1" s="1"/>
  <c r="M100" i="1" s="1"/>
  <c r="G100" i="1"/>
  <c r="K100" i="1" s="1"/>
  <c r="U99" i="1"/>
  <c r="Q99" i="1"/>
  <c r="K99" i="1"/>
  <c r="J99" i="1"/>
  <c r="L99" i="1" s="1"/>
  <c r="M99" i="1" s="1"/>
  <c r="G99" i="1"/>
  <c r="U98" i="1"/>
  <c r="Q98" i="1"/>
  <c r="K98" i="1"/>
  <c r="J98" i="1"/>
  <c r="L98" i="1" s="1"/>
  <c r="M98" i="1" s="1"/>
  <c r="G98" i="1"/>
  <c r="U97" i="1"/>
  <c r="Q97" i="1"/>
  <c r="K97" i="1"/>
  <c r="J97" i="1"/>
  <c r="L97" i="1" s="1"/>
  <c r="M97" i="1" s="1"/>
  <c r="G97" i="1"/>
  <c r="U96" i="1"/>
  <c r="Q96" i="1"/>
  <c r="J96" i="1"/>
  <c r="G96" i="1"/>
  <c r="K96" i="1" s="1"/>
  <c r="L96" i="1" s="1"/>
  <c r="M96" i="1" s="1"/>
  <c r="U95" i="1"/>
  <c r="Q95" i="1"/>
  <c r="J95" i="1"/>
  <c r="G95" i="1"/>
  <c r="K95" i="1" s="1"/>
  <c r="L95" i="1" s="1"/>
  <c r="M95" i="1" s="1"/>
  <c r="U94" i="1"/>
  <c r="Q94" i="1"/>
  <c r="J94" i="1"/>
  <c r="G94" i="1"/>
  <c r="K94" i="1" s="1"/>
  <c r="U93" i="1"/>
  <c r="Q93" i="1"/>
  <c r="J93" i="1"/>
  <c r="G93" i="1"/>
  <c r="K93" i="1" s="1"/>
  <c r="U92" i="1"/>
  <c r="Q92" i="1"/>
  <c r="J92" i="1"/>
  <c r="G92" i="1"/>
  <c r="K92" i="1" s="1"/>
  <c r="L92" i="1" s="1"/>
  <c r="M92" i="1" s="1"/>
  <c r="U91" i="1"/>
  <c r="Q91" i="1"/>
  <c r="L91" i="1"/>
  <c r="M91" i="1" s="1"/>
  <c r="K91" i="1"/>
  <c r="J91" i="1"/>
  <c r="G91" i="1"/>
  <c r="U90" i="1"/>
  <c r="Q90" i="1"/>
  <c r="K90" i="1"/>
  <c r="L90" i="1" s="1"/>
  <c r="M90" i="1" s="1"/>
  <c r="J90" i="1"/>
  <c r="G90" i="1"/>
  <c r="U89" i="1"/>
  <c r="Q89" i="1"/>
  <c r="J89" i="1"/>
  <c r="G89" i="1"/>
  <c r="K89" i="1" s="1"/>
  <c r="U88" i="1"/>
  <c r="Q88" i="1"/>
  <c r="J88" i="1"/>
  <c r="L88" i="1" s="1"/>
  <c r="M88" i="1" s="1"/>
  <c r="G88" i="1"/>
  <c r="K88" i="1" s="1"/>
  <c r="U87" i="1"/>
  <c r="Q87" i="1"/>
  <c r="K87" i="1"/>
  <c r="J87" i="1"/>
  <c r="L87" i="1" s="1"/>
  <c r="M87" i="1" s="1"/>
  <c r="G87" i="1"/>
  <c r="U86" i="1"/>
  <c r="Q86" i="1"/>
  <c r="K86" i="1"/>
  <c r="J86" i="1"/>
  <c r="L86" i="1" s="1"/>
  <c r="M86" i="1" s="1"/>
  <c r="G86" i="1"/>
  <c r="U85" i="1"/>
  <c r="Q85" i="1"/>
  <c r="K85" i="1"/>
  <c r="J85" i="1"/>
  <c r="L85" i="1" s="1"/>
  <c r="M85" i="1" s="1"/>
  <c r="G85" i="1"/>
  <c r="U84" i="1"/>
  <c r="Q84" i="1"/>
  <c r="J84" i="1"/>
  <c r="G84" i="1"/>
  <c r="K84" i="1" s="1"/>
  <c r="L84" i="1" s="1"/>
  <c r="M84" i="1" s="1"/>
  <c r="U83" i="1"/>
  <c r="Q83" i="1"/>
  <c r="J83" i="1"/>
  <c r="G83" i="1"/>
  <c r="K83" i="1" s="1"/>
  <c r="L83" i="1" s="1"/>
  <c r="M83" i="1" s="1"/>
  <c r="U82" i="1"/>
  <c r="Q82" i="1"/>
  <c r="J82" i="1"/>
  <c r="L82" i="1" s="1"/>
  <c r="M82" i="1" s="1"/>
  <c r="G82" i="1"/>
  <c r="K82" i="1" s="1"/>
  <c r="U81" i="1"/>
  <c r="Q81" i="1"/>
  <c r="J81" i="1"/>
  <c r="G81" i="1"/>
  <c r="K81" i="1" s="1"/>
  <c r="U80" i="1"/>
  <c r="Q80" i="1"/>
  <c r="J80" i="1"/>
  <c r="G80" i="1"/>
  <c r="K80" i="1" s="1"/>
  <c r="L80" i="1" s="1"/>
  <c r="M80" i="1" s="1"/>
  <c r="U79" i="1"/>
  <c r="Q79" i="1"/>
  <c r="K79" i="1"/>
  <c r="L79" i="1" s="1"/>
  <c r="M79" i="1" s="1"/>
  <c r="J79" i="1"/>
  <c r="G79" i="1"/>
  <c r="U78" i="1"/>
  <c r="Q78" i="1"/>
  <c r="K78" i="1"/>
  <c r="L78" i="1" s="1"/>
  <c r="M78" i="1" s="1"/>
  <c r="J78" i="1"/>
  <c r="G78" i="1"/>
  <c r="U77" i="1"/>
  <c r="Q77" i="1"/>
  <c r="J77" i="1"/>
  <c r="G77" i="1"/>
  <c r="K77" i="1" s="1"/>
  <c r="U76" i="1"/>
  <c r="Q76" i="1"/>
  <c r="J76" i="1"/>
  <c r="G76" i="1"/>
  <c r="K76" i="1" s="1"/>
  <c r="U75" i="1"/>
  <c r="Q75" i="1"/>
  <c r="K75" i="1"/>
  <c r="J75" i="1"/>
  <c r="L75" i="1" s="1"/>
  <c r="M75" i="1" s="1"/>
  <c r="G75" i="1"/>
  <c r="U74" i="1"/>
  <c r="Q74" i="1"/>
  <c r="K74" i="1"/>
  <c r="J74" i="1"/>
  <c r="L74" i="1" s="1"/>
  <c r="M74" i="1" s="1"/>
  <c r="G74" i="1"/>
  <c r="U73" i="1"/>
  <c r="Q73" i="1"/>
  <c r="K73" i="1"/>
  <c r="J73" i="1"/>
  <c r="L73" i="1" s="1"/>
  <c r="M73" i="1" s="1"/>
  <c r="G73" i="1"/>
  <c r="U72" i="1"/>
  <c r="Q72" i="1"/>
  <c r="J72" i="1"/>
  <c r="G72" i="1"/>
  <c r="K72" i="1" s="1"/>
  <c r="L72" i="1" s="1"/>
  <c r="M72" i="1" s="1"/>
  <c r="U71" i="1"/>
  <c r="Q71" i="1"/>
  <c r="J71" i="1"/>
  <c r="G71" i="1"/>
  <c r="K71" i="1" s="1"/>
  <c r="L71" i="1" s="1"/>
  <c r="M71" i="1" s="1"/>
  <c r="U70" i="1"/>
  <c r="Q70" i="1"/>
  <c r="J70" i="1"/>
  <c r="G70" i="1"/>
  <c r="K70" i="1" s="1"/>
  <c r="U69" i="1"/>
  <c r="Q69" i="1"/>
  <c r="J69" i="1"/>
  <c r="L69" i="1" s="1"/>
  <c r="M69" i="1" s="1"/>
  <c r="G69" i="1"/>
  <c r="K69" i="1" s="1"/>
  <c r="U68" i="1"/>
  <c r="Q68" i="1"/>
  <c r="J68" i="1"/>
  <c r="G68" i="1"/>
  <c r="K68" i="1" s="1"/>
  <c r="L68" i="1" s="1"/>
  <c r="M68" i="1" s="1"/>
  <c r="U67" i="1"/>
  <c r="Q67" i="1"/>
  <c r="K67" i="1"/>
  <c r="L67" i="1" s="1"/>
  <c r="M67" i="1" s="1"/>
  <c r="J67" i="1"/>
  <c r="G67" i="1"/>
  <c r="U66" i="1"/>
  <c r="Q66" i="1"/>
  <c r="K66" i="1"/>
  <c r="L66" i="1" s="1"/>
  <c r="M66" i="1" s="1"/>
  <c r="J66" i="1"/>
  <c r="G66" i="1"/>
  <c r="U65" i="1"/>
  <c r="Q65" i="1"/>
  <c r="J65" i="1"/>
  <c r="L65" i="1" s="1"/>
  <c r="M65" i="1" s="1"/>
  <c r="G65" i="1"/>
  <c r="K65" i="1" s="1"/>
  <c r="U64" i="1"/>
  <c r="Q64" i="1"/>
  <c r="J64" i="1"/>
  <c r="L64" i="1" s="1"/>
  <c r="M64" i="1" s="1"/>
  <c r="G64" i="1"/>
  <c r="K64" i="1" s="1"/>
  <c r="U63" i="1"/>
  <c r="Q63" i="1"/>
  <c r="K63" i="1"/>
  <c r="J63" i="1"/>
  <c r="L63" i="1" s="1"/>
  <c r="M63" i="1" s="1"/>
  <c r="G63" i="1"/>
  <c r="U62" i="1"/>
  <c r="Q62" i="1"/>
  <c r="K62" i="1"/>
  <c r="J62" i="1"/>
  <c r="L62" i="1" s="1"/>
  <c r="M62" i="1" s="1"/>
  <c r="G62" i="1"/>
  <c r="U61" i="1"/>
  <c r="Q61" i="1"/>
  <c r="K61" i="1"/>
  <c r="J61" i="1"/>
  <c r="L61" i="1" s="1"/>
  <c r="M61" i="1" s="1"/>
  <c r="G61" i="1"/>
  <c r="U60" i="1"/>
  <c r="Q60" i="1"/>
  <c r="J60" i="1"/>
  <c r="G60" i="1"/>
  <c r="K60" i="1" s="1"/>
  <c r="L60" i="1" s="1"/>
  <c r="M60" i="1" s="1"/>
  <c r="U59" i="1"/>
  <c r="Q59" i="1"/>
  <c r="J59" i="1"/>
  <c r="G59" i="1"/>
  <c r="K59" i="1" s="1"/>
  <c r="L59" i="1" s="1"/>
  <c r="M59" i="1" s="1"/>
  <c r="U58" i="1"/>
  <c r="Q58" i="1"/>
  <c r="J58" i="1"/>
  <c r="G58" i="1"/>
  <c r="K58" i="1" s="1"/>
  <c r="U57" i="1"/>
  <c r="Q57" i="1"/>
  <c r="J57" i="1"/>
  <c r="G57" i="1"/>
  <c r="K57" i="1" s="1"/>
  <c r="U56" i="1"/>
  <c r="Q56" i="1"/>
  <c r="J56" i="1"/>
  <c r="G56" i="1"/>
  <c r="K56" i="1" s="1"/>
  <c r="L56" i="1" s="1"/>
  <c r="M56" i="1" s="1"/>
  <c r="U55" i="1"/>
  <c r="Q55" i="1"/>
  <c r="K55" i="1"/>
  <c r="L55" i="1" s="1"/>
  <c r="M55" i="1" s="1"/>
  <c r="J55" i="1"/>
  <c r="G55" i="1"/>
  <c r="U54" i="1"/>
  <c r="Q54" i="1"/>
  <c r="K54" i="1"/>
  <c r="L54" i="1" s="1"/>
  <c r="M54" i="1" s="1"/>
  <c r="J54" i="1"/>
  <c r="G54" i="1"/>
  <c r="U53" i="1"/>
  <c r="Q53" i="1"/>
  <c r="J53" i="1"/>
  <c r="G53" i="1"/>
  <c r="K53" i="1" s="1"/>
  <c r="U52" i="1"/>
  <c r="Q52" i="1"/>
  <c r="J52" i="1"/>
  <c r="L52" i="1" s="1"/>
  <c r="M52" i="1" s="1"/>
  <c r="G52" i="1"/>
  <c r="K52" i="1" s="1"/>
  <c r="U51" i="1"/>
  <c r="Q51" i="1"/>
  <c r="K51" i="1"/>
  <c r="J51" i="1"/>
  <c r="L51" i="1" s="1"/>
  <c r="M51" i="1" s="1"/>
  <c r="G51" i="1"/>
  <c r="U50" i="1"/>
  <c r="Q50" i="1"/>
  <c r="K50" i="1"/>
  <c r="J50" i="1"/>
  <c r="L50" i="1" s="1"/>
  <c r="M50" i="1" s="1"/>
  <c r="G50" i="1"/>
  <c r="U49" i="1"/>
  <c r="Q49" i="1"/>
  <c r="K49" i="1"/>
  <c r="J49" i="1"/>
  <c r="L49" i="1" s="1"/>
  <c r="M49" i="1" s="1"/>
  <c r="G49" i="1"/>
  <c r="U48" i="1"/>
  <c r="Q48" i="1"/>
  <c r="J48" i="1"/>
  <c r="G48" i="1"/>
  <c r="K48" i="1" s="1"/>
  <c r="L48" i="1" s="1"/>
  <c r="M48" i="1" s="1"/>
  <c r="U47" i="1"/>
  <c r="Q47" i="1"/>
  <c r="J47" i="1"/>
  <c r="G47" i="1"/>
  <c r="K47" i="1" s="1"/>
  <c r="L47" i="1" s="1"/>
  <c r="M47" i="1" s="1"/>
  <c r="U46" i="1"/>
  <c r="Q46" i="1"/>
  <c r="J46" i="1"/>
  <c r="L46" i="1" s="1"/>
  <c r="M46" i="1" s="1"/>
  <c r="G46" i="1"/>
  <c r="K46" i="1" s="1"/>
  <c r="U45" i="1"/>
  <c r="Q45" i="1"/>
  <c r="J45" i="1"/>
  <c r="L45" i="1" s="1"/>
  <c r="M45" i="1" s="1"/>
  <c r="G45" i="1"/>
  <c r="K45" i="1" s="1"/>
  <c r="U44" i="1"/>
  <c r="Q44" i="1"/>
  <c r="J44" i="1"/>
  <c r="G44" i="1"/>
  <c r="K44" i="1" s="1"/>
  <c r="L44" i="1" s="1"/>
  <c r="M44" i="1" s="1"/>
  <c r="U43" i="1"/>
  <c r="Q43" i="1"/>
  <c r="K43" i="1"/>
  <c r="L43" i="1" s="1"/>
  <c r="M43" i="1" s="1"/>
  <c r="J43" i="1"/>
  <c r="G43" i="1"/>
  <c r="U42" i="1"/>
  <c r="Q42" i="1"/>
  <c r="K42" i="1"/>
  <c r="L42" i="1" s="1"/>
  <c r="M42" i="1" s="1"/>
  <c r="J42" i="1"/>
  <c r="G42" i="1"/>
  <c r="U41" i="1"/>
  <c r="Q41" i="1"/>
  <c r="J41" i="1"/>
  <c r="G41" i="1"/>
  <c r="K41" i="1" s="1"/>
  <c r="U40" i="1"/>
  <c r="Q40" i="1"/>
  <c r="J40" i="1"/>
  <c r="G40" i="1"/>
  <c r="K40" i="1" s="1"/>
  <c r="U39" i="1"/>
  <c r="Q39" i="1"/>
  <c r="K39" i="1"/>
  <c r="J39" i="1"/>
  <c r="L39" i="1" s="1"/>
  <c r="M39" i="1" s="1"/>
  <c r="G39" i="1"/>
  <c r="U38" i="1"/>
  <c r="Q38" i="1"/>
  <c r="K38" i="1"/>
  <c r="J38" i="1"/>
  <c r="L38" i="1" s="1"/>
  <c r="M38" i="1" s="1"/>
  <c r="G38" i="1"/>
  <c r="U37" i="1"/>
  <c r="Q37" i="1"/>
  <c r="K37" i="1"/>
  <c r="J37" i="1"/>
  <c r="L37" i="1" s="1"/>
  <c r="M37" i="1" s="1"/>
  <c r="G37" i="1"/>
  <c r="U36" i="1"/>
  <c r="Q36" i="1"/>
  <c r="J36" i="1"/>
  <c r="G36" i="1"/>
  <c r="K36" i="1" s="1"/>
  <c r="L36" i="1" s="1"/>
  <c r="M36" i="1" s="1"/>
  <c r="U35" i="1"/>
  <c r="Q35" i="1"/>
  <c r="J35" i="1"/>
  <c r="G35" i="1"/>
  <c r="K35" i="1" s="1"/>
  <c r="L35" i="1" s="1"/>
  <c r="M35" i="1" s="1"/>
  <c r="U34" i="1"/>
  <c r="Q34" i="1"/>
  <c r="J34" i="1"/>
  <c r="G34" i="1"/>
  <c r="K34" i="1" s="1"/>
  <c r="U33" i="1"/>
  <c r="Q33" i="1"/>
  <c r="J33" i="1"/>
  <c r="L33" i="1" s="1"/>
  <c r="M33" i="1" s="1"/>
  <c r="G33" i="1"/>
  <c r="K33" i="1" s="1"/>
  <c r="U32" i="1"/>
  <c r="Q32" i="1"/>
  <c r="J32" i="1"/>
  <c r="G32" i="1"/>
  <c r="K32" i="1" s="1"/>
  <c r="L32" i="1" s="1"/>
  <c r="M32" i="1" s="1"/>
  <c r="U31" i="1"/>
  <c r="Q31" i="1"/>
  <c r="K31" i="1"/>
  <c r="L31" i="1" s="1"/>
  <c r="M31" i="1" s="1"/>
  <c r="J31" i="1"/>
  <c r="G31" i="1"/>
  <c r="U30" i="1"/>
  <c r="Q30" i="1"/>
  <c r="K30" i="1"/>
  <c r="L30" i="1" s="1"/>
  <c r="M30" i="1" s="1"/>
  <c r="J30" i="1"/>
  <c r="G30" i="1"/>
  <c r="U29" i="1"/>
  <c r="Q29" i="1"/>
  <c r="J29" i="1"/>
  <c r="G29" i="1"/>
  <c r="K29" i="1" s="1"/>
  <c r="U28" i="1"/>
  <c r="Q28" i="1"/>
  <c r="J28" i="1"/>
  <c r="G28" i="1"/>
  <c r="K28" i="1" s="1"/>
  <c r="U27" i="1"/>
  <c r="Q27" i="1"/>
  <c r="K27" i="1"/>
  <c r="J27" i="1"/>
  <c r="L27" i="1" s="1"/>
  <c r="M27" i="1" s="1"/>
  <c r="G27" i="1"/>
  <c r="U26" i="1"/>
  <c r="Q26" i="1"/>
  <c r="K26" i="1"/>
  <c r="J26" i="1"/>
  <c r="L26" i="1" s="1"/>
  <c r="M26" i="1" s="1"/>
  <c r="G26" i="1"/>
  <c r="U25" i="1"/>
  <c r="Q25" i="1"/>
  <c r="K25" i="1"/>
  <c r="J25" i="1"/>
  <c r="L25" i="1" s="1"/>
  <c r="M25" i="1" s="1"/>
  <c r="G25" i="1"/>
  <c r="U24" i="1"/>
  <c r="Q24" i="1"/>
  <c r="J24" i="1"/>
  <c r="G24" i="1"/>
  <c r="K24" i="1" s="1"/>
  <c r="L24" i="1" s="1"/>
  <c r="M24" i="1" s="1"/>
  <c r="U23" i="1"/>
  <c r="Q23" i="1"/>
  <c r="J23" i="1"/>
  <c r="G23" i="1"/>
  <c r="K23" i="1" s="1"/>
  <c r="L23" i="1" s="1"/>
  <c r="M23" i="1" s="1"/>
  <c r="U22" i="1"/>
  <c r="Q22" i="1"/>
  <c r="J22" i="1"/>
  <c r="G22" i="1"/>
  <c r="K22" i="1" s="1"/>
  <c r="U21" i="1"/>
  <c r="Q21" i="1"/>
  <c r="J21" i="1"/>
  <c r="G21" i="1"/>
  <c r="K21" i="1" s="1"/>
  <c r="U20" i="1"/>
  <c r="Q20" i="1"/>
  <c r="J20" i="1"/>
  <c r="G20" i="1"/>
  <c r="K20" i="1" s="1"/>
  <c r="L20" i="1" s="1"/>
  <c r="M20" i="1" s="1"/>
  <c r="U19" i="1"/>
  <c r="Q19" i="1"/>
  <c r="K19" i="1"/>
  <c r="L19" i="1" s="1"/>
  <c r="M19" i="1" s="1"/>
  <c r="J19" i="1"/>
  <c r="G19" i="1"/>
  <c r="U18" i="1"/>
  <c r="Q18" i="1"/>
  <c r="K18" i="1"/>
  <c r="L18" i="1" s="1"/>
  <c r="M18" i="1" s="1"/>
  <c r="J18" i="1"/>
  <c r="G18" i="1"/>
  <c r="U17" i="1"/>
  <c r="Q17" i="1"/>
  <c r="J17" i="1"/>
  <c r="L17" i="1" s="1"/>
  <c r="M17" i="1" s="1"/>
  <c r="G17" i="1"/>
  <c r="K17" i="1" s="1"/>
  <c r="U16" i="1"/>
  <c r="Q16" i="1"/>
  <c r="K16" i="1"/>
  <c r="J16" i="1"/>
  <c r="L16" i="1" s="1"/>
  <c r="M16" i="1" s="1"/>
  <c r="G16" i="1"/>
  <c r="U15" i="1"/>
  <c r="Q15" i="1"/>
  <c r="K15" i="1"/>
  <c r="J15" i="1"/>
  <c r="L15" i="1" s="1"/>
  <c r="M15" i="1" s="1"/>
  <c r="G15" i="1"/>
  <c r="U14" i="1"/>
  <c r="Q14" i="1"/>
  <c r="K14" i="1"/>
  <c r="J14" i="1"/>
  <c r="L14" i="1" s="1"/>
  <c r="M14" i="1" s="1"/>
  <c r="G14" i="1"/>
  <c r="U13" i="1"/>
  <c r="Q13" i="1"/>
  <c r="K13" i="1"/>
  <c r="J13" i="1"/>
  <c r="L13" i="1" s="1"/>
  <c r="M13" i="1" s="1"/>
  <c r="G13" i="1"/>
  <c r="U12" i="1"/>
  <c r="Q12" i="1"/>
  <c r="J12" i="1"/>
  <c r="G12" i="1"/>
  <c r="K12" i="1" s="1"/>
  <c r="L12" i="1" s="1"/>
  <c r="M12" i="1" s="1"/>
  <c r="U11" i="1"/>
  <c r="Q11" i="1"/>
  <c r="J11" i="1"/>
  <c r="G11" i="1"/>
  <c r="K11" i="1" s="1"/>
  <c r="L11" i="1" s="1"/>
  <c r="M11" i="1" s="1"/>
  <c r="U10" i="1"/>
  <c r="Q10" i="1"/>
  <c r="J10" i="1"/>
  <c r="L10" i="1" s="1"/>
  <c r="M10" i="1" s="1"/>
  <c r="G10" i="1"/>
  <c r="K10" i="1" s="1"/>
  <c r="U9" i="1"/>
  <c r="Q9" i="1"/>
  <c r="J9" i="1"/>
  <c r="L9" i="1" s="1"/>
  <c r="M9" i="1" s="1"/>
  <c r="G9" i="1"/>
  <c r="K9" i="1" s="1"/>
  <c r="U8" i="1"/>
  <c r="Q8" i="1"/>
  <c r="J8" i="1"/>
  <c r="G8" i="1"/>
  <c r="K8" i="1" s="1"/>
  <c r="L8" i="1" s="1"/>
  <c r="M8" i="1" s="1"/>
  <c r="U7" i="1"/>
  <c r="Q7" i="1"/>
  <c r="K7" i="1"/>
  <c r="L7" i="1" s="1"/>
  <c r="M7" i="1" s="1"/>
  <c r="J7" i="1"/>
  <c r="G7" i="1"/>
  <c r="U6" i="1"/>
  <c r="Q6" i="1"/>
  <c r="K6" i="1"/>
  <c r="L6" i="1" s="1"/>
  <c r="M6" i="1" s="1"/>
  <c r="J6" i="1"/>
  <c r="G6" i="1"/>
  <c r="U5" i="1"/>
  <c r="Q5" i="1"/>
  <c r="J5" i="1"/>
  <c r="G5" i="1"/>
  <c r="K5" i="1" s="1"/>
  <c r="U4" i="1"/>
  <c r="Q4" i="1"/>
  <c r="J4" i="1"/>
  <c r="L4" i="1" s="1"/>
  <c r="M4" i="1" s="1"/>
  <c r="G4" i="1"/>
  <c r="K4" i="1" s="1"/>
  <c r="U3" i="1"/>
  <c r="Q3" i="1"/>
  <c r="K3" i="1"/>
  <c r="J3" i="1"/>
  <c r="L3" i="1" s="1"/>
  <c r="M3" i="1" s="1"/>
  <c r="G3" i="1"/>
  <c r="U2" i="1"/>
  <c r="Q2" i="1"/>
  <c r="K2" i="1"/>
  <c r="J2" i="1"/>
  <c r="L2" i="1" s="1"/>
  <c r="M2" i="1" s="1"/>
  <c r="G2" i="1"/>
  <c r="L29" i="1" l="1"/>
  <c r="M29" i="1" s="1"/>
  <c r="L94" i="1"/>
  <c r="M94" i="1" s="1"/>
  <c r="L118" i="1"/>
  <c r="M118" i="1" s="1"/>
  <c r="L5" i="1"/>
  <c r="M5" i="1" s="1"/>
  <c r="L21" i="1"/>
  <c r="M21" i="1" s="1"/>
  <c r="L40" i="1"/>
  <c r="M40" i="1" s="1"/>
  <c r="L89" i="1"/>
  <c r="M89" i="1" s="1"/>
  <c r="L113" i="1"/>
  <c r="M113" i="1" s="1"/>
  <c r="L137" i="1"/>
  <c r="M137" i="1" s="1"/>
  <c r="L81" i="1"/>
  <c r="M81" i="1" s="1"/>
  <c r="L105" i="1"/>
  <c r="M105" i="1" s="1"/>
  <c r="L129" i="1"/>
  <c r="M129" i="1" s="1"/>
  <c r="L57" i="1"/>
  <c r="M57" i="1" s="1"/>
  <c r="L76" i="1"/>
  <c r="M76" i="1" s="1"/>
  <c r="L148" i="1"/>
  <c r="M148" i="1" s="1"/>
  <c r="L70" i="1"/>
  <c r="M70" i="1" s="1"/>
  <c r="L22" i="1"/>
  <c r="M22" i="1" s="1"/>
  <c r="L41" i="1"/>
  <c r="M41" i="1" s="1"/>
  <c r="L142" i="1"/>
  <c r="M142" i="1" s="1"/>
  <c r="L28" i="1"/>
  <c r="M28" i="1" s="1"/>
  <c r="L58" i="1"/>
  <c r="M58" i="1" s="1"/>
  <c r="L77" i="1"/>
  <c r="M77" i="1" s="1"/>
  <c r="L93" i="1"/>
  <c r="M93" i="1" s="1"/>
  <c r="L117" i="1"/>
  <c r="M117" i="1" s="1"/>
  <c r="L149" i="1"/>
  <c r="M149" i="1" s="1"/>
  <c r="L154" i="1"/>
  <c r="M154" i="1" s="1"/>
  <c r="L34" i="1"/>
  <c r="M34" i="1" s="1"/>
  <c r="L53" i="1"/>
  <c r="M53" i="1" s="1"/>
  <c r="L188" i="1"/>
  <c r="M188" i="1" s="1"/>
  <c r="L228" i="1"/>
  <c r="M228" i="1" s="1"/>
  <c r="L294" i="1"/>
  <c r="M294" i="1" s="1"/>
  <c r="L318" i="1"/>
  <c r="M318" i="1" s="1"/>
  <c r="L270" i="1"/>
  <c r="M270" i="1" s="1"/>
  <c r="L342" i="1"/>
  <c r="M342" i="1" s="1"/>
  <c r="L354" i="1"/>
  <c r="M354" i="1" s="1"/>
  <c r="L366" i="1"/>
  <c r="M366" i="1" s="1"/>
  <c r="L378" i="1"/>
  <c r="M378" i="1" s="1"/>
  <c r="L390" i="1"/>
  <c r="M390" i="1" s="1"/>
  <c r="L402" i="1"/>
  <c r="M402" i="1" s="1"/>
  <c r="L258" i="1"/>
  <c r="M258" i="1" s="1"/>
  <c r="L347" i="1"/>
  <c r="M347" i="1" s="1"/>
  <c r="L359" i="1"/>
  <c r="M359" i="1" s="1"/>
  <c r="L371" i="1"/>
  <c r="M371" i="1" s="1"/>
  <c r="L383" i="1"/>
  <c r="M383" i="1" s="1"/>
  <c r="L395" i="1"/>
  <c r="M395" i="1" s="1"/>
  <c r="L179" i="1"/>
  <c r="M179" i="1" s="1"/>
  <c r="L222" i="1"/>
  <c r="M222" i="1" s="1"/>
  <c r="L246" i="1"/>
  <c r="M246" i="1" s="1"/>
  <c r="L340" i="1"/>
  <c r="M340" i="1" s="1"/>
  <c r="L352" i="1"/>
  <c r="M352" i="1" s="1"/>
  <c r="L364" i="1"/>
  <c r="M364" i="1" s="1"/>
  <c r="L376" i="1"/>
  <c r="M376" i="1" s="1"/>
  <c r="L388" i="1"/>
  <c r="M388" i="1" s="1"/>
  <c r="L312" i="1"/>
  <c r="M312" i="1" s="1"/>
  <c r="L203" i="1"/>
  <c r="M203" i="1" s="1"/>
  <c r="L300" i="1"/>
  <c r="M300" i="1" s="1"/>
  <c r="L324" i="1"/>
  <c r="M324" i="1" s="1"/>
  <c r="L167" i="1"/>
  <c r="M167" i="1" s="1"/>
  <c r="L176" i="1"/>
  <c r="M176" i="1" s="1"/>
  <c r="L276" i="1"/>
  <c r="M276" i="1" s="1"/>
  <c r="L449" i="1"/>
  <c r="M449" i="1" s="1"/>
  <c r="L252" i="1"/>
  <c r="M252" i="1" s="1"/>
  <c r="L409" i="1"/>
  <c r="M409" i="1" s="1"/>
  <c r="L437" i="1"/>
  <c r="M437" i="1" s="1"/>
  <c r="L443" i="1"/>
  <c r="M443" i="1" s="1"/>
  <c r="L550" i="1"/>
  <c r="M550" i="1" s="1"/>
  <c r="L557" i="1"/>
  <c r="M557" i="1" s="1"/>
  <c r="L569" i="1"/>
  <c r="M569" i="1" s="1"/>
  <c r="L581" i="1"/>
  <c r="M581" i="1" s="1"/>
  <c r="L593" i="1"/>
  <c r="M593" i="1" s="1"/>
  <c r="L605" i="1"/>
  <c r="M605" i="1" s="1"/>
  <c r="L617" i="1"/>
  <c r="M617" i="1" s="1"/>
  <c r="L629" i="1"/>
  <c r="M629" i="1" s="1"/>
  <c r="L641" i="1"/>
  <c r="M641" i="1" s="1"/>
  <c r="L653" i="1"/>
  <c r="M653" i="1" s="1"/>
  <c r="L419" i="1"/>
  <c r="M419" i="1" s="1"/>
  <c r="L479" i="1"/>
  <c r="M479" i="1" s="1"/>
  <c r="L509" i="1"/>
  <c r="M509" i="1" s="1"/>
  <c r="L477" i="1"/>
  <c r="M477" i="1" s="1"/>
  <c r="L484" i="1"/>
  <c r="M484" i="1" s="1"/>
  <c r="L539" i="1"/>
  <c r="M539" i="1" s="1"/>
  <c r="L460" i="1"/>
  <c r="M460" i="1" s="1"/>
  <c r="L491" i="1"/>
  <c r="M491" i="1" s="1"/>
  <c r="L521" i="1"/>
  <c r="M521" i="1" s="1"/>
  <c r="L551" i="1"/>
  <c r="M551" i="1" s="1"/>
  <c r="L563" i="1"/>
  <c r="M563" i="1" s="1"/>
  <c r="L575" i="1"/>
  <c r="M575" i="1" s="1"/>
  <c r="L587" i="1"/>
  <c r="M587" i="1" s="1"/>
  <c r="L599" i="1"/>
  <c r="M599" i="1" s="1"/>
  <c r="L611" i="1"/>
  <c r="M611" i="1" s="1"/>
  <c r="L623" i="1"/>
  <c r="M623" i="1" s="1"/>
  <c r="L635" i="1"/>
  <c r="M635" i="1" s="1"/>
  <c r="L647" i="1"/>
  <c r="M647" i="1" s="1"/>
  <c r="L669" i="1"/>
  <c r="M669" i="1" s="1"/>
  <c r="L672" i="1"/>
  <c r="M672" i="1" s="1"/>
  <c r="L448" i="1"/>
  <c r="M448" i="1" s="1"/>
  <c r="L412" i="1"/>
  <c r="M412" i="1" s="1"/>
  <c r="L424" i="1"/>
  <c r="M424" i="1" s="1"/>
  <c r="L526" i="1"/>
  <c r="M526" i="1" s="1"/>
  <c r="L533" i="1"/>
  <c r="M533" i="1" s="1"/>
  <c r="L461" i="1"/>
  <c r="M461" i="1" s="1"/>
  <c r="L465" i="1"/>
  <c r="M465" i="1" s="1"/>
  <c r="L515" i="1"/>
  <c r="M515" i="1" s="1"/>
  <c r="L659" i="1"/>
  <c r="M659" i="1" s="1"/>
  <c r="L751" i="1"/>
  <c r="M751" i="1" s="1"/>
  <c r="L771" i="1"/>
  <c r="M771" i="1" s="1"/>
  <c r="L791" i="1"/>
  <c r="M791" i="1" s="1"/>
  <c r="L831" i="1"/>
  <c r="M831" i="1" s="1"/>
  <c r="L863" i="1"/>
  <c r="M863" i="1" s="1"/>
  <c r="L868" i="1"/>
  <c r="M868" i="1" s="1"/>
  <c r="L940" i="1"/>
  <c r="M940" i="1" s="1"/>
  <c r="L707" i="1"/>
  <c r="M707" i="1" s="1"/>
  <c r="L760" i="1"/>
  <c r="M760" i="1" s="1"/>
  <c r="L855" i="1"/>
  <c r="M855" i="1" s="1"/>
  <c r="L968" i="1"/>
  <c r="M968" i="1" s="1"/>
  <c r="L747" i="1"/>
  <c r="M747" i="1" s="1"/>
  <c r="L809" i="1"/>
  <c r="M809" i="1" s="1"/>
  <c r="L816" i="1"/>
  <c r="M816" i="1" s="1"/>
  <c r="L887" i="1"/>
  <c r="M887" i="1" s="1"/>
  <c r="L892" i="1"/>
  <c r="M892" i="1" s="1"/>
  <c r="L915" i="1"/>
  <c r="M915" i="1" s="1"/>
  <c r="L963" i="1"/>
  <c r="M963" i="1" s="1"/>
  <c r="L976" i="1"/>
  <c r="M976" i="1" s="1"/>
  <c r="L1000" i="1"/>
  <c r="M1000" i="1" s="1"/>
  <c r="L676" i="1"/>
  <c r="M676" i="1" s="1"/>
  <c r="L703" i="1"/>
  <c r="M703" i="1" s="1"/>
  <c r="L807" i="1"/>
  <c r="M807" i="1" s="1"/>
  <c r="L840" i="1"/>
  <c r="M840" i="1" s="1"/>
  <c r="L879" i="1"/>
  <c r="M879" i="1" s="1"/>
  <c r="L928" i="1"/>
  <c r="M928" i="1" s="1"/>
  <c r="L723" i="1"/>
  <c r="M723" i="1" s="1"/>
  <c r="L743" i="1"/>
  <c r="M743" i="1" s="1"/>
  <c r="L796" i="1"/>
  <c r="M796" i="1" s="1"/>
  <c r="L699" i="1"/>
  <c r="M699" i="1" s="1"/>
  <c r="L712" i="1"/>
  <c r="M712" i="1" s="1"/>
  <c r="L783" i="1"/>
  <c r="M783" i="1" s="1"/>
  <c r="L671" i="1"/>
  <c r="M671" i="1" s="1"/>
  <c r="L739" i="1"/>
  <c r="M739" i="1" s="1"/>
  <c r="L759" i="1"/>
  <c r="M759" i="1" s="1"/>
  <c r="L779" i="1"/>
  <c r="M779" i="1" s="1"/>
  <c r="L875" i="1"/>
  <c r="M875" i="1" s="1"/>
  <c r="L880" i="1"/>
  <c r="M880" i="1" s="1"/>
  <c r="L691" i="1"/>
  <c r="M691" i="1" s="1"/>
  <c r="L748" i="1"/>
  <c r="M748" i="1" s="1"/>
  <c r="L799" i="1"/>
  <c r="M799" i="1" s="1"/>
  <c r="L867" i="1"/>
  <c r="M867" i="1" s="1"/>
  <c r="L939" i="1"/>
  <c r="M939" i="1" s="1"/>
  <c r="L664" i="1"/>
  <c r="M664" i="1" s="1"/>
  <c r="L724" i="1"/>
  <c r="M724" i="1" s="1"/>
  <c r="L775" i="1"/>
  <c r="M775" i="1" s="1"/>
  <c r="L795" i="1"/>
  <c r="M795" i="1" s="1"/>
  <c r="L815" i="1"/>
  <c r="M815" i="1" s="1"/>
  <c r="L820" i="1"/>
  <c r="M820" i="1" s="1"/>
  <c r="L844" i="1"/>
  <c r="M844" i="1" s="1"/>
  <c r="L891" i="1"/>
  <c r="M891" i="1" s="1"/>
  <c r="L975" i="1"/>
  <c r="M975" i="1" s="1"/>
  <c r="L988" i="1"/>
  <c r="M988" i="1" s="1"/>
  <c r="L996" i="1"/>
  <c r="M996" i="1" s="1"/>
  <c r="L999" i="1"/>
  <c r="M999" i="1" s="1"/>
</calcChain>
</file>

<file path=xl/sharedStrings.xml><?xml version="1.0" encoding="utf-8"?>
<sst xmlns="http://schemas.openxmlformats.org/spreadsheetml/2006/main" count="9023" uniqueCount="1043">
  <si>
    <t>Invoice ID</t>
  </si>
  <si>
    <t>Branch</t>
  </si>
  <si>
    <t>City</t>
  </si>
  <si>
    <t>Customer type</t>
  </si>
  <si>
    <t>Gender</t>
  </si>
  <si>
    <t>Product line</t>
  </si>
  <si>
    <t>Unit Cost</t>
  </si>
  <si>
    <t>Unit price</t>
  </si>
  <si>
    <t>Quantity</t>
  </si>
  <si>
    <t>Gross Sales</t>
  </si>
  <si>
    <t>COGS</t>
  </si>
  <si>
    <t>Groos Profit</t>
  </si>
  <si>
    <t>Gross Profit Margin</t>
  </si>
  <si>
    <t>Tax 5%</t>
  </si>
  <si>
    <t>Total</t>
  </si>
  <si>
    <t>Date</t>
  </si>
  <si>
    <t>Month</t>
  </si>
  <si>
    <t>Time</t>
  </si>
  <si>
    <t>Payment</t>
  </si>
  <si>
    <t>Rating</t>
  </si>
  <si>
    <t>Return Flag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</si>
  <si>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</si>
  <si>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</si>
  <si>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</si>
  <si>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</si>
  <si>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</si>
  <si>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</si>
  <si>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</si>
  <si>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</si>
  <si>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</si>
  <si>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</si>
  <si>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</si>
  <si>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</si>
  <si>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</si>
  <si>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</si>
  <si>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</si>
  <si>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</si>
  <si>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</si>
  <si>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</si>
  <si>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</si>
  <si>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</si>
  <si>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</si>
  <si>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</si>
  <si>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</si>
  <si>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</si>
  <si>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</si>
  <si>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</si>
  <si>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</si>
  <si>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</si>
  <si>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</si>
  <si>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</si>
  <si>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</si>
  <si>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</si>
  <si>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</si>
  <si>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</si>
  <si>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</si>
  <si>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</si>
  <si>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</si>
  <si>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</si>
  <si>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</si>
  <si>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</si>
  <si>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</si>
  <si>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</si>
  <si>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</si>
  <si>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</si>
  <si>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</si>
  <si>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</si>
  <si>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</si>
  <si>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</si>
  <si>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</si>
  <si>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</si>
  <si>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</si>
  <si>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</si>
  <si>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</si>
  <si>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</si>
  <si>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</si>
  <si>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</si>
  <si>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</si>
  <si>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</si>
  <si>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</si>
  <si>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</si>
  <si>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</si>
  <si>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</si>
  <si>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</si>
  <si>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</si>
  <si>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</si>
  <si>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</si>
  <si>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</si>
  <si>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</si>
  <si>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</si>
  <si>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</si>
  <si>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</si>
  <si>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</si>
  <si>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</si>
  <si>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</si>
  <si>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</si>
  <si>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</si>
  <si>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</si>
  <si>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</si>
  <si>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</si>
  <si>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</si>
  <si>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</si>
  <si>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</si>
  <si>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</si>
  <si>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</si>
  <si>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</si>
  <si>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</si>
  <si>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</si>
  <si>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</si>
  <si>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</si>
  <si>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</si>
  <si>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</si>
  <si>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</si>
  <si>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</si>
  <si>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</si>
  <si>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</si>
  <si>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</si>
  <si>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</si>
  <si>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</si>
  <si>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</si>
  <si>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</si>
  <si>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</si>
  <si>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</si>
  <si>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</si>
  <si>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</si>
  <si>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</si>
  <si>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</si>
  <si>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</si>
  <si>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</si>
  <si>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</si>
  <si>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</si>
  <si>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</si>
  <si>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</si>
  <si>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</si>
  <si>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</si>
  <si>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</si>
  <si>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</si>
  <si>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</si>
  <si>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</si>
  <si>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</si>
  <si>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</si>
  <si>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</si>
  <si>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</si>
  <si>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</si>
  <si>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</si>
  <si>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</si>
  <si>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</si>
  <si>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</si>
  <si>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</si>
  <si>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</si>
  <si>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</si>
  <si>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</si>
  <si>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</si>
  <si>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</si>
  <si>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</si>
  <si>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</si>
  <si>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</si>
  <si>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</si>
  <si>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</si>
  <si>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</si>
  <si>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</si>
  <si>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</si>
  <si>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</si>
  <si>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</si>
  <si>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</si>
  <si>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</si>
  <si>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</si>
  <si>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</si>
  <si>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</si>
  <si>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</si>
  <si>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</si>
  <si>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</si>
  <si>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</si>
  <si>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</si>
  <si>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</si>
  <si>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</si>
  <si>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</si>
  <si>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</si>
  <si>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</si>
  <si>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</si>
  <si>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</si>
  <si>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</si>
  <si>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</si>
  <si>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</si>
  <si>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</si>
  <si>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</si>
  <si>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</si>
  <si>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</si>
  <si>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</si>
  <si>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</si>
  <si>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</si>
  <si>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</si>
  <si>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</si>
  <si>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</si>
  <si>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</si>
  <si>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</si>
  <si>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</si>
  <si>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</si>
  <si>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</si>
  <si>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</si>
  <si>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</si>
  <si>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</si>
  <si>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</si>
  <si>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</si>
  <si>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</si>
  <si>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</si>
  <si>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</si>
  <si>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</si>
  <si>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</si>
  <si>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</si>
  <si>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</si>
  <si>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</si>
  <si>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</si>
  <si>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</si>
  <si>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</si>
  <si>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</si>
  <si>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</si>
  <si>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</si>
  <si>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</si>
  <si>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</si>
  <si>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</si>
  <si>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</si>
  <si>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</si>
  <si>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</si>
  <si>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</si>
  <si>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</si>
  <si>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</si>
  <si>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</si>
  <si>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</si>
  <si>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</si>
  <si>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</si>
  <si>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</si>
  <si>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</si>
  <si>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</si>
  <si>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</si>
  <si>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</si>
  <si>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</si>
  <si>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</si>
  <si>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</si>
  <si>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</si>
  <si>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</si>
  <si>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</si>
  <si>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</si>
  <si>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</si>
  <si>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</si>
  <si>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</si>
  <si>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</si>
  <si>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</si>
  <si>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</si>
  <si>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</si>
  <si>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</si>
  <si>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</si>
  <si>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</si>
  <si>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</si>
  <si>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</si>
  <si>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</si>
  <si>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</si>
  <si>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</si>
  <si>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</si>
  <si>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</si>
  <si>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</si>
  <si>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</si>
  <si>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</si>
  <si>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</si>
  <si>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</si>
  <si>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</si>
  <si>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</si>
  <si>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</si>
  <si>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</si>
  <si>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</si>
  <si>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</si>
  <si>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</si>
  <si>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</si>
  <si>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</si>
  <si>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</si>
  <si>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</si>
  <si>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</si>
  <si>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</si>
  <si>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</si>
  <si>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</si>
  <si>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</si>
  <si>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</si>
  <si>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</si>
  <si>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</si>
  <si>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</si>
  <si>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</si>
  <si>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</si>
  <si>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</si>
  <si>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</si>
  <si>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</si>
  <si>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</si>
  <si>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</si>
  <si>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</si>
  <si>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</si>
  <si>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</si>
  <si>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</si>
  <si>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</si>
  <si>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</si>
  <si>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</si>
  <si>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</si>
  <si>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</si>
  <si>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</si>
  <si>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</si>
  <si>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</si>
  <si>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</si>
  <si>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</si>
  <si>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</si>
  <si>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</si>
  <si>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</si>
  <si>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</si>
  <si>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</si>
  <si>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</si>
  <si>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</si>
  <si>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</si>
  <si>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</si>
  <si>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</si>
  <si>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</si>
  <si>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</si>
  <si>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</si>
  <si>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</si>
  <si>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</si>
  <si>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</si>
  <si>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</si>
  <si>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</si>
  <si>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</si>
  <si>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</si>
  <si>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</si>
  <si>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</si>
  <si>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</si>
  <si>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</si>
  <si>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</si>
  <si>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</si>
  <si>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</si>
  <si>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</si>
  <si>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</si>
  <si>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</si>
  <si>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</si>
  <si>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</si>
  <si>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</si>
  <si>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</si>
  <si>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</si>
  <si>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</si>
  <si>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</si>
  <si>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</si>
  <si>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</si>
  <si>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</si>
  <si>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</si>
  <si>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</si>
  <si>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</si>
  <si>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</si>
  <si>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</si>
  <si>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</si>
  <si>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</si>
  <si>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</si>
  <si>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</si>
  <si>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</si>
  <si>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</si>
  <si>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</si>
  <si>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</si>
  <si>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</si>
  <si>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</si>
  <si>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</si>
  <si>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</si>
  <si>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</si>
  <si>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</si>
  <si>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</si>
  <si>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</si>
  <si>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</si>
  <si>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</si>
  <si>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</si>
  <si>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</si>
  <si>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</si>
  <si>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</si>
  <si>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</si>
  <si>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</si>
  <si>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</si>
  <si>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</si>
  <si>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</si>
  <si>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</si>
  <si>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</si>
  <si>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</si>
  <si>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</si>
  <si>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</si>
  <si>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</si>
  <si>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</si>
  <si>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</si>
  <si>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</si>
  <si>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</si>
  <si>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</si>
  <si>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</si>
  <si>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</si>
  <si>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</si>
  <si>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</si>
  <si>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</si>
  <si>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</si>
  <si>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</si>
  <si>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</si>
  <si>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</si>
  <si>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</si>
  <si>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</si>
  <si>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</si>
  <si>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</si>
  <si>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</si>
  <si>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</si>
  <si>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</si>
  <si>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</si>
  <si>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</si>
  <si>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</si>
  <si>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</si>
  <si>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</si>
  <si>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</si>
  <si>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</si>
  <si>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</si>
  <si>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</si>
  <si>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</si>
  <si>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</si>
  <si>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</si>
  <si>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</si>
  <si>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</si>
  <si>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</si>
  <si>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</si>
  <si>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</si>
  <si>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</si>
  <si>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</si>
  <si>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</si>
  <si>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</si>
  <si>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</si>
  <si>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</si>
  <si>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</si>
  <si>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</si>
  <si>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</si>
  <si>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</si>
  <si>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</si>
  <si>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</si>
  <si>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</si>
  <si>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</si>
  <si>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</si>
  <si>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</si>
  <si>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</si>
  <si>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</si>
  <si>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</si>
  <si>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</si>
  <si>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</si>
  <si>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</si>
  <si>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</si>
  <si>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</si>
  <si>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</si>
  <si>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</si>
  <si>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</si>
  <si>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</si>
  <si>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</si>
  <si>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</si>
  <si>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</si>
  <si>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</si>
  <si>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</si>
  <si>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</si>
  <si>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</si>
  <si>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</si>
  <si>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</si>
  <si>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</si>
  <si>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</si>
  <si>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</si>
  <si>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</si>
  <si>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</si>
  <si>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</si>
  <si>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</si>
  <si>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</si>
  <si>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</si>
  <si>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</si>
  <si>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</si>
  <si>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</si>
  <si>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</si>
  <si>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</si>
  <si>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</si>
  <si>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</si>
  <si>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</si>
  <si>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</si>
  <si>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</si>
  <si>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</si>
  <si>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</si>
  <si>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</si>
  <si>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</si>
  <si>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</si>
  <si>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</si>
  <si>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</si>
  <si>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</si>
  <si>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</si>
  <si>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</si>
  <si>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</si>
  <si>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</si>
  <si>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</si>
  <si>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</si>
  <si>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</si>
  <si>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</si>
  <si>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</si>
  <si>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</si>
  <si>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</si>
  <si>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</si>
  <si>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</si>
  <si>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</si>
  <si>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</si>
  <si>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</si>
  <si>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</si>
  <si>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</si>
  <si>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</si>
  <si>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</si>
  <si>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</si>
  <si>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</si>
  <si>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</si>
  <si>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</si>
  <si>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</si>
  <si>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</si>
  <si>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</si>
  <si>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</si>
  <si>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</si>
  <si>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</si>
  <si>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</si>
  <si>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</si>
  <si>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</si>
  <si>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</si>
  <si>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</si>
  <si>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</si>
  <si>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</si>
  <si>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</si>
  <si>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</si>
  <si>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</si>
  <si>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</si>
  <si>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</si>
  <si>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</si>
  <si>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</si>
  <si>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</si>
  <si>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</si>
  <si>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</si>
  <si>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</si>
  <si>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</si>
  <si>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</si>
  <si>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</si>
  <si>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</si>
  <si>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</si>
  <si>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</si>
  <si>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</si>
  <si>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</si>
  <si>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</si>
  <si>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</si>
  <si>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</si>
  <si>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</si>
  <si>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</si>
  <si>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</si>
  <si>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</si>
  <si>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</si>
  <si>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</si>
  <si>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</si>
  <si>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</si>
  <si>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</si>
  <si>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</si>
  <si>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</si>
  <si>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</si>
  <si>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</si>
  <si>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</si>
  <si>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</si>
  <si>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</si>
  <si>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</si>
  <si>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</si>
  <si>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</si>
  <si>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</si>
  <si>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</si>
  <si>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</si>
  <si>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</si>
  <si>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</si>
  <si>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</si>
  <si>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</si>
  <si>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</si>
  <si>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</si>
  <si>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</si>
  <si>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</si>
  <si>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</si>
  <si>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</si>
  <si>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</si>
  <si>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</si>
  <si>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</si>
  <si>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</si>
  <si>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</si>
  <si>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</si>
  <si>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</si>
  <si>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</si>
  <si>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</si>
  <si>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</si>
  <si>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</si>
  <si>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</si>
  <si>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</si>
  <si>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</si>
  <si>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</si>
  <si>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</si>
  <si>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</si>
  <si>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</si>
  <si>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</si>
  <si>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</si>
  <si>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</si>
  <si>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</si>
  <si>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</si>
  <si>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</si>
  <si>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</si>
  <si>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</si>
  <si>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</si>
  <si>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</si>
  <si>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</si>
  <si>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</si>
  <si>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</si>
  <si>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</si>
  <si>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</si>
  <si>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</si>
  <si>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</si>
  <si>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</si>
  <si>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</si>
  <si>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</si>
  <si>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</si>
  <si>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</si>
  <si>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</si>
  <si>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</si>
  <si>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</si>
  <si>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</si>
  <si>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</si>
  <si>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</si>
  <si>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</si>
  <si>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</si>
  <si>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</si>
  <si>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</si>
  <si>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</si>
  <si>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</si>
  <si>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</si>
  <si>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</si>
  <si>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</si>
  <si>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</si>
  <si>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</si>
  <si>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</si>
  <si>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</si>
  <si>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</si>
  <si>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</si>
  <si>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</si>
  <si>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</si>
  <si>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</si>
  <si>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</si>
  <si>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</si>
  <si>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</si>
  <si>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</si>
  <si>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</si>
  <si>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</si>
  <si>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</si>
  <si>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</si>
  <si>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</si>
  <si>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</si>
  <si>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</si>
  <si>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</si>
  <si>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</si>
  <si>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</si>
  <si>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</si>
  <si>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</si>
  <si>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</si>
  <si>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</si>
  <si>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</si>
  <si>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</si>
  <si>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</si>
  <si>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</si>
  <si>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</si>
  <si>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</si>
  <si>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</si>
  <si>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</si>
  <si>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</si>
  <si>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</si>
  <si>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</si>
  <si>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</si>
  <si>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</si>
  <si>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</si>
  <si>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</si>
  <si>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</si>
  <si>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</si>
  <si>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</si>
  <si>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</si>
  <si>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</si>
  <si>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</si>
  <si>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</si>
  <si>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</si>
  <si>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</si>
  <si>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</si>
  <si>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</si>
  <si>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</si>
  <si>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</si>
  <si>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</si>
  <si>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</si>
  <si>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</si>
  <si>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</si>
  <si>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</si>
  <si>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</si>
  <si>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</si>
  <si>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</si>
  <si>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</si>
  <si>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</si>
  <si>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</si>
  <si>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</si>
  <si>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</si>
  <si>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</si>
  <si>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</si>
  <si>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</si>
  <si>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</si>
  <si>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</si>
  <si>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</si>
  <si>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</si>
  <si>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</si>
  <si>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</si>
  <si>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</si>
  <si>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</si>
  <si>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</si>
  <si>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</si>
  <si>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</si>
  <si>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</si>
  <si>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</si>
  <si>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</si>
  <si>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</si>
  <si>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</si>
  <si>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</si>
  <si>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</si>
  <si>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</si>
  <si>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</si>
  <si>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</si>
  <si>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</si>
  <si>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</si>
  <si>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</si>
  <si>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</si>
  <si>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</si>
  <si>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</si>
  <si>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</si>
  <si>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</si>
  <si>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</si>
  <si>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</si>
  <si>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</si>
  <si>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</si>
  <si>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</si>
  <si>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</si>
  <si>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</si>
  <si>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</si>
  <si>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</si>
  <si>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</si>
  <si>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</si>
  <si>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</si>
  <si>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</si>
  <si>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</si>
  <si>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</si>
  <si>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</si>
  <si>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</si>
  <si>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</si>
  <si>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</si>
  <si>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</si>
  <si>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</si>
  <si>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</si>
  <si>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</si>
  <si>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</si>
  <si>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</si>
  <si>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</si>
  <si>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</si>
  <si>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</si>
  <si>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</si>
  <si>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</si>
  <si>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</si>
  <si>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</si>
  <si>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</si>
  <si>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</si>
  <si>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</si>
  <si>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</si>
  <si>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</si>
  <si>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</si>
  <si>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</si>
  <si>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</si>
  <si>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</si>
  <si>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</si>
  <si>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</si>
  <si>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</si>
  <si>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</si>
  <si>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</si>
  <si>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</si>
  <si>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</si>
  <si>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</si>
  <si>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</si>
  <si>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</si>
  <si>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</si>
  <si>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</si>
  <si>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</si>
  <si>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</si>
  <si>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</si>
  <si>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</si>
  <si>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</si>
  <si>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</si>
  <si>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</si>
  <si>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</si>
  <si>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</si>
  <si>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</si>
  <si>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</si>
  <si>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</si>
  <si>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</si>
  <si>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</si>
  <si>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</si>
  <si>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</si>
  <si>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</si>
  <si>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</si>
  <si>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</si>
  <si>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</si>
  <si>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</si>
  <si>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</si>
  <si>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</si>
  <si>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</si>
  <si>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</si>
  <si>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</si>
  <si>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</si>
  <si>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</si>
  <si>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</si>
  <si>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</si>
  <si>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</si>
  <si>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</si>
  <si>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</si>
  <si>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</si>
  <si>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</si>
  <si>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</si>
  <si>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</si>
  <si>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</si>
  <si>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</si>
  <si>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</si>
  <si>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</si>
  <si>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</si>
  <si>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</si>
  <si>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</si>
  <si>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</si>
  <si>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</si>
  <si>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</si>
  <si>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</si>
  <si>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</si>
  <si>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</si>
  <si>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</si>
  <si>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</si>
  <si>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</si>
  <si>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</si>
  <si>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</si>
  <si>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</si>
  <si>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</si>
  <si>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</si>
  <si>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</si>
  <si>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</si>
  <si>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</si>
  <si>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</si>
  <si>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</si>
  <si>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</si>
  <si>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</si>
  <si>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</si>
  <si>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</si>
  <si>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</si>
  <si>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</si>
  <si>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</si>
  <si>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</si>
  <si>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</si>
  <si>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</si>
  <si>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</si>
  <si>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</si>
  <si>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</si>
  <si>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</si>
  <si>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</si>
  <si>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</si>
  <si>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</si>
  <si>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</si>
  <si>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</si>
  <si>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</si>
  <si>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</si>
  <si>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</si>
  <si>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</si>
  <si>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</si>
  <si>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</si>
  <si>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</si>
  <si>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</si>
  <si>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</si>
  <si>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</si>
  <si>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</si>
  <si>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</si>
  <si>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</si>
  <si>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</si>
  <si>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</si>
  <si>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</si>
  <si>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</si>
  <si>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</si>
  <si>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</si>
  <si>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</si>
  <si>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</si>
  <si>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</si>
  <si>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</si>
  <si>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</si>
  <si>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</si>
  <si>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</si>
  <si>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</si>
  <si>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</si>
  <si>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</si>
  <si>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</si>
  <si>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</si>
  <si>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</si>
  <si>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</si>
  <si>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</si>
  <si>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</si>
  <si>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</si>
  <si>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</si>
  <si>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</si>
  <si>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</si>
  <si>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</si>
  <si>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</si>
  <si>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</si>
  <si>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</si>
  <si>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</si>
  <si>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</si>
  <si>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</si>
  <si>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</si>
  <si>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</si>
  <si>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</si>
  <si>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</si>
  <si>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</si>
  <si>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</si>
  <si>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</si>
  <si>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</si>
  <si>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</si>
  <si>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</si>
  <si>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</si>
  <si>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</si>
  <si>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</si>
  <si>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</si>
  <si>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</si>
  <si>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</si>
  <si>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</si>
  <si>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</si>
  <si>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</si>
  <si>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</si>
  <si>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</si>
  <si>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</si>
  <si>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</si>
  <si>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</si>
  <si>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</si>
  <si>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</si>
  <si>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</si>
  <si>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</si>
  <si>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</si>
  <si>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</si>
  <si>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</si>
  <si>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</si>
  <si>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</si>
  <si>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</si>
  <si>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</si>
  <si>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</si>
  <si>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</si>
  <si>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</si>
  <si>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</si>
  <si>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</si>
  <si>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</si>
  <si>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</si>
  <si>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</si>
  <si>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</si>
  <si>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</si>
  <si>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</si>
  <si>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</si>
  <si>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</si>
  <si>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</si>
  <si>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</si>
  <si>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</si>
  <si>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</si>
  <si>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</si>
  <si>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</si>
  <si>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</si>
  <si>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</si>
  <si>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</si>
  <si>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</si>
  <si>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</si>
  <si>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</si>
  <si>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</si>
  <si>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</si>
  <si>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</si>
  <si>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</si>
  <si>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</si>
  <si>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</si>
  <si>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</si>
  <si>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</si>
  <si>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</si>
  <si>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</si>
  <si>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</si>
  <si>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</si>
  <si>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</si>
  <si>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</si>
  <si>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</si>
  <si>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</si>
  <si>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</si>
  <si>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</si>
  <si>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</si>
  <si>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</si>
  <si>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</si>
  <si>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</si>
  <si>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</si>
  <si>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</si>
  <si>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</si>
  <si>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</si>
  <si>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</si>
  <si>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</si>
  <si>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</si>
  <si>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</si>
  <si>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</si>
  <si>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</si>
  <si>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</si>
  <si>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</si>
  <si>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</si>
  <si>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</si>
  <si>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</si>
  <si>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</si>
  <si>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</si>
  <si>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</si>
  <si>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</si>
  <si>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</si>
  <si>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</si>
  <si>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</si>
  <si>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</si>
  <si>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</si>
  <si>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</si>
  <si>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</si>
  <si>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</si>
  <si>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</si>
  <si>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</si>
  <si>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</si>
  <si>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</si>
  <si>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</si>
  <si>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</si>
  <si>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</si>
  <si>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</si>
  <si>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</si>
  <si>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</si>
  <si>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</si>
  <si>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</si>
  <si>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</si>
  <si>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</si>
  <si>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</si>
  <si>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</si>
  <si>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</si>
  <si>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</si>
  <si>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Returns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</si>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</sst>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2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Analysis\Projects\SuperMarket%20Sales.xlsx" TargetMode="External"/><Relationship Id="rId1" Type="http://schemas.openxmlformats.org/officeDocument/2006/relationships/externalLinkPath" Target="Projects/SuperMarket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erMarket_Sales"/>
      <sheetName val="Data2"/>
      <sheetName val="PT"/>
      <sheetName val="Dashbord"/>
    </sheetNames>
    <sheetDataSet>
      <sheetData sheetId="0"/>
      <sheetData sheetId="1">
        <row r="1">
          <cell r="A1" t="str">
            <v>Invoice ID</v>
          </cell>
          <cell r="B1" t="str">
            <v>Returns</v>
          </cell>
        </row>
        <row r="2">
          <cell r="A2" t="str">
            <v>750-67-8428</v>
          </cell>
          <cell r="B2" t="str">
            <v>yes</v>
          </cell>
        </row>
        <row r="3">
          <cell r="A3" t="str">
            <v>226-31-3081</v>
          </cell>
          <cell r="B3" t="str">
            <v>no</v>
          </cell>
        </row>
        <row r="4">
          <cell r="A4" t="str">
            <v>631-41-3108</v>
          </cell>
          <cell r="B4" t="str">
            <v>no</v>
          </cell>
        </row>
        <row r="5">
          <cell r="A5" t="str">
            <v>123-19-1176</v>
          </cell>
          <cell r="B5" t="str">
            <v>no</v>
          </cell>
        </row>
        <row r="6">
          <cell r="A6" t="str">
            <v>373-73-7910</v>
          </cell>
          <cell r="B6" t="str">
            <v>yes</v>
          </cell>
        </row>
        <row r="7">
          <cell r="A7" t="str">
            <v>699-14-3026</v>
          </cell>
          <cell r="B7" t="str">
            <v>no</v>
          </cell>
        </row>
        <row r="8">
          <cell r="A8" t="str">
            <v>355-53-5943</v>
          </cell>
          <cell r="B8" t="str">
            <v>no</v>
          </cell>
        </row>
        <row r="9">
          <cell r="A9" t="str">
            <v>315-22-5665</v>
          </cell>
          <cell r="B9" t="str">
            <v>no</v>
          </cell>
        </row>
        <row r="10">
          <cell r="A10" t="str">
            <v>665-32-9167</v>
          </cell>
          <cell r="B10" t="str">
            <v>yes</v>
          </cell>
        </row>
        <row r="11">
          <cell r="A11" t="str">
            <v>692-92-5582</v>
          </cell>
          <cell r="B11" t="str">
            <v>no</v>
          </cell>
        </row>
        <row r="12">
          <cell r="A12" t="str">
            <v>351-62-0822</v>
          </cell>
          <cell r="B12" t="str">
            <v>no</v>
          </cell>
        </row>
        <row r="13">
          <cell r="A13" t="str">
            <v>529-56-3974</v>
          </cell>
          <cell r="B13" t="str">
            <v>no</v>
          </cell>
        </row>
        <row r="14">
          <cell r="A14" t="str">
            <v>365-64-0515</v>
          </cell>
          <cell r="B14" t="str">
            <v>yes</v>
          </cell>
        </row>
        <row r="15">
          <cell r="A15" t="str">
            <v>252-56-2699</v>
          </cell>
          <cell r="B15" t="str">
            <v>no</v>
          </cell>
        </row>
        <row r="16">
          <cell r="A16" t="str">
            <v>829-34-3910</v>
          </cell>
          <cell r="B16" t="str">
            <v>no</v>
          </cell>
        </row>
        <row r="17">
          <cell r="A17" t="str">
            <v>299-46-1805</v>
          </cell>
          <cell r="B17" t="str">
            <v>no</v>
          </cell>
        </row>
        <row r="18">
          <cell r="A18" t="str">
            <v>656-95-9349</v>
          </cell>
          <cell r="B18" t="str">
            <v>yes</v>
          </cell>
        </row>
        <row r="19">
          <cell r="A19" t="str">
            <v>765-26-6951</v>
          </cell>
          <cell r="B19" t="str">
            <v>no</v>
          </cell>
        </row>
        <row r="20">
          <cell r="A20" t="str">
            <v>329-62-1586</v>
          </cell>
          <cell r="B20" t="str">
            <v>no</v>
          </cell>
        </row>
        <row r="21">
          <cell r="A21" t="str">
            <v>319-50-3348</v>
          </cell>
          <cell r="B21" t="str">
            <v>no</v>
          </cell>
        </row>
        <row r="22">
          <cell r="A22" t="str">
            <v>300-71-4605</v>
          </cell>
          <cell r="B22" t="str">
            <v>yes</v>
          </cell>
        </row>
        <row r="23">
          <cell r="A23" t="str">
            <v>371-85-5789</v>
          </cell>
          <cell r="B23" t="str">
            <v>no</v>
          </cell>
        </row>
        <row r="24">
          <cell r="A24" t="str">
            <v>273-16-6619</v>
          </cell>
          <cell r="B24" t="str">
            <v>no</v>
          </cell>
        </row>
        <row r="25">
          <cell r="A25" t="str">
            <v>636-48-8204</v>
          </cell>
          <cell r="B25" t="str">
            <v>no</v>
          </cell>
        </row>
        <row r="26">
          <cell r="A26" t="str">
            <v>549-59-1358</v>
          </cell>
          <cell r="B26" t="str">
            <v>yes</v>
          </cell>
        </row>
        <row r="27">
          <cell r="A27" t="str">
            <v>227-03-5010</v>
          </cell>
          <cell r="B27" t="str">
            <v>no</v>
          </cell>
        </row>
        <row r="28">
          <cell r="A28" t="str">
            <v>649-29-6775</v>
          </cell>
          <cell r="B28" t="str">
            <v>no</v>
          </cell>
        </row>
        <row r="29">
          <cell r="A29" t="str">
            <v>189-17-4241</v>
          </cell>
          <cell r="B29" t="str">
            <v>no</v>
          </cell>
        </row>
        <row r="30">
          <cell r="A30" t="str">
            <v>145-94-9061</v>
          </cell>
          <cell r="B30" t="str">
            <v>yes</v>
          </cell>
        </row>
        <row r="31">
          <cell r="A31" t="str">
            <v>848-62-7243</v>
          </cell>
          <cell r="B31" t="str">
            <v>no</v>
          </cell>
        </row>
        <row r="32">
          <cell r="A32" t="str">
            <v>871-79-8483</v>
          </cell>
          <cell r="B32" t="str">
            <v>no</v>
          </cell>
        </row>
        <row r="33">
          <cell r="A33" t="str">
            <v>149-71-6266</v>
          </cell>
          <cell r="B33" t="str">
            <v>no</v>
          </cell>
        </row>
        <row r="34">
          <cell r="A34" t="str">
            <v>640-49-2076</v>
          </cell>
          <cell r="B34" t="str">
            <v>yes</v>
          </cell>
        </row>
        <row r="35">
          <cell r="A35" t="str">
            <v>595-11-5460</v>
          </cell>
          <cell r="B35" t="str">
            <v>no</v>
          </cell>
        </row>
        <row r="36">
          <cell r="A36" t="str">
            <v>183-56-6882</v>
          </cell>
          <cell r="B36" t="str">
            <v>no</v>
          </cell>
        </row>
        <row r="37">
          <cell r="A37" t="str">
            <v>232-16-2483</v>
          </cell>
          <cell r="B37" t="str">
            <v>no</v>
          </cell>
        </row>
        <row r="38">
          <cell r="A38" t="str">
            <v>129-29-8530</v>
          </cell>
          <cell r="B38" t="str">
            <v>yes</v>
          </cell>
        </row>
        <row r="39">
          <cell r="A39" t="str">
            <v>272-65-1806</v>
          </cell>
          <cell r="B39" t="str">
            <v>no</v>
          </cell>
        </row>
        <row r="40">
          <cell r="A40" t="str">
            <v>333-73-7901</v>
          </cell>
          <cell r="B40" t="str">
            <v>no</v>
          </cell>
        </row>
        <row r="41">
          <cell r="A41" t="str">
            <v>777-82-7220</v>
          </cell>
          <cell r="B41" t="str">
            <v>no</v>
          </cell>
        </row>
        <row r="42">
          <cell r="A42" t="str">
            <v>280-35-5823</v>
          </cell>
          <cell r="B42" t="str">
            <v>yes</v>
          </cell>
        </row>
        <row r="43">
          <cell r="A43" t="str">
            <v>554-53-8700</v>
          </cell>
          <cell r="B43" t="str">
            <v>no</v>
          </cell>
        </row>
        <row r="44">
          <cell r="A44" t="str">
            <v>354-25-5821</v>
          </cell>
          <cell r="B44" t="str">
            <v>no</v>
          </cell>
        </row>
        <row r="45">
          <cell r="A45" t="str">
            <v>228-96-1411</v>
          </cell>
          <cell r="B45" t="str">
            <v>no</v>
          </cell>
        </row>
        <row r="46">
          <cell r="A46" t="str">
            <v>617-15-4209</v>
          </cell>
          <cell r="B46" t="str">
            <v>yes</v>
          </cell>
        </row>
        <row r="47">
          <cell r="A47" t="str">
            <v>132-32-9879</v>
          </cell>
          <cell r="B47" t="str">
            <v>no</v>
          </cell>
        </row>
        <row r="48">
          <cell r="A48" t="str">
            <v>370-41-7321</v>
          </cell>
          <cell r="B48" t="str">
            <v>no</v>
          </cell>
        </row>
        <row r="49">
          <cell r="A49" t="str">
            <v>727-46-3608</v>
          </cell>
          <cell r="B49" t="str">
            <v>no</v>
          </cell>
        </row>
        <row r="50">
          <cell r="A50" t="str">
            <v>669-54-1719</v>
          </cell>
          <cell r="B50" t="str">
            <v>yes</v>
          </cell>
        </row>
        <row r="51">
          <cell r="A51" t="str">
            <v>574-22-5561</v>
          </cell>
          <cell r="B51" t="str">
            <v>no</v>
          </cell>
        </row>
        <row r="52">
          <cell r="A52" t="str">
            <v>326-78-5178</v>
          </cell>
          <cell r="B52" t="str">
            <v>no</v>
          </cell>
        </row>
        <row r="53">
          <cell r="A53" t="str">
            <v>162-48-8011</v>
          </cell>
          <cell r="B53" t="str">
            <v>no</v>
          </cell>
        </row>
        <row r="54">
          <cell r="A54" t="str">
            <v>616-24-2851</v>
          </cell>
          <cell r="B54" t="str">
            <v>yes</v>
          </cell>
        </row>
        <row r="55">
          <cell r="A55" t="str">
            <v>778-71-5554</v>
          </cell>
          <cell r="B55" t="str">
            <v>no</v>
          </cell>
        </row>
        <row r="56">
          <cell r="A56" t="str">
            <v>242-55-6721</v>
          </cell>
          <cell r="B56" t="str">
            <v>no</v>
          </cell>
        </row>
        <row r="57">
          <cell r="A57" t="str">
            <v>399-46-5918</v>
          </cell>
          <cell r="B57" t="str">
            <v>no</v>
          </cell>
        </row>
        <row r="58">
          <cell r="A58" t="str">
            <v>106-35-6779</v>
          </cell>
          <cell r="B58" t="str">
            <v>yes</v>
          </cell>
        </row>
        <row r="59">
          <cell r="A59" t="str">
            <v>635-40-6220</v>
          </cell>
          <cell r="B59" t="str">
            <v>no</v>
          </cell>
        </row>
        <row r="60">
          <cell r="A60" t="str">
            <v>817-48-8732</v>
          </cell>
          <cell r="B60" t="str">
            <v>no</v>
          </cell>
        </row>
        <row r="61">
          <cell r="A61" t="str">
            <v>120-06-4233</v>
          </cell>
          <cell r="B61" t="str">
            <v>no</v>
          </cell>
        </row>
        <row r="62">
          <cell r="A62" t="str">
            <v>285-68-5083</v>
          </cell>
          <cell r="B62" t="str">
            <v>yes</v>
          </cell>
        </row>
        <row r="63">
          <cell r="A63" t="str">
            <v>803-83-5989</v>
          </cell>
          <cell r="B63" t="str">
            <v>no</v>
          </cell>
        </row>
        <row r="64">
          <cell r="A64" t="str">
            <v>347-34-2234</v>
          </cell>
          <cell r="B64" t="str">
            <v>no</v>
          </cell>
        </row>
        <row r="65">
          <cell r="A65" t="str">
            <v>199-75-8169</v>
          </cell>
          <cell r="B65" t="str">
            <v>no</v>
          </cell>
        </row>
        <row r="66">
          <cell r="A66" t="str">
            <v>853-23-2453</v>
          </cell>
          <cell r="B66" t="str">
            <v>yes</v>
          </cell>
        </row>
        <row r="67">
          <cell r="A67" t="str">
            <v>877-22-3308</v>
          </cell>
          <cell r="B67" t="str">
            <v>no</v>
          </cell>
        </row>
        <row r="68">
          <cell r="A68" t="str">
            <v>838-78-4295</v>
          </cell>
          <cell r="B68" t="str">
            <v>no</v>
          </cell>
        </row>
        <row r="69">
          <cell r="A69" t="str">
            <v>109-28-2512</v>
          </cell>
          <cell r="B69" t="str">
            <v>no</v>
          </cell>
        </row>
        <row r="70">
          <cell r="A70" t="str">
            <v>232-11-3025</v>
          </cell>
          <cell r="B70" t="str">
            <v>yes</v>
          </cell>
        </row>
        <row r="71">
          <cell r="A71" t="str">
            <v>382-03-4532</v>
          </cell>
          <cell r="B71" t="str">
            <v>no</v>
          </cell>
        </row>
        <row r="72">
          <cell r="A72" t="str">
            <v>393-65-2792</v>
          </cell>
          <cell r="B72" t="str">
            <v>no</v>
          </cell>
        </row>
        <row r="73">
          <cell r="A73" t="str">
            <v>796-12-2025</v>
          </cell>
          <cell r="B73" t="str">
            <v>no</v>
          </cell>
        </row>
        <row r="74">
          <cell r="A74" t="str">
            <v>510-95-6347</v>
          </cell>
          <cell r="B74" t="str">
            <v>yes</v>
          </cell>
        </row>
        <row r="75">
          <cell r="A75" t="str">
            <v>841-35-6630</v>
          </cell>
          <cell r="B75" t="str">
            <v>no</v>
          </cell>
        </row>
        <row r="76">
          <cell r="A76" t="str">
            <v>287-21-9091</v>
          </cell>
          <cell r="B76" t="str">
            <v>no</v>
          </cell>
        </row>
        <row r="77">
          <cell r="A77" t="str">
            <v>732-94-0499</v>
          </cell>
          <cell r="B77" t="str">
            <v>no</v>
          </cell>
        </row>
        <row r="78">
          <cell r="A78" t="str">
            <v>263-10-3913</v>
          </cell>
          <cell r="B78" t="str">
            <v>yes</v>
          </cell>
        </row>
        <row r="79">
          <cell r="A79" t="str">
            <v>381-20-0914</v>
          </cell>
          <cell r="B79" t="str">
            <v>no</v>
          </cell>
        </row>
        <row r="80">
          <cell r="A80" t="str">
            <v>829-49-1914</v>
          </cell>
          <cell r="B80" t="str">
            <v>no</v>
          </cell>
        </row>
        <row r="81">
          <cell r="A81" t="str">
            <v>756-01-7507</v>
          </cell>
          <cell r="B81" t="str">
            <v>no</v>
          </cell>
        </row>
        <row r="82">
          <cell r="A82" t="str">
            <v>870-72-4431</v>
          </cell>
          <cell r="B82" t="str">
            <v>yes</v>
          </cell>
        </row>
        <row r="83">
          <cell r="A83" t="str">
            <v>847-38-7188</v>
          </cell>
          <cell r="B83" t="str">
            <v>no</v>
          </cell>
        </row>
        <row r="84">
          <cell r="A84" t="str">
            <v>480-63-2856</v>
          </cell>
          <cell r="B84" t="str">
            <v>no</v>
          </cell>
        </row>
        <row r="85">
          <cell r="A85" t="str">
            <v>787-56-0757</v>
          </cell>
          <cell r="B85" t="str">
            <v>no</v>
          </cell>
        </row>
        <row r="86">
          <cell r="A86" t="str">
            <v>360-39-5055</v>
          </cell>
          <cell r="B86" t="str">
            <v>yes</v>
          </cell>
        </row>
        <row r="87">
          <cell r="A87" t="str">
            <v>730-50-9884</v>
          </cell>
          <cell r="B87" t="str">
            <v>no</v>
          </cell>
        </row>
        <row r="88">
          <cell r="A88" t="str">
            <v>362-58-8315</v>
          </cell>
          <cell r="B88" t="str">
            <v>no</v>
          </cell>
        </row>
        <row r="89">
          <cell r="A89" t="str">
            <v>633-44-8566</v>
          </cell>
          <cell r="B89" t="str">
            <v>no</v>
          </cell>
        </row>
        <row r="90">
          <cell r="A90" t="str">
            <v>504-35-8843</v>
          </cell>
          <cell r="B90" t="str">
            <v>yes</v>
          </cell>
        </row>
        <row r="91">
          <cell r="A91" t="str">
            <v>318-68-5053</v>
          </cell>
          <cell r="B91" t="str">
            <v>no</v>
          </cell>
        </row>
        <row r="92">
          <cell r="A92" t="str">
            <v>565-80-5980</v>
          </cell>
          <cell r="B92" t="str">
            <v>no</v>
          </cell>
        </row>
        <row r="93">
          <cell r="A93" t="str">
            <v>225-32-0908</v>
          </cell>
          <cell r="B93" t="str">
            <v>no</v>
          </cell>
        </row>
        <row r="94">
          <cell r="A94" t="str">
            <v>873-51-0671</v>
          </cell>
          <cell r="B94" t="str">
            <v>yes</v>
          </cell>
        </row>
        <row r="95">
          <cell r="A95" t="str">
            <v>152-08-9985</v>
          </cell>
          <cell r="B95" t="str">
            <v>no</v>
          </cell>
        </row>
        <row r="96">
          <cell r="A96" t="str">
            <v>512-91-0811</v>
          </cell>
          <cell r="B96" t="str">
            <v>no</v>
          </cell>
        </row>
        <row r="97">
          <cell r="A97" t="str">
            <v>594-34-4444</v>
          </cell>
          <cell r="B97" t="str">
            <v>no</v>
          </cell>
        </row>
        <row r="98">
          <cell r="A98" t="str">
            <v>766-85-7061</v>
          </cell>
          <cell r="B98" t="str">
            <v>yes</v>
          </cell>
        </row>
        <row r="99">
          <cell r="A99" t="str">
            <v>871-39-9221</v>
          </cell>
          <cell r="B99" t="str">
            <v>no</v>
          </cell>
        </row>
        <row r="100">
          <cell r="A100" t="str">
            <v>865-92-6136</v>
          </cell>
          <cell r="B100" t="str">
            <v>no</v>
          </cell>
        </row>
        <row r="101">
          <cell r="A101" t="str">
            <v>733-01-9107</v>
          </cell>
          <cell r="B101" t="str">
            <v>no</v>
          </cell>
        </row>
        <row r="102">
          <cell r="A102" t="str">
            <v>163-56-7055</v>
          </cell>
          <cell r="B102" t="str">
            <v>yes</v>
          </cell>
        </row>
        <row r="103">
          <cell r="A103" t="str">
            <v>189-98-2939</v>
          </cell>
          <cell r="B103" t="str">
            <v>no</v>
          </cell>
        </row>
        <row r="104">
          <cell r="A104" t="str">
            <v>551-21-3069</v>
          </cell>
          <cell r="B104" t="str">
            <v>no</v>
          </cell>
        </row>
        <row r="105">
          <cell r="A105" t="str">
            <v>212-62-1842</v>
          </cell>
          <cell r="B105" t="str">
            <v>no</v>
          </cell>
        </row>
        <row r="106">
          <cell r="A106" t="str">
            <v>716-39-1409</v>
          </cell>
          <cell r="B106" t="str">
            <v>yes</v>
          </cell>
        </row>
        <row r="107">
          <cell r="A107" t="str">
            <v>704-48-3927</v>
          </cell>
          <cell r="B107" t="str">
            <v>no</v>
          </cell>
        </row>
        <row r="108">
          <cell r="A108" t="str">
            <v>628-34-3388</v>
          </cell>
          <cell r="B108" t="str">
            <v>no</v>
          </cell>
        </row>
        <row r="109">
          <cell r="A109" t="str">
            <v>630-74-5166</v>
          </cell>
          <cell r="B109" t="str">
            <v>no</v>
          </cell>
        </row>
        <row r="110">
          <cell r="A110" t="str">
            <v>588-01-7461</v>
          </cell>
          <cell r="B110" t="str">
            <v>yes</v>
          </cell>
        </row>
        <row r="111">
          <cell r="A111" t="str">
            <v>861-77-0145</v>
          </cell>
          <cell r="B111" t="str">
            <v>no</v>
          </cell>
        </row>
        <row r="112">
          <cell r="A112" t="str">
            <v>479-26-8945</v>
          </cell>
          <cell r="B112" t="str">
            <v>no</v>
          </cell>
        </row>
        <row r="113">
          <cell r="A113" t="str">
            <v>210-67-5886</v>
          </cell>
          <cell r="B113" t="str">
            <v>no</v>
          </cell>
        </row>
        <row r="114">
          <cell r="A114" t="str">
            <v>227-78-1148</v>
          </cell>
          <cell r="B114" t="str">
            <v>yes</v>
          </cell>
        </row>
        <row r="115">
          <cell r="A115" t="str">
            <v>645-44-1170</v>
          </cell>
          <cell r="B115" t="str">
            <v>no</v>
          </cell>
        </row>
        <row r="116">
          <cell r="A116" t="str">
            <v>237-01-6122</v>
          </cell>
          <cell r="B116" t="str">
            <v>no</v>
          </cell>
        </row>
        <row r="117">
          <cell r="A117" t="str">
            <v>225-98-1496</v>
          </cell>
          <cell r="B117" t="str">
            <v>no</v>
          </cell>
        </row>
        <row r="118">
          <cell r="A118" t="str">
            <v>291-32-1427</v>
          </cell>
          <cell r="B118" t="str">
            <v>yes</v>
          </cell>
        </row>
        <row r="119">
          <cell r="A119" t="str">
            <v>659-65-8956</v>
          </cell>
          <cell r="B119" t="str">
            <v>no</v>
          </cell>
        </row>
        <row r="120">
          <cell r="A120" t="str">
            <v>642-32-2990</v>
          </cell>
          <cell r="B120" t="str">
            <v>no</v>
          </cell>
        </row>
        <row r="121">
          <cell r="A121" t="str">
            <v>378-24-2715</v>
          </cell>
          <cell r="B121" t="str">
            <v>no</v>
          </cell>
        </row>
        <row r="122">
          <cell r="A122" t="str">
            <v>638-60-7125</v>
          </cell>
          <cell r="B122" t="str">
            <v>yes</v>
          </cell>
        </row>
        <row r="123">
          <cell r="A123" t="str">
            <v>659-36-1684</v>
          </cell>
          <cell r="B123" t="str">
            <v>no</v>
          </cell>
        </row>
        <row r="124">
          <cell r="A124" t="str">
            <v>219-22-9386</v>
          </cell>
          <cell r="B124" t="str">
            <v>no</v>
          </cell>
        </row>
        <row r="125">
          <cell r="A125" t="str">
            <v>336-78-2147</v>
          </cell>
          <cell r="B125" t="str">
            <v>no</v>
          </cell>
        </row>
        <row r="126">
          <cell r="A126" t="str">
            <v>268-27-6179</v>
          </cell>
          <cell r="B126" t="str">
            <v>yes</v>
          </cell>
        </row>
        <row r="127">
          <cell r="A127" t="str">
            <v>668-90-8900</v>
          </cell>
          <cell r="B127" t="str">
            <v>no</v>
          </cell>
        </row>
        <row r="128">
          <cell r="A128" t="str">
            <v>870-54-3162</v>
          </cell>
          <cell r="B128" t="str">
            <v>no</v>
          </cell>
        </row>
        <row r="129">
          <cell r="A129" t="str">
            <v>189-08-9157</v>
          </cell>
          <cell r="B129" t="str">
            <v>no</v>
          </cell>
        </row>
        <row r="130">
          <cell r="A130" t="str">
            <v>663-86-9076</v>
          </cell>
          <cell r="B130" t="str">
            <v>yes</v>
          </cell>
        </row>
        <row r="131">
          <cell r="A131" t="str">
            <v>549-84-7482</v>
          </cell>
          <cell r="B131" t="str">
            <v>no</v>
          </cell>
        </row>
        <row r="132">
          <cell r="A132" t="str">
            <v>191-10-6171</v>
          </cell>
          <cell r="B132" t="str">
            <v>no</v>
          </cell>
        </row>
        <row r="133">
          <cell r="A133" t="str">
            <v>802-70-5316</v>
          </cell>
          <cell r="B133" t="str">
            <v>no</v>
          </cell>
        </row>
        <row r="134">
          <cell r="A134" t="str">
            <v>695-51-0018</v>
          </cell>
          <cell r="B134" t="str">
            <v>yes</v>
          </cell>
        </row>
        <row r="135">
          <cell r="A135" t="str">
            <v>590-83-4591</v>
          </cell>
          <cell r="B135" t="str">
            <v>no</v>
          </cell>
        </row>
        <row r="136">
          <cell r="A136" t="str">
            <v>483-71-1164</v>
          </cell>
          <cell r="B136" t="str">
            <v>no</v>
          </cell>
        </row>
        <row r="137">
          <cell r="A137" t="str">
            <v>597-78-7908</v>
          </cell>
          <cell r="B137" t="str">
            <v>no</v>
          </cell>
        </row>
        <row r="138">
          <cell r="A138" t="str">
            <v>700-81-1757</v>
          </cell>
          <cell r="B138" t="str">
            <v>yes</v>
          </cell>
        </row>
        <row r="139">
          <cell r="A139" t="str">
            <v>354-39-5160</v>
          </cell>
          <cell r="B139" t="str">
            <v>no</v>
          </cell>
        </row>
        <row r="140">
          <cell r="A140" t="str">
            <v>241-72-9525</v>
          </cell>
          <cell r="B140" t="str">
            <v>no</v>
          </cell>
        </row>
        <row r="141">
          <cell r="A141" t="str">
            <v>575-30-8091</v>
          </cell>
          <cell r="B141" t="str">
            <v>no</v>
          </cell>
        </row>
        <row r="142">
          <cell r="A142" t="str">
            <v>731-81-9469</v>
          </cell>
          <cell r="B142" t="str">
            <v>yes</v>
          </cell>
        </row>
        <row r="143">
          <cell r="A143" t="str">
            <v>280-17-4359</v>
          </cell>
          <cell r="B143" t="str">
            <v>no</v>
          </cell>
        </row>
        <row r="144">
          <cell r="A144" t="str">
            <v>338-65-2210</v>
          </cell>
          <cell r="B144" t="str">
            <v>no</v>
          </cell>
        </row>
        <row r="145">
          <cell r="A145" t="str">
            <v>488-25-4221</v>
          </cell>
          <cell r="B145" t="str">
            <v>no</v>
          </cell>
        </row>
        <row r="146">
          <cell r="A146" t="str">
            <v>239-10-7476</v>
          </cell>
          <cell r="B146" t="str">
            <v>yes</v>
          </cell>
        </row>
        <row r="147">
          <cell r="A147" t="str">
            <v>458-41-1477</v>
          </cell>
          <cell r="B147" t="str">
            <v>no</v>
          </cell>
        </row>
        <row r="148">
          <cell r="A148" t="str">
            <v>685-64-1609</v>
          </cell>
          <cell r="B148" t="str">
            <v>no</v>
          </cell>
        </row>
        <row r="149">
          <cell r="A149" t="str">
            <v>568-90-5112</v>
          </cell>
          <cell r="B149" t="str">
            <v>no</v>
          </cell>
        </row>
        <row r="150">
          <cell r="A150" t="str">
            <v>262-47-2794</v>
          </cell>
          <cell r="B150" t="str">
            <v>yes</v>
          </cell>
        </row>
        <row r="151">
          <cell r="A151" t="str">
            <v>238-49-0436</v>
          </cell>
          <cell r="B151" t="str">
            <v>no</v>
          </cell>
        </row>
        <row r="152">
          <cell r="A152" t="str">
            <v>608-96-3517</v>
          </cell>
          <cell r="B152" t="str">
            <v>no</v>
          </cell>
        </row>
        <row r="153">
          <cell r="A153" t="str">
            <v>584-86-7256</v>
          </cell>
          <cell r="B153" t="str">
            <v>no</v>
          </cell>
        </row>
        <row r="154">
          <cell r="A154" t="str">
            <v>746-94-0204</v>
          </cell>
          <cell r="B154" t="str">
            <v>yes</v>
          </cell>
        </row>
        <row r="155">
          <cell r="A155" t="str">
            <v>214-17-6927</v>
          </cell>
          <cell r="B155" t="str">
            <v>no</v>
          </cell>
        </row>
        <row r="156">
          <cell r="A156" t="str">
            <v>400-89-4171</v>
          </cell>
          <cell r="B156" t="str">
            <v>no</v>
          </cell>
        </row>
        <row r="157">
          <cell r="A157" t="str">
            <v>782-95-9291</v>
          </cell>
          <cell r="B157" t="str">
            <v>no</v>
          </cell>
        </row>
        <row r="158">
          <cell r="A158" t="str">
            <v>279-74-2924</v>
          </cell>
          <cell r="B158" t="str">
            <v>yes</v>
          </cell>
        </row>
        <row r="159">
          <cell r="A159" t="str">
            <v>307-85-2293</v>
          </cell>
          <cell r="B159" t="str">
            <v>no</v>
          </cell>
        </row>
        <row r="160">
          <cell r="A160" t="str">
            <v>743-04-1105</v>
          </cell>
          <cell r="B160" t="str">
            <v>no</v>
          </cell>
        </row>
        <row r="161">
          <cell r="A161" t="str">
            <v>423-57-2993</v>
          </cell>
          <cell r="B161" t="str">
            <v>no</v>
          </cell>
        </row>
        <row r="162">
          <cell r="A162" t="str">
            <v>894-41-5205</v>
          </cell>
          <cell r="B162" t="str">
            <v>yes</v>
          </cell>
        </row>
        <row r="163">
          <cell r="A163" t="str">
            <v>275-28-0149</v>
          </cell>
          <cell r="B163" t="str">
            <v>no</v>
          </cell>
        </row>
        <row r="164">
          <cell r="A164" t="str">
            <v>101-17-6199</v>
          </cell>
          <cell r="B164" t="str">
            <v>no</v>
          </cell>
        </row>
        <row r="165">
          <cell r="A165" t="str">
            <v>423-80-0988</v>
          </cell>
          <cell r="B165" t="str">
            <v>no</v>
          </cell>
        </row>
        <row r="166">
          <cell r="A166" t="str">
            <v>548-46-9322</v>
          </cell>
          <cell r="B166" t="str">
            <v>yes</v>
          </cell>
        </row>
        <row r="167">
          <cell r="A167" t="str">
            <v>505-02-0892</v>
          </cell>
          <cell r="B167" t="str">
            <v>no</v>
          </cell>
        </row>
        <row r="168">
          <cell r="A168" t="str">
            <v>234-65-2137</v>
          </cell>
          <cell r="B168" t="str">
            <v>no</v>
          </cell>
        </row>
        <row r="169">
          <cell r="A169" t="str">
            <v>687-47-8271</v>
          </cell>
          <cell r="B169" t="str">
            <v>no</v>
          </cell>
        </row>
        <row r="170">
          <cell r="A170" t="str">
            <v>796-32-9050</v>
          </cell>
          <cell r="B170" t="str">
            <v>yes</v>
          </cell>
        </row>
        <row r="171">
          <cell r="A171" t="str">
            <v>105-31-1824</v>
          </cell>
          <cell r="B171" t="str">
            <v>no</v>
          </cell>
        </row>
        <row r="172">
          <cell r="A172" t="str">
            <v>249-42-3782</v>
          </cell>
          <cell r="B172" t="str">
            <v>no</v>
          </cell>
        </row>
        <row r="173">
          <cell r="A173" t="str">
            <v>316-55-4634</v>
          </cell>
          <cell r="B173" t="str">
            <v>no</v>
          </cell>
        </row>
        <row r="174">
          <cell r="A174" t="str">
            <v>733-33-4967</v>
          </cell>
          <cell r="B174" t="str">
            <v>yes</v>
          </cell>
        </row>
        <row r="175">
          <cell r="A175" t="str">
            <v>608-27-6295</v>
          </cell>
          <cell r="B175" t="str">
            <v>no</v>
          </cell>
        </row>
        <row r="176">
          <cell r="A176" t="str">
            <v>414-12-7047</v>
          </cell>
          <cell r="B176" t="str">
            <v>no</v>
          </cell>
        </row>
        <row r="177">
          <cell r="A177" t="str">
            <v>827-26-2100</v>
          </cell>
          <cell r="B177" t="str">
            <v>no</v>
          </cell>
        </row>
        <row r="178">
          <cell r="A178" t="str">
            <v>175-54-2529</v>
          </cell>
          <cell r="B178" t="str">
            <v>yes</v>
          </cell>
        </row>
        <row r="179">
          <cell r="A179" t="str">
            <v>139-52-2867</v>
          </cell>
          <cell r="B179" t="str">
            <v>no</v>
          </cell>
        </row>
        <row r="180">
          <cell r="A180" t="str">
            <v>407-63-8975</v>
          </cell>
          <cell r="B180" t="str">
            <v>no</v>
          </cell>
        </row>
        <row r="181">
          <cell r="A181" t="str">
            <v>342-65-4817</v>
          </cell>
          <cell r="B181" t="str">
            <v>no</v>
          </cell>
        </row>
        <row r="182">
          <cell r="A182" t="str">
            <v>130-98-8941</v>
          </cell>
          <cell r="B182" t="str">
            <v>yes</v>
          </cell>
        </row>
        <row r="183">
          <cell r="A183" t="str">
            <v>434-83-9547</v>
          </cell>
          <cell r="B183" t="str">
            <v>no</v>
          </cell>
        </row>
        <row r="184">
          <cell r="A184" t="str">
            <v>851-28-6367</v>
          </cell>
          <cell r="B184" t="str">
            <v>no</v>
          </cell>
        </row>
        <row r="185">
          <cell r="A185" t="str">
            <v>824-88-3614</v>
          </cell>
          <cell r="B185" t="str">
            <v>no</v>
          </cell>
        </row>
        <row r="186">
          <cell r="A186" t="str">
            <v>586-25-0848</v>
          </cell>
          <cell r="B186" t="str">
            <v>yes</v>
          </cell>
        </row>
        <row r="187">
          <cell r="A187" t="str">
            <v>895-66-0685</v>
          </cell>
          <cell r="B187" t="str">
            <v>no</v>
          </cell>
        </row>
        <row r="188">
          <cell r="A188" t="str">
            <v>305-14-0245</v>
          </cell>
          <cell r="B188" t="str">
            <v>no</v>
          </cell>
        </row>
        <row r="189">
          <cell r="A189" t="str">
            <v>732-04-5373</v>
          </cell>
          <cell r="B189" t="str">
            <v>no</v>
          </cell>
        </row>
        <row r="190">
          <cell r="A190" t="str">
            <v>400-60-7251</v>
          </cell>
          <cell r="B190" t="str">
            <v>yes</v>
          </cell>
        </row>
        <row r="191">
          <cell r="A191" t="str">
            <v>593-65-1552</v>
          </cell>
          <cell r="B191" t="str">
            <v>no</v>
          </cell>
        </row>
        <row r="192">
          <cell r="A192" t="str">
            <v>284-34-9626</v>
          </cell>
          <cell r="B192" t="str">
            <v>no</v>
          </cell>
        </row>
        <row r="193">
          <cell r="A193" t="str">
            <v>437-58-8131</v>
          </cell>
          <cell r="B193" t="str">
            <v>no</v>
          </cell>
        </row>
        <row r="194">
          <cell r="A194" t="str">
            <v>286-43-6208</v>
          </cell>
          <cell r="B194" t="str">
            <v>yes</v>
          </cell>
        </row>
        <row r="195">
          <cell r="A195" t="str">
            <v>641-43-2399</v>
          </cell>
          <cell r="B195" t="str">
            <v>no</v>
          </cell>
        </row>
        <row r="196">
          <cell r="A196" t="str">
            <v>831-07-6050</v>
          </cell>
          <cell r="B196" t="str">
            <v>no</v>
          </cell>
        </row>
        <row r="197">
          <cell r="A197" t="str">
            <v>556-86-3144</v>
          </cell>
          <cell r="B197" t="str">
            <v>no</v>
          </cell>
        </row>
        <row r="198">
          <cell r="A198" t="str">
            <v>848-24-9445</v>
          </cell>
          <cell r="B198" t="str">
            <v>yes</v>
          </cell>
        </row>
        <row r="199">
          <cell r="A199" t="str">
            <v>856-22-8149</v>
          </cell>
          <cell r="B199" t="str">
            <v>no</v>
          </cell>
        </row>
        <row r="200">
          <cell r="A200" t="str">
            <v>699-01-4164</v>
          </cell>
          <cell r="B200" t="str">
            <v>no</v>
          </cell>
        </row>
        <row r="201">
          <cell r="A201" t="str">
            <v>420-11-4919</v>
          </cell>
          <cell r="B201" t="str">
            <v>no</v>
          </cell>
        </row>
        <row r="202">
          <cell r="A202" t="str">
            <v>606-80-4905</v>
          </cell>
          <cell r="B202" t="str">
            <v>yes</v>
          </cell>
        </row>
        <row r="203">
          <cell r="A203" t="str">
            <v>542-41-0513</v>
          </cell>
          <cell r="B203" t="str">
            <v>no</v>
          </cell>
        </row>
        <row r="204">
          <cell r="A204" t="str">
            <v>426-39-2418</v>
          </cell>
          <cell r="B204" t="str">
            <v>no</v>
          </cell>
        </row>
        <row r="205">
          <cell r="A205" t="str">
            <v>875-46-5808</v>
          </cell>
          <cell r="B205" t="str">
            <v>no</v>
          </cell>
        </row>
        <row r="206">
          <cell r="A206" t="str">
            <v>394-43-4238</v>
          </cell>
          <cell r="B206" t="str">
            <v>yes</v>
          </cell>
        </row>
        <row r="207">
          <cell r="A207" t="str">
            <v>749-24-1565</v>
          </cell>
          <cell r="B207" t="str">
            <v>no</v>
          </cell>
        </row>
        <row r="208">
          <cell r="A208" t="str">
            <v>672-51-8681</v>
          </cell>
          <cell r="B208" t="str">
            <v>no</v>
          </cell>
        </row>
        <row r="209">
          <cell r="A209" t="str">
            <v>263-87-5680</v>
          </cell>
          <cell r="B209" t="str">
            <v>no</v>
          </cell>
        </row>
        <row r="210">
          <cell r="A210" t="str">
            <v>573-58-9734</v>
          </cell>
          <cell r="B210" t="str">
            <v>yes</v>
          </cell>
        </row>
        <row r="211">
          <cell r="A211" t="str">
            <v>817-69-8206</v>
          </cell>
          <cell r="B211" t="str">
            <v>no</v>
          </cell>
        </row>
        <row r="212">
          <cell r="A212" t="str">
            <v>888-02-0338</v>
          </cell>
          <cell r="B212" t="str">
            <v>no</v>
          </cell>
        </row>
        <row r="213">
          <cell r="A213" t="str">
            <v>677-11-0152</v>
          </cell>
          <cell r="B213" t="str">
            <v>no</v>
          </cell>
        </row>
        <row r="214">
          <cell r="A214" t="str">
            <v>142-63-6033</v>
          </cell>
          <cell r="B214" t="str">
            <v>yes</v>
          </cell>
        </row>
        <row r="215">
          <cell r="A215" t="str">
            <v>656-16-1063</v>
          </cell>
          <cell r="B215" t="str">
            <v>no</v>
          </cell>
        </row>
        <row r="216">
          <cell r="A216" t="str">
            <v>891-58-8335</v>
          </cell>
          <cell r="B216" t="str">
            <v>no</v>
          </cell>
        </row>
        <row r="217">
          <cell r="A217" t="str">
            <v>802-43-8934</v>
          </cell>
          <cell r="B217" t="str">
            <v>no</v>
          </cell>
        </row>
        <row r="218">
          <cell r="A218" t="str">
            <v>560-30-5617</v>
          </cell>
          <cell r="B218" t="str">
            <v>yes</v>
          </cell>
        </row>
        <row r="219">
          <cell r="A219" t="str">
            <v>319-74-2561</v>
          </cell>
          <cell r="B219" t="str">
            <v>no</v>
          </cell>
        </row>
        <row r="220">
          <cell r="A220" t="str">
            <v>549-03-9315</v>
          </cell>
          <cell r="B220" t="str">
            <v>no</v>
          </cell>
        </row>
        <row r="221">
          <cell r="A221" t="str">
            <v>790-29-1172</v>
          </cell>
          <cell r="B221" t="str">
            <v>no</v>
          </cell>
        </row>
        <row r="222">
          <cell r="A222" t="str">
            <v>239-36-3640</v>
          </cell>
          <cell r="B222" t="str">
            <v>yes</v>
          </cell>
        </row>
        <row r="223">
          <cell r="A223" t="str">
            <v>468-01-2051</v>
          </cell>
          <cell r="B223" t="str">
            <v>no</v>
          </cell>
        </row>
        <row r="224">
          <cell r="A224" t="str">
            <v>389-25-3394</v>
          </cell>
          <cell r="B224" t="str">
            <v>no</v>
          </cell>
        </row>
        <row r="225">
          <cell r="A225" t="str">
            <v>279-62-1445</v>
          </cell>
          <cell r="B225" t="str">
            <v>no</v>
          </cell>
        </row>
        <row r="226">
          <cell r="A226" t="str">
            <v>213-72-6612</v>
          </cell>
          <cell r="B226" t="str">
            <v>yes</v>
          </cell>
        </row>
        <row r="227">
          <cell r="A227" t="str">
            <v>746-68-6593</v>
          </cell>
          <cell r="B227" t="str">
            <v>no</v>
          </cell>
        </row>
        <row r="228">
          <cell r="A228" t="str">
            <v>836-82-5858</v>
          </cell>
          <cell r="B228" t="str">
            <v>no</v>
          </cell>
        </row>
        <row r="229">
          <cell r="A229" t="str">
            <v>583-72-1480</v>
          </cell>
          <cell r="B229" t="str">
            <v>no</v>
          </cell>
        </row>
        <row r="230">
          <cell r="A230" t="str">
            <v>466-61-5506</v>
          </cell>
          <cell r="B230" t="str">
            <v>yes</v>
          </cell>
        </row>
        <row r="231">
          <cell r="A231" t="str">
            <v>721-86-6247</v>
          </cell>
          <cell r="B231" t="str">
            <v>no</v>
          </cell>
        </row>
        <row r="232">
          <cell r="A232" t="str">
            <v>289-65-5721</v>
          </cell>
          <cell r="B232" t="str">
            <v>no</v>
          </cell>
        </row>
        <row r="233">
          <cell r="A233" t="str">
            <v>545-46-3100</v>
          </cell>
          <cell r="B233" t="str">
            <v>no</v>
          </cell>
        </row>
        <row r="234">
          <cell r="A234" t="str">
            <v>418-02-5978</v>
          </cell>
          <cell r="B234" t="str">
            <v>yes</v>
          </cell>
        </row>
        <row r="235">
          <cell r="A235" t="str">
            <v>269-04-5750</v>
          </cell>
          <cell r="B235" t="str">
            <v>no</v>
          </cell>
        </row>
        <row r="236">
          <cell r="A236" t="str">
            <v>157-13-5295</v>
          </cell>
          <cell r="B236" t="str">
            <v>no</v>
          </cell>
        </row>
        <row r="237">
          <cell r="A237" t="str">
            <v>645-78-8093</v>
          </cell>
          <cell r="B237" t="str">
            <v>no</v>
          </cell>
        </row>
        <row r="238">
          <cell r="A238" t="str">
            <v>211-30-9270</v>
          </cell>
          <cell r="B238" t="str">
            <v>yes</v>
          </cell>
        </row>
        <row r="239">
          <cell r="A239" t="str">
            <v>755-12-3214</v>
          </cell>
          <cell r="B239" t="str">
            <v>no</v>
          </cell>
        </row>
        <row r="240">
          <cell r="A240" t="str">
            <v>346-84-3103</v>
          </cell>
          <cell r="B240" t="str">
            <v>no</v>
          </cell>
        </row>
        <row r="241">
          <cell r="A241" t="str">
            <v>478-06-7835</v>
          </cell>
          <cell r="B241" t="str">
            <v>no</v>
          </cell>
        </row>
        <row r="242">
          <cell r="A242" t="str">
            <v>540-11-4336</v>
          </cell>
          <cell r="B242" t="str">
            <v>yes</v>
          </cell>
        </row>
        <row r="243">
          <cell r="A243" t="str">
            <v>448-81-5016</v>
          </cell>
          <cell r="B243" t="str">
            <v>no</v>
          </cell>
        </row>
        <row r="244">
          <cell r="A244" t="str">
            <v>142-72-4741</v>
          </cell>
          <cell r="B244" t="str">
            <v>no</v>
          </cell>
        </row>
        <row r="245">
          <cell r="A245" t="str">
            <v>217-58-1179</v>
          </cell>
          <cell r="B245" t="str">
            <v>no</v>
          </cell>
        </row>
        <row r="246">
          <cell r="A246" t="str">
            <v>376-02-8238</v>
          </cell>
          <cell r="B246" t="str">
            <v>yes</v>
          </cell>
        </row>
        <row r="247">
          <cell r="A247" t="str">
            <v>530-90-9855</v>
          </cell>
          <cell r="B247" t="str">
            <v>no</v>
          </cell>
        </row>
        <row r="248">
          <cell r="A248" t="str">
            <v>866-05-7563</v>
          </cell>
          <cell r="B248" t="str">
            <v>no</v>
          </cell>
        </row>
        <row r="249">
          <cell r="A249" t="str">
            <v>604-70-6476</v>
          </cell>
          <cell r="B249" t="str">
            <v>no</v>
          </cell>
        </row>
        <row r="250">
          <cell r="A250" t="str">
            <v>799-71-1548</v>
          </cell>
          <cell r="B250" t="str">
            <v>yes</v>
          </cell>
        </row>
        <row r="251">
          <cell r="A251" t="str">
            <v>785-13-7708</v>
          </cell>
          <cell r="B251" t="str">
            <v>no</v>
          </cell>
        </row>
        <row r="252">
          <cell r="A252" t="str">
            <v>845-51-0542</v>
          </cell>
          <cell r="B252" t="str">
            <v>no</v>
          </cell>
        </row>
        <row r="253">
          <cell r="A253" t="str">
            <v>662-47-5456</v>
          </cell>
          <cell r="B253" t="str">
            <v>no</v>
          </cell>
        </row>
        <row r="254">
          <cell r="A254" t="str">
            <v>883-17-4236</v>
          </cell>
          <cell r="B254" t="str">
            <v>yes</v>
          </cell>
        </row>
        <row r="255">
          <cell r="A255" t="str">
            <v>290-68-2984</v>
          </cell>
          <cell r="B255" t="str">
            <v>no</v>
          </cell>
        </row>
        <row r="256">
          <cell r="A256" t="str">
            <v>704-11-6354</v>
          </cell>
          <cell r="B256" t="str">
            <v>no</v>
          </cell>
        </row>
        <row r="257">
          <cell r="A257" t="str">
            <v>110-48-7033</v>
          </cell>
          <cell r="B257" t="str">
            <v>no</v>
          </cell>
        </row>
        <row r="258">
          <cell r="A258" t="str">
            <v>366-93-0948</v>
          </cell>
          <cell r="B258" t="str">
            <v>yes</v>
          </cell>
        </row>
        <row r="259">
          <cell r="A259" t="str">
            <v>729-09-9681</v>
          </cell>
          <cell r="B259" t="str">
            <v>no</v>
          </cell>
        </row>
        <row r="260">
          <cell r="A260" t="str">
            <v>151-16-1484</v>
          </cell>
          <cell r="B260" t="str">
            <v>no</v>
          </cell>
        </row>
        <row r="261">
          <cell r="A261" t="str">
            <v>380-94-4661</v>
          </cell>
          <cell r="B261" t="str">
            <v>no</v>
          </cell>
        </row>
        <row r="262">
          <cell r="A262" t="str">
            <v>850-41-9669</v>
          </cell>
          <cell r="B262" t="str">
            <v>yes</v>
          </cell>
        </row>
        <row r="263">
          <cell r="A263" t="str">
            <v>821-07-3596</v>
          </cell>
          <cell r="B263" t="str">
            <v>no</v>
          </cell>
        </row>
        <row r="264">
          <cell r="A264" t="str">
            <v>655-85-5130</v>
          </cell>
          <cell r="B264" t="str">
            <v>no</v>
          </cell>
        </row>
        <row r="265">
          <cell r="A265" t="str">
            <v>447-15-7839</v>
          </cell>
          <cell r="B265" t="str">
            <v>no</v>
          </cell>
        </row>
        <row r="266">
          <cell r="A266" t="str">
            <v>154-74-7179</v>
          </cell>
          <cell r="B266" t="str">
            <v>yes</v>
          </cell>
        </row>
        <row r="267">
          <cell r="A267" t="str">
            <v>253-12-6086</v>
          </cell>
          <cell r="B267" t="str">
            <v>no</v>
          </cell>
        </row>
        <row r="268">
          <cell r="A268" t="str">
            <v>808-65-0703</v>
          </cell>
          <cell r="B268" t="str">
            <v>no</v>
          </cell>
        </row>
        <row r="269">
          <cell r="A269" t="str">
            <v>571-94-0759</v>
          </cell>
          <cell r="B269" t="str">
            <v>no</v>
          </cell>
        </row>
        <row r="270">
          <cell r="A270" t="str">
            <v>144-51-6085</v>
          </cell>
          <cell r="B270" t="str">
            <v>yes</v>
          </cell>
        </row>
        <row r="271">
          <cell r="A271" t="str">
            <v>731-14-2199</v>
          </cell>
          <cell r="B271" t="str">
            <v>no</v>
          </cell>
        </row>
        <row r="272">
          <cell r="A272" t="str">
            <v>783-09-1637</v>
          </cell>
          <cell r="B272" t="str">
            <v>no</v>
          </cell>
        </row>
        <row r="273">
          <cell r="A273" t="str">
            <v>687-15-1097</v>
          </cell>
          <cell r="B273" t="str">
            <v>no</v>
          </cell>
        </row>
        <row r="274">
          <cell r="A274" t="str">
            <v>126-54-1082</v>
          </cell>
          <cell r="B274" t="str">
            <v>yes</v>
          </cell>
        </row>
        <row r="275">
          <cell r="A275" t="str">
            <v>633-91-1052</v>
          </cell>
          <cell r="B275" t="str">
            <v>no</v>
          </cell>
        </row>
        <row r="276">
          <cell r="A276" t="str">
            <v>477-24-6490</v>
          </cell>
          <cell r="B276" t="str">
            <v>no</v>
          </cell>
        </row>
        <row r="277">
          <cell r="A277" t="str">
            <v>566-19-5475</v>
          </cell>
          <cell r="B277" t="str">
            <v>no</v>
          </cell>
        </row>
        <row r="278">
          <cell r="A278" t="str">
            <v>526-86-8552</v>
          </cell>
          <cell r="B278" t="str">
            <v>yes</v>
          </cell>
        </row>
        <row r="279">
          <cell r="A279" t="str">
            <v>376-56-3573</v>
          </cell>
          <cell r="B279" t="str">
            <v>no</v>
          </cell>
        </row>
        <row r="280">
          <cell r="A280" t="str">
            <v>537-72-0426</v>
          </cell>
          <cell r="B280" t="str">
            <v>no</v>
          </cell>
        </row>
        <row r="281">
          <cell r="A281" t="str">
            <v>828-61-5674</v>
          </cell>
          <cell r="B281" t="str">
            <v>no</v>
          </cell>
        </row>
        <row r="282">
          <cell r="A282" t="str">
            <v>136-08-6195</v>
          </cell>
          <cell r="B282" t="str">
            <v>yes</v>
          </cell>
        </row>
        <row r="283">
          <cell r="A283" t="str">
            <v>523-38-0215</v>
          </cell>
          <cell r="B283" t="str">
            <v>no</v>
          </cell>
        </row>
        <row r="284">
          <cell r="A284" t="str">
            <v>490-29-1201</v>
          </cell>
          <cell r="B284" t="str">
            <v>no</v>
          </cell>
        </row>
        <row r="285">
          <cell r="A285" t="str">
            <v>667-92-0055</v>
          </cell>
          <cell r="B285" t="str">
            <v>no</v>
          </cell>
        </row>
        <row r="286">
          <cell r="A286" t="str">
            <v>565-17-3836</v>
          </cell>
          <cell r="B286" t="str">
            <v>yes</v>
          </cell>
        </row>
        <row r="287">
          <cell r="A287" t="str">
            <v>498-41-1961</v>
          </cell>
          <cell r="B287" t="str">
            <v>no</v>
          </cell>
        </row>
        <row r="288">
          <cell r="A288" t="str">
            <v>593-95-4461</v>
          </cell>
          <cell r="B288" t="str">
            <v>no</v>
          </cell>
        </row>
        <row r="289">
          <cell r="A289" t="str">
            <v>226-71-3580</v>
          </cell>
          <cell r="B289" t="str">
            <v>no</v>
          </cell>
        </row>
        <row r="290">
          <cell r="A290" t="str">
            <v>283-79-9594</v>
          </cell>
          <cell r="B290" t="str">
            <v>yes</v>
          </cell>
        </row>
        <row r="291">
          <cell r="A291" t="str">
            <v>430-60-3493</v>
          </cell>
          <cell r="B291" t="str">
            <v>no</v>
          </cell>
        </row>
        <row r="292">
          <cell r="A292" t="str">
            <v>139-20-0155</v>
          </cell>
          <cell r="B292" t="str">
            <v>no</v>
          </cell>
        </row>
        <row r="293">
          <cell r="A293" t="str">
            <v>558-80-4082</v>
          </cell>
          <cell r="B293" t="str">
            <v>no</v>
          </cell>
        </row>
        <row r="294">
          <cell r="A294" t="str">
            <v>278-97-7759</v>
          </cell>
          <cell r="B294" t="str">
            <v>yes</v>
          </cell>
        </row>
        <row r="295">
          <cell r="A295" t="str">
            <v>316-68-6352</v>
          </cell>
          <cell r="B295" t="str">
            <v>no</v>
          </cell>
        </row>
        <row r="296">
          <cell r="A296" t="str">
            <v>585-03-5943</v>
          </cell>
          <cell r="B296" t="str">
            <v>no</v>
          </cell>
        </row>
        <row r="297">
          <cell r="A297" t="str">
            <v>211-05-0490</v>
          </cell>
          <cell r="B297" t="str">
            <v>no</v>
          </cell>
        </row>
        <row r="298">
          <cell r="A298" t="str">
            <v>727-75-6477</v>
          </cell>
          <cell r="B298" t="str">
            <v>yes</v>
          </cell>
        </row>
        <row r="299">
          <cell r="A299" t="str">
            <v>744-02-5987</v>
          </cell>
          <cell r="B299" t="str">
            <v>no</v>
          </cell>
        </row>
        <row r="300">
          <cell r="A300" t="str">
            <v>307-83-9164</v>
          </cell>
          <cell r="B300" t="str">
            <v>no</v>
          </cell>
        </row>
        <row r="301">
          <cell r="A301" t="str">
            <v>779-06-0012</v>
          </cell>
          <cell r="B301" t="str">
            <v>no</v>
          </cell>
        </row>
        <row r="302">
          <cell r="A302" t="str">
            <v>446-47-6729</v>
          </cell>
          <cell r="B302" t="str">
            <v>yes</v>
          </cell>
        </row>
        <row r="303">
          <cell r="A303" t="str">
            <v>573-10-3877</v>
          </cell>
          <cell r="B303" t="str">
            <v>no</v>
          </cell>
        </row>
        <row r="304">
          <cell r="A304" t="str">
            <v>735-06-4124</v>
          </cell>
          <cell r="B304" t="str">
            <v>no</v>
          </cell>
        </row>
        <row r="305">
          <cell r="A305" t="str">
            <v>439-54-7422</v>
          </cell>
          <cell r="B305" t="str">
            <v>no</v>
          </cell>
        </row>
        <row r="306">
          <cell r="A306" t="str">
            <v>396-90-2219</v>
          </cell>
          <cell r="B306" t="str">
            <v>yes</v>
          </cell>
        </row>
        <row r="307">
          <cell r="A307" t="str">
            <v>411-77-0180</v>
          </cell>
          <cell r="B307" t="str">
            <v>no</v>
          </cell>
        </row>
        <row r="308">
          <cell r="A308" t="str">
            <v>286-01-5402</v>
          </cell>
          <cell r="B308" t="str">
            <v>no</v>
          </cell>
        </row>
        <row r="309">
          <cell r="A309" t="str">
            <v>803-17-8013</v>
          </cell>
          <cell r="B309" t="str">
            <v>no</v>
          </cell>
        </row>
        <row r="310">
          <cell r="A310" t="str">
            <v>512-98-1403</v>
          </cell>
          <cell r="B310" t="str">
            <v>yes</v>
          </cell>
        </row>
        <row r="311">
          <cell r="A311" t="str">
            <v>848-42-2560</v>
          </cell>
          <cell r="B311" t="str">
            <v>no</v>
          </cell>
        </row>
        <row r="312">
          <cell r="A312" t="str">
            <v>532-59-7201</v>
          </cell>
          <cell r="B312" t="str">
            <v>no</v>
          </cell>
        </row>
        <row r="313">
          <cell r="A313" t="str">
            <v>181-94-6432</v>
          </cell>
          <cell r="B313" t="str">
            <v>no</v>
          </cell>
        </row>
        <row r="314">
          <cell r="A314" t="str">
            <v>870-76-1733</v>
          </cell>
          <cell r="B314" t="str">
            <v>yes</v>
          </cell>
        </row>
        <row r="315">
          <cell r="A315" t="str">
            <v>423-64-4619</v>
          </cell>
          <cell r="B315" t="str">
            <v>no</v>
          </cell>
        </row>
        <row r="316">
          <cell r="A316" t="str">
            <v>227-07-4446</v>
          </cell>
          <cell r="B316" t="str">
            <v>no</v>
          </cell>
        </row>
        <row r="317">
          <cell r="A317" t="str">
            <v>174-36-3675</v>
          </cell>
          <cell r="B317" t="str">
            <v>no</v>
          </cell>
        </row>
        <row r="318">
          <cell r="A318" t="str">
            <v>428-83-5800</v>
          </cell>
          <cell r="B318" t="str">
            <v>yes</v>
          </cell>
        </row>
        <row r="319">
          <cell r="A319" t="str">
            <v>603-07-0961</v>
          </cell>
          <cell r="B319" t="str">
            <v>no</v>
          </cell>
        </row>
        <row r="320">
          <cell r="A320" t="str">
            <v>704-20-4138</v>
          </cell>
          <cell r="B320" t="str">
            <v>no</v>
          </cell>
        </row>
        <row r="321">
          <cell r="A321" t="str">
            <v>787-15-1757</v>
          </cell>
          <cell r="B321" t="str">
            <v>no</v>
          </cell>
        </row>
        <row r="322">
          <cell r="A322" t="str">
            <v>649-11-3678</v>
          </cell>
          <cell r="B322" t="str">
            <v>yes</v>
          </cell>
        </row>
        <row r="323">
          <cell r="A323" t="str">
            <v>622-20-1945</v>
          </cell>
          <cell r="B323" t="str">
            <v>no</v>
          </cell>
        </row>
        <row r="324">
          <cell r="A324" t="str">
            <v>372-94-8041</v>
          </cell>
          <cell r="B324" t="str">
            <v>no</v>
          </cell>
        </row>
        <row r="325">
          <cell r="A325" t="str">
            <v>563-91-7120</v>
          </cell>
          <cell r="B325" t="str">
            <v>no</v>
          </cell>
        </row>
        <row r="326">
          <cell r="A326" t="str">
            <v>746-54-5508</v>
          </cell>
          <cell r="B326" t="str">
            <v>yes</v>
          </cell>
        </row>
        <row r="327">
          <cell r="A327" t="str">
            <v>276-54-0879</v>
          </cell>
          <cell r="B327" t="str">
            <v>no</v>
          </cell>
        </row>
        <row r="328">
          <cell r="A328" t="str">
            <v>815-11-1168</v>
          </cell>
          <cell r="B328" t="str">
            <v>no</v>
          </cell>
        </row>
        <row r="329">
          <cell r="A329" t="str">
            <v>719-76-3868</v>
          </cell>
          <cell r="B329" t="str">
            <v>no</v>
          </cell>
        </row>
        <row r="330">
          <cell r="A330" t="str">
            <v>730-61-8757</v>
          </cell>
          <cell r="B330" t="str">
            <v>yes</v>
          </cell>
        </row>
        <row r="331">
          <cell r="A331" t="str">
            <v>340-66-0321</v>
          </cell>
          <cell r="B331" t="str">
            <v>no</v>
          </cell>
        </row>
        <row r="332">
          <cell r="A332" t="str">
            <v>868-81-1752</v>
          </cell>
          <cell r="B332" t="str">
            <v>no</v>
          </cell>
        </row>
        <row r="333">
          <cell r="A333" t="str">
            <v>634-97-8956</v>
          </cell>
          <cell r="B333" t="str">
            <v>no</v>
          </cell>
        </row>
        <row r="334">
          <cell r="A334" t="str">
            <v>566-71-1091</v>
          </cell>
          <cell r="B334" t="str">
            <v>yes</v>
          </cell>
        </row>
        <row r="335">
          <cell r="A335" t="str">
            <v>442-48-3607</v>
          </cell>
          <cell r="B335" t="str">
            <v>no</v>
          </cell>
        </row>
        <row r="336">
          <cell r="A336" t="str">
            <v>835-16-0096</v>
          </cell>
          <cell r="B336" t="str">
            <v>no</v>
          </cell>
        </row>
        <row r="337">
          <cell r="A337" t="str">
            <v>527-09-6272</v>
          </cell>
          <cell r="B337" t="str">
            <v>no</v>
          </cell>
        </row>
        <row r="338">
          <cell r="A338" t="str">
            <v>898-04-2717</v>
          </cell>
          <cell r="B338" t="str">
            <v>yes</v>
          </cell>
        </row>
        <row r="339">
          <cell r="A339" t="str">
            <v>692-27-8933</v>
          </cell>
          <cell r="B339" t="str">
            <v>no</v>
          </cell>
        </row>
        <row r="340">
          <cell r="A340" t="str">
            <v>633-09-3463</v>
          </cell>
          <cell r="B340" t="str">
            <v>no</v>
          </cell>
        </row>
        <row r="341">
          <cell r="A341" t="str">
            <v>374-17-3652</v>
          </cell>
          <cell r="B341" t="str">
            <v>no</v>
          </cell>
        </row>
        <row r="342">
          <cell r="A342" t="str">
            <v>378-07-7001</v>
          </cell>
          <cell r="B342" t="str">
            <v>yes</v>
          </cell>
        </row>
        <row r="343">
          <cell r="A343" t="str">
            <v>433-75-6987</v>
          </cell>
          <cell r="B343" t="str">
            <v>no</v>
          </cell>
        </row>
        <row r="344">
          <cell r="A344" t="str">
            <v>873-95-4984</v>
          </cell>
          <cell r="B344" t="str">
            <v>no</v>
          </cell>
        </row>
        <row r="345">
          <cell r="A345" t="str">
            <v>416-13-5917</v>
          </cell>
          <cell r="B345" t="str">
            <v>no</v>
          </cell>
        </row>
        <row r="346">
          <cell r="A346" t="str">
            <v>150-89-8043</v>
          </cell>
          <cell r="B346" t="str">
            <v>yes</v>
          </cell>
        </row>
        <row r="347">
          <cell r="A347" t="str">
            <v>135-84-8019</v>
          </cell>
          <cell r="B347" t="str">
            <v>no</v>
          </cell>
        </row>
        <row r="348">
          <cell r="A348" t="str">
            <v>441-94-7118</v>
          </cell>
          <cell r="B348" t="str">
            <v>no</v>
          </cell>
        </row>
        <row r="349">
          <cell r="A349" t="str">
            <v>725-96-3778</v>
          </cell>
          <cell r="B349" t="str">
            <v>no</v>
          </cell>
        </row>
        <row r="350">
          <cell r="A350" t="str">
            <v>531-80-1784</v>
          </cell>
          <cell r="B350" t="str">
            <v>yes</v>
          </cell>
        </row>
        <row r="351">
          <cell r="A351" t="str">
            <v>400-45-1220</v>
          </cell>
          <cell r="B351" t="str">
            <v>no</v>
          </cell>
        </row>
        <row r="352">
          <cell r="A352" t="str">
            <v>860-79-0874</v>
          </cell>
          <cell r="B352" t="str">
            <v>no</v>
          </cell>
        </row>
        <row r="353">
          <cell r="A353" t="str">
            <v>834-61-8124</v>
          </cell>
          <cell r="B353" t="str">
            <v>no</v>
          </cell>
        </row>
        <row r="354">
          <cell r="A354" t="str">
            <v>115-99-4379</v>
          </cell>
          <cell r="B354" t="str">
            <v>yes</v>
          </cell>
        </row>
        <row r="355">
          <cell r="A355" t="str">
            <v>565-67-6697</v>
          </cell>
          <cell r="B355" t="str">
            <v>no</v>
          </cell>
        </row>
        <row r="356">
          <cell r="A356" t="str">
            <v>320-49-6392</v>
          </cell>
          <cell r="B356" t="str">
            <v>no</v>
          </cell>
        </row>
        <row r="357">
          <cell r="A357" t="str">
            <v>889-04-9723</v>
          </cell>
          <cell r="B357" t="str">
            <v>no</v>
          </cell>
        </row>
        <row r="358">
          <cell r="A358" t="str">
            <v>632-90-0281</v>
          </cell>
          <cell r="B358" t="str">
            <v>yes</v>
          </cell>
        </row>
        <row r="359">
          <cell r="A359" t="str">
            <v>554-42-2417</v>
          </cell>
          <cell r="B359" t="str">
            <v>no</v>
          </cell>
        </row>
        <row r="360">
          <cell r="A360" t="str">
            <v>453-63-6187</v>
          </cell>
          <cell r="B360" t="str">
            <v>no</v>
          </cell>
        </row>
        <row r="361">
          <cell r="A361" t="str">
            <v>578-80-7669</v>
          </cell>
          <cell r="B361" t="str">
            <v>no</v>
          </cell>
        </row>
        <row r="362">
          <cell r="A362" t="str">
            <v>612-36-5536</v>
          </cell>
          <cell r="B362" t="str">
            <v>yes</v>
          </cell>
        </row>
        <row r="363">
          <cell r="A363" t="str">
            <v>605-72-4132</v>
          </cell>
          <cell r="B363" t="str">
            <v>no</v>
          </cell>
        </row>
        <row r="364">
          <cell r="A364" t="str">
            <v>471-41-2823</v>
          </cell>
          <cell r="B364" t="str">
            <v>no</v>
          </cell>
        </row>
        <row r="365">
          <cell r="A365" t="str">
            <v>462-67-9126</v>
          </cell>
          <cell r="B365" t="str">
            <v>no</v>
          </cell>
        </row>
        <row r="366">
          <cell r="A366" t="str">
            <v>272-27-9238</v>
          </cell>
          <cell r="B366" t="str">
            <v>yes</v>
          </cell>
        </row>
        <row r="367">
          <cell r="A367" t="str">
            <v>834-25-9262</v>
          </cell>
          <cell r="B367" t="str">
            <v>no</v>
          </cell>
        </row>
        <row r="368">
          <cell r="A368" t="str">
            <v>122-61-9553</v>
          </cell>
          <cell r="B368" t="str">
            <v>no</v>
          </cell>
        </row>
        <row r="369">
          <cell r="A369" t="str">
            <v>468-88-0009</v>
          </cell>
          <cell r="B369" t="str">
            <v>no</v>
          </cell>
        </row>
        <row r="370">
          <cell r="A370" t="str">
            <v>613-59-9758</v>
          </cell>
          <cell r="B370" t="str">
            <v>yes</v>
          </cell>
        </row>
        <row r="371">
          <cell r="A371" t="str">
            <v>254-31-0042</v>
          </cell>
          <cell r="B371" t="str">
            <v>no</v>
          </cell>
        </row>
        <row r="372">
          <cell r="A372" t="str">
            <v>201-86-2184</v>
          </cell>
          <cell r="B372" t="str">
            <v>no</v>
          </cell>
        </row>
        <row r="373">
          <cell r="A373" t="str">
            <v>261-12-8671</v>
          </cell>
          <cell r="B373" t="str">
            <v>no</v>
          </cell>
        </row>
        <row r="374">
          <cell r="A374" t="str">
            <v>730-70-9830</v>
          </cell>
          <cell r="B374" t="str">
            <v>yes</v>
          </cell>
        </row>
        <row r="375">
          <cell r="A375" t="str">
            <v>382-25-8917</v>
          </cell>
          <cell r="B375" t="str">
            <v>no</v>
          </cell>
        </row>
        <row r="376">
          <cell r="A376" t="str">
            <v>422-29-8786</v>
          </cell>
          <cell r="B376" t="str">
            <v>no</v>
          </cell>
        </row>
        <row r="377">
          <cell r="A377" t="str">
            <v>667-23-5919</v>
          </cell>
          <cell r="B377" t="str">
            <v>no</v>
          </cell>
        </row>
        <row r="378">
          <cell r="A378" t="str">
            <v>843-01-4703</v>
          </cell>
          <cell r="B378" t="str">
            <v>yes</v>
          </cell>
        </row>
        <row r="379">
          <cell r="A379" t="str">
            <v>743-88-1662</v>
          </cell>
          <cell r="B379" t="str">
            <v>no</v>
          </cell>
        </row>
        <row r="380">
          <cell r="A380" t="str">
            <v>595-86-2894</v>
          </cell>
          <cell r="B380" t="str">
            <v>no</v>
          </cell>
        </row>
        <row r="381">
          <cell r="A381" t="str">
            <v>182-69-8360</v>
          </cell>
          <cell r="B381" t="str">
            <v>no</v>
          </cell>
        </row>
        <row r="382">
          <cell r="A382" t="str">
            <v>289-15-7034</v>
          </cell>
          <cell r="B382" t="str">
            <v>yes</v>
          </cell>
        </row>
        <row r="383">
          <cell r="A383" t="str">
            <v>462-78-5240</v>
          </cell>
          <cell r="B383" t="str">
            <v>no</v>
          </cell>
        </row>
        <row r="384">
          <cell r="A384" t="str">
            <v>868-52-7573</v>
          </cell>
          <cell r="B384" t="str">
            <v>no</v>
          </cell>
        </row>
        <row r="385">
          <cell r="A385" t="str">
            <v>153-58-4872</v>
          </cell>
          <cell r="B385" t="str">
            <v>no</v>
          </cell>
        </row>
        <row r="386">
          <cell r="A386" t="str">
            <v>662-72-2873</v>
          </cell>
          <cell r="B386" t="str">
            <v>yes</v>
          </cell>
        </row>
        <row r="387">
          <cell r="A387" t="str">
            <v>525-88-7307</v>
          </cell>
          <cell r="B387" t="str">
            <v>no</v>
          </cell>
        </row>
        <row r="388">
          <cell r="A388" t="str">
            <v>689-16-9784</v>
          </cell>
          <cell r="B388" t="str">
            <v>no</v>
          </cell>
        </row>
        <row r="389">
          <cell r="A389" t="str">
            <v>725-56-0833</v>
          </cell>
          <cell r="B389" t="str">
            <v>no</v>
          </cell>
        </row>
        <row r="390">
          <cell r="A390" t="str">
            <v>394-41-0748</v>
          </cell>
          <cell r="B390" t="str">
            <v>yes</v>
          </cell>
        </row>
        <row r="391">
          <cell r="A391" t="str">
            <v>596-42-3999</v>
          </cell>
          <cell r="B391" t="str">
            <v>no</v>
          </cell>
        </row>
        <row r="392">
          <cell r="A392" t="str">
            <v>541-89-9860</v>
          </cell>
          <cell r="B392" t="str">
            <v>no</v>
          </cell>
        </row>
        <row r="393">
          <cell r="A393" t="str">
            <v>173-82-9529</v>
          </cell>
          <cell r="B393" t="str">
            <v>no</v>
          </cell>
        </row>
        <row r="394">
          <cell r="A394" t="str">
            <v>563-36-9814</v>
          </cell>
          <cell r="B394" t="str">
            <v>yes</v>
          </cell>
        </row>
        <row r="395">
          <cell r="A395" t="str">
            <v>308-47-4913</v>
          </cell>
          <cell r="B395" t="str">
            <v>no</v>
          </cell>
        </row>
        <row r="396">
          <cell r="A396" t="str">
            <v>885-17-6250</v>
          </cell>
          <cell r="B396" t="str">
            <v>no</v>
          </cell>
        </row>
        <row r="397">
          <cell r="A397" t="str">
            <v>726-27-2396</v>
          </cell>
          <cell r="B397" t="str">
            <v>no</v>
          </cell>
        </row>
        <row r="398">
          <cell r="A398" t="str">
            <v>316-01-3952</v>
          </cell>
          <cell r="B398" t="str">
            <v>yes</v>
          </cell>
        </row>
        <row r="399">
          <cell r="A399" t="str">
            <v>760-54-1821</v>
          </cell>
          <cell r="B399" t="str">
            <v>no</v>
          </cell>
        </row>
        <row r="400">
          <cell r="A400" t="str">
            <v>793-10-3222</v>
          </cell>
          <cell r="B400" t="str">
            <v>no</v>
          </cell>
        </row>
        <row r="401">
          <cell r="A401" t="str">
            <v>346-12-3257</v>
          </cell>
          <cell r="B401" t="str">
            <v>no</v>
          </cell>
        </row>
        <row r="402">
          <cell r="A402" t="str">
            <v>110-05-6330</v>
          </cell>
          <cell r="B402" t="str">
            <v>yes</v>
          </cell>
        </row>
        <row r="403">
          <cell r="A403" t="str">
            <v>651-61-0874</v>
          </cell>
          <cell r="B403" t="str">
            <v>no</v>
          </cell>
        </row>
        <row r="404">
          <cell r="A404" t="str">
            <v>236-86-3015</v>
          </cell>
          <cell r="B404" t="str">
            <v>no</v>
          </cell>
        </row>
        <row r="405">
          <cell r="A405" t="str">
            <v>831-64-0259</v>
          </cell>
          <cell r="B405" t="str">
            <v>no</v>
          </cell>
        </row>
        <row r="406">
          <cell r="A406" t="str">
            <v>587-03-7455</v>
          </cell>
          <cell r="B406" t="str">
            <v>yes</v>
          </cell>
        </row>
        <row r="407">
          <cell r="A407" t="str">
            <v>882-40-4577</v>
          </cell>
          <cell r="B407" t="str">
            <v>no</v>
          </cell>
        </row>
        <row r="408">
          <cell r="A408" t="str">
            <v>732-67-5346</v>
          </cell>
          <cell r="B408" t="str">
            <v>no</v>
          </cell>
        </row>
        <row r="409">
          <cell r="A409" t="str">
            <v>725-32-9708</v>
          </cell>
          <cell r="B409" t="str">
            <v>no</v>
          </cell>
        </row>
        <row r="410">
          <cell r="A410" t="str">
            <v>256-08-8343</v>
          </cell>
          <cell r="B410" t="str">
            <v>yes</v>
          </cell>
        </row>
        <row r="411">
          <cell r="A411" t="str">
            <v>372-26-1506</v>
          </cell>
          <cell r="B411" t="str">
            <v>no</v>
          </cell>
        </row>
        <row r="412">
          <cell r="A412" t="str">
            <v>244-08-0162</v>
          </cell>
          <cell r="B412" t="str">
            <v>no</v>
          </cell>
        </row>
        <row r="413">
          <cell r="A413" t="str">
            <v>569-71-4390</v>
          </cell>
          <cell r="B413" t="str">
            <v>no</v>
          </cell>
        </row>
        <row r="414">
          <cell r="A414" t="str">
            <v>132-23-6451</v>
          </cell>
          <cell r="B414" t="str">
            <v>yes</v>
          </cell>
        </row>
        <row r="415">
          <cell r="A415" t="str">
            <v>696-90-2548</v>
          </cell>
          <cell r="B415" t="str">
            <v>no</v>
          </cell>
        </row>
        <row r="416">
          <cell r="A416" t="str">
            <v>472-15-9636</v>
          </cell>
          <cell r="B416" t="str">
            <v>no</v>
          </cell>
        </row>
        <row r="417">
          <cell r="A417" t="str">
            <v>268-03-6164</v>
          </cell>
          <cell r="B417" t="str">
            <v>no</v>
          </cell>
        </row>
        <row r="418">
          <cell r="A418" t="str">
            <v>750-57-9686</v>
          </cell>
          <cell r="B418" t="str">
            <v>yes</v>
          </cell>
        </row>
        <row r="419">
          <cell r="A419" t="str">
            <v>186-09-3669</v>
          </cell>
          <cell r="B419" t="str">
            <v>no</v>
          </cell>
        </row>
        <row r="420">
          <cell r="A420" t="str">
            <v>848-07-1692</v>
          </cell>
          <cell r="B420" t="str">
            <v>no</v>
          </cell>
        </row>
        <row r="421">
          <cell r="A421" t="str">
            <v>745-71-3520</v>
          </cell>
          <cell r="B421" t="str">
            <v>no</v>
          </cell>
        </row>
        <row r="422">
          <cell r="A422" t="str">
            <v>266-76-6436</v>
          </cell>
          <cell r="B422" t="str">
            <v>yes</v>
          </cell>
        </row>
        <row r="423">
          <cell r="A423" t="str">
            <v>740-22-2500</v>
          </cell>
          <cell r="B423" t="str">
            <v>no</v>
          </cell>
        </row>
        <row r="424">
          <cell r="A424" t="str">
            <v>271-88-8734</v>
          </cell>
          <cell r="B424" t="str">
            <v>no</v>
          </cell>
        </row>
        <row r="425">
          <cell r="A425" t="str">
            <v>301-81-8610</v>
          </cell>
          <cell r="B425" t="str">
            <v>no</v>
          </cell>
        </row>
        <row r="426">
          <cell r="A426" t="str">
            <v>489-64-4354</v>
          </cell>
          <cell r="B426" t="str">
            <v>yes</v>
          </cell>
        </row>
        <row r="427">
          <cell r="A427" t="str">
            <v>198-84-7132</v>
          </cell>
          <cell r="B427" t="str">
            <v>no</v>
          </cell>
        </row>
        <row r="428">
          <cell r="A428" t="str">
            <v>269-10-8440</v>
          </cell>
          <cell r="B428" t="str">
            <v>no</v>
          </cell>
        </row>
        <row r="429">
          <cell r="A429" t="str">
            <v>650-98-6268</v>
          </cell>
          <cell r="B429" t="str">
            <v>no</v>
          </cell>
        </row>
        <row r="430">
          <cell r="A430" t="str">
            <v>741-73-3559</v>
          </cell>
          <cell r="B430" t="str">
            <v>yes</v>
          </cell>
        </row>
        <row r="431">
          <cell r="A431" t="str">
            <v>325-77-6186</v>
          </cell>
          <cell r="B431" t="str">
            <v>no</v>
          </cell>
        </row>
        <row r="432">
          <cell r="A432" t="str">
            <v>286-75-7818</v>
          </cell>
          <cell r="B432" t="str">
            <v>no</v>
          </cell>
        </row>
        <row r="433">
          <cell r="A433" t="str">
            <v>574-57-9721</v>
          </cell>
          <cell r="B433" t="str">
            <v>no</v>
          </cell>
        </row>
        <row r="434">
          <cell r="A434" t="str">
            <v>459-50-7686</v>
          </cell>
          <cell r="B434" t="str">
            <v>yes</v>
          </cell>
        </row>
        <row r="435">
          <cell r="A435" t="str">
            <v>616-87-0016</v>
          </cell>
          <cell r="B435" t="str">
            <v>no</v>
          </cell>
        </row>
        <row r="436">
          <cell r="A436" t="str">
            <v>837-55-7229</v>
          </cell>
          <cell r="B436" t="str">
            <v>no</v>
          </cell>
        </row>
        <row r="437">
          <cell r="A437" t="str">
            <v>751-69-0068</v>
          </cell>
          <cell r="B437" t="str">
            <v>no</v>
          </cell>
        </row>
        <row r="438">
          <cell r="A438" t="str">
            <v>257-73-1380</v>
          </cell>
          <cell r="B438" t="str">
            <v>yes</v>
          </cell>
        </row>
        <row r="439">
          <cell r="A439" t="str">
            <v>345-08-4992</v>
          </cell>
          <cell r="B439" t="str">
            <v>no</v>
          </cell>
        </row>
        <row r="440">
          <cell r="A440" t="str">
            <v>549-96-4200</v>
          </cell>
          <cell r="B440" t="str">
            <v>no</v>
          </cell>
        </row>
        <row r="441">
          <cell r="A441" t="str">
            <v>810-60-6344</v>
          </cell>
          <cell r="B441" t="str">
            <v>no</v>
          </cell>
        </row>
        <row r="442">
          <cell r="A442" t="str">
            <v>450-28-2866</v>
          </cell>
          <cell r="B442" t="str">
            <v>yes</v>
          </cell>
        </row>
        <row r="443">
          <cell r="A443" t="str">
            <v>394-30-3170</v>
          </cell>
          <cell r="B443" t="str">
            <v>no</v>
          </cell>
        </row>
        <row r="444">
          <cell r="A444" t="str">
            <v>138-17-5109</v>
          </cell>
          <cell r="B444" t="str">
            <v>no</v>
          </cell>
        </row>
        <row r="445">
          <cell r="A445" t="str">
            <v>192-98-7397</v>
          </cell>
          <cell r="B445" t="str">
            <v>no</v>
          </cell>
        </row>
        <row r="446">
          <cell r="A446" t="str">
            <v>301-11-9629</v>
          </cell>
          <cell r="B446" t="str">
            <v>yes</v>
          </cell>
        </row>
        <row r="447">
          <cell r="A447" t="str">
            <v>390-80-5128</v>
          </cell>
          <cell r="B447" t="str">
            <v>no</v>
          </cell>
        </row>
        <row r="448">
          <cell r="A448" t="str">
            <v>235-46-8343</v>
          </cell>
          <cell r="B448" t="str">
            <v>no</v>
          </cell>
        </row>
        <row r="449">
          <cell r="A449" t="str">
            <v>453-12-7053</v>
          </cell>
          <cell r="B449" t="str">
            <v>no</v>
          </cell>
        </row>
        <row r="450">
          <cell r="A450" t="str">
            <v>296-11-7041</v>
          </cell>
          <cell r="B450" t="str">
            <v>yes</v>
          </cell>
        </row>
        <row r="451">
          <cell r="A451" t="str">
            <v>449-27-2918</v>
          </cell>
          <cell r="B451" t="str">
            <v>no</v>
          </cell>
        </row>
        <row r="452">
          <cell r="A452" t="str">
            <v>891-01-7034</v>
          </cell>
          <cell r="B452" t="str">
            <v>no</v>
          </cell>
        </row>
        <row r="453">
          <cell r="A453" t="str">
            <v>744-09-5786</v>
          </cell>
          <cell r="B453" t="str">
            <v>no</v>
          </cell>
        </row>
        <row r="454">
          <cell r="A454" t="str">
            <v>727-17-0390</v>
          </cell>
          <cell r="B454" t="str">
            <v>yes</v>
          </cell>
        </row>
        <row r="455">
          <cell r="A455" t="str">
            <v>568-88-3448</v>
          </cell>
          <cell r="B455" t="str">
            <v>no</v>
          </cell>
        </row>
        <row r="456">
          <cell r="A456" t="str">
            <v>187-83-5490</v>
          </cell>
          <cell r="B456" t="str">
            <v>no</v>
          </cell>
        </row>
        <row r="457">
          <cell r="A457" t="str">
            <v>767-54-1907</v>
          </cell>
          <cell r="B457" t="str">
            <v>no</v>
          </cell>
        </row>
        <row r="458">
          <cell r="A458" t="str">
            <v>710-46-4433</v>
          </cell>
          <cell r="B458" t="str">
            <v>yes</v>
          </cell>
        </row>
        <row r="459">
          <cell r="A459" t="str">
            <v>533-33-5337</v>
          </cell>
          <cell r="B459" t="str">
            <v>no</v>
          </cell>
        </row>
        <row r="460">
          <cell r="A460" t="str">
            <v>325-90-8763</v>
          </cell>
          <cell r="B460" t="str">
            <v>no</v>
          </cell>
        </row>
        <row r="461">
          <cell r="A461" t="str">
            <v>729-46-7422</v>
          </cell>
          <cell r="B461" t="str">
            <v>no</v>
          </cell>
        </row>
        <row r="462">
          <cell r="A462" t="str">
            <v>639-76-1242</v>
          </cell>
          <cell r="B462" t="str">
            <v>yes</v>
          </cell>
        </row>
        <row r="463">
          <cell r="A463" t="str">
            <v>234-03-4040</v>
          </cell>
          <cell r="B463" t="str">
            <v>no</v>
          </cell>
        </row>
        <row r="464">
          <cell r="A464" t="str">
            <v>326-71-2155</v>
          </cell>
          <cell r="B464" t="str">
            <v>no</v>
          </cell>
        </row>
        <row r="465">
          <cell r="A465" t="str">
            <v>320-32-8842</v>
          </cell>
          <cell r="B465" t="str">
            <v>no</v>
          </cell>
        </row>
        <row r="466">
          <cell r="A466" t="str">
            <v>470-32-9057</v>
          </cell>
          <cell r="B466" t="str">
            <v>yes</v>
          </cell>
        </row>
        <row r="467">
          <cell r="A467" t="str">
            <v>878-30-2331</v>
          </cell>
          <cell r="B467" t="str">
            <v>no</v>
          </cell>
        </row>
        <row r="468">
          <cell r="A468" t="str">
            <v>440-59-5691</v>
          </cell>
          <cell r="B468" t="str">
            <v>no</v>
          </cell>
        </row>
        <row r="469">
          <cell r="A469" t="str">
            <v>554-53-3790</v>
          </cell>
          <cell r="B469" t="str">
            <v>no</v>
          </cell>
        </row>
        <row r="470">
          <cell r="A470" t="str">
            <v>746-19-0921</v>
          </cell>
          <cell r="B470" t="str">
            <v>yes</v>
          </cell>
        </row>
        <row r="471">
          <cell r="A471" t="str">
            <v>233-34-0817</v>
          </cell>
          <cell r="B471" t="str">
            <v>no</v>
          </cell>
        </row>
        <row r="472">
          <cell r="A472" t="str">
            <v>767-05-1286</v>
          </cell>
          <cell r="B472" t="str">
            <v>no</v>
          </cell>
        </row>
        <row r="473">
          <cell r="A473" t="str">
            <v>340-21-9136</v>
          </cell>
          <cell r="B473" t="str">
            <v>no</v>
          </cell>
        </row>
        <row r="474">
          <cell r="A474" t="str">
            <v>405-31-3305</v>
          </cell>
          <cell r="B474" t="str">
            <v>yes</v>
          </cell>
        </row>
        <row r="475">
          <cell r="A475" t="str">
            <v>731-59-7531</v>
          </cell>
          <cell r="B475" t="str">
            <v>no</v>
          </cell>
        </row>
        <row r="476">
          <cell r="A476" t="str">
            <v>676-39-6028</v>
          </cell>
          <cell r="B476" t="str">
            <v>no</v>
          </cell>
        </row>
        <row r="477">
          <cell r="A477" t="str">
            <v>502-05-1910</v>
          </cell>
          <cell r="B477" t="str">
            <v>no</v>
          </cell>
        </row>
        <row r="478">
          <cell r="A478" t="str">
            <v>485-30-8700</v>
          </cell>
          <cell r="B478" t="str">
            <v>yes</v>
          </cell>
        </row>
        <row r="479">
          <cell r="A479" t="str">
            <v>598-47-9715</v>
          </cell>
          <cell r="B479" t="str">
            <v>no</v>
          </cell>
        </row>
        <row r="480">
          <cell r="A480" t="str">
            <v>701-69-8742</v>
          </cell>
          <cell r="B480" t="str">
            <v>no</v>
          </cell>
        </row>
        <row r="481">
          <cell r="A481" t="str">
            <v>575-67-1508</v>
          </cell>
          <cell r="B481" t="str">
            <v>no</v>
          </cell>
        </row>
        <row r="482">
          <cell r="A482" t="str">
            <v>541-08-3113</v>
          </cell>
          <cell r="B482" t="str">
            <v>yes</v>
          </cell>
        </row>
        <row r="483">
          <cell r="A483" t="str">
            <v>246-11-3901</v>
          </cell>
          <cell r="B483" t="str">
            <v>no</v>
          </cell>
        </row>
        <row r="484">
          <cell r="A484" t="str">
            <v>674-15-9296</v>
          </cell>
          <cell r="B484" t="str">
            <v>no</v>
          </cell>
        </row>
        <row r="485">
          <cell r="A485" t="str">
            <v>305-18-3552</v>
          </cell>
          <cell r="B485" t="str">
            <v>no</v>
          </cell>
        </row>
        <row r="486">
          <cell r="A486" t="str">
            <v>493-65-6248</v>
          </cell>
          <cell r="B486" t="str">
            <v>yes</v>
          </cell>
        </row>
        <row r="487">
          <cell r="A487" t="str">
            <v>438-01-4015</v>
          </cell>
          <cell r="B487" t="str">
            <v>no</v>
          </cell>
        </row>
        <row r="488">
          <cell r="A488" t="str">
            <v>709-58-4068</v>
          </cell>
          <cell r="B488" t="str">
            <v>no</v>
          </cell>
        </row>
        <row r="489">
          <cell r="A489" t="str">
            <v>795-49-7276</v>
          </cell>
          <cell r="B489" t="str">
            <v>no</v>
          </cell>
        </row>
        <row r="490">
          <cell r="A490" t="str">
            <v>556-72-8512</v>
          </cell>
          <cell r="B490" t="str">
            <v>yes</v>
          </cell>
        </row>
        <row r="491">
          <cell r="A491" t="str">
            <v>627-95-3243</v>
          </cell>
          <cell r="B491" t="str">
            <v>no</v>
          </cell>
        </row>
        <row r="492">
          <cell r="A492" t="str">
            <v>686-41-0932</v>
          </cell>
          <cell r="B492" t="str">
            <v>no</v>
          </cell>
        </row>
        <row r="493">
          <cell r="A493" t="str">
            <v>510-09-5628</v>
          </cell>
          <cell r="B493" t="str">
            <v>no</v>
          </cell>
        </row>
        <row r="494">
          <cell r="A494" t="str">
            <v>608-04-3797</v>
          </cell>
          <cell r="B494" t="str">
            <v>yes</v>
          </cell>
        </row>
        <row r="495">
          <cell r="A495" t="str">
            <v>148-82-2527</v>
          </cell>
          <cell r="B495" t="str">
            <v>no</v>
          </cell>
        </row>
        <row r="496">
          <cell r="A496" t="str">
            <v>437-53-3084</v>
          </cell>
          <cell r="B496" t="str">
            <v>no</v>
          </cell>
        </row>
        <row r="497">
          <cell r="A497" t="str">
            <v>632-32-4574</v>
          </cell>
          <cell r="B497" t="str">
            <v>no</v>
          </cell>
        </row>
        <row r="498">
          <cell r="A498" t="str">
            <v>556-97-7101</v>
          </cell>
          <cell r="B498" t="str">
            <v>yes</v>
          </cell>
        </row>
        <row r="499">
          <cell r="A499" t="str">
            <v>862-59-8517</v>
          </cell>
          <cell r="B499" t="str">
            <v>no</v>
          </cell>
        </row>
        <row r="500">
          <cell r="A500" t="str">
            <v>401-18-8016</v>
          </cell>
          <cell r="B500" t="str">
            <v>no</v>
          </cell>
        </row>
        <row r="501">
          <cell r="A501" t="str">
            <v>420-18-8989</v>
          </cell>
          <cell r="B501" t="str">
            <v>no</v>
          </cell>
        </row>
        <row r="502">
          <cell r="A502" t="str">
            <v>277-63-2961</v>
          </cell>
          <cell r="B502" t="str">
            <v>yes</v>
          </cell>
        </row>
        <row r="503">
          <cell r="A503" t="str">
            <v>573-98-8548</v>
          </cell>
          <cell r="B503" t="str">
            <v>no</v>
          </cell>
        </row>
        <row r="504">
          <cell r="A504" t="str">
            <v>620-02-2046</v>
          </cell>
          <cell r="B504" t="str">
            <v>no</v>
          </cell>
        </row>
        <row r="505">
          <cell r="A505" t="str">
            <v>282-35-2475</v>
          </cell>
          <cell r="B505" t="str">
            <v>no</v>
          </cell>
        </row>
        <row r="506">
          <cell r="A506" t="str">
            <v>511-54-3087</v>
          </cell>
          <cell r="B506" t="str">
            <v>yes</v>
          </cell>
        </row>
        <row r="507">
          <cell r="A507" t="str">
            <v>726-29-6793</v>
          </cell>
          <cell r="B507" t="str">
            <v>no</v>
          </cell>
        </row>
        <row r="508">
          <cell r="A508" t="str">
            <v>387-49-4215</v>
          </cell>
          <cell r="B508" t="str">
            <v>no</v>
          </cell>
        </row>
        <row r="509">
          <cell r="A509" t="str">
            <v>862-17-9201</v>
          </cell>
          <cell r="B509" t="str">
            <v>no</v>
          </cell>
        </row>
        <row r="510">
          <cell r="A510" t="str">
            <v>291-21-5991</v>
          </cell>
          <cell r="B510" t="str">
            <v>yes</v>
          </cell>
        </row>
        <row r="511">
          <cell r="A511" t="str">
            <v>602-80-9671</v>
          </cell>
          <cell r="B511" t="str">
            <v>no</v>
          </cell>
        </row>
        <row r="512">
          <cell r="A512" t="str">
            <v>347-72-6115</v>
          </cell>
          <cell r="B512" t="str">
            <v>no</v>
          </cell>
        </row>
        <row r="513">
          <cell r="A513" t="str">
            <v>209-61-0206</v>
          </cell>
          <cell r="B513" t="str">
            <v>no</v>
          </cell>
        </row>
        <row r="514">
          <cell r="A514" t="str">
            <v>595-27-4851</v>
          </cell>
          <cell r="B514" t="str">
            <v>yes</v>
          </cell>
        </row>
        <row r="515">
          <cell r="A515" t="str">
            <v>189-52-0236</v>
          </cell>
          <cell r="B515" t="str">
            <v>no</v>
          </cell>
        </row>
        <row r="516">
          <cell r="A516" t="str">
            <v>503-07-0930</v>
          </cell>
          <cell r="B516" t="str">
            <v>no</v>
          </cell>
        </row>
        <row r="517">
          <cell r="A517" t="str">
            <v>413-20-6708</v>
          </cell>
          <cell r="B517" t="str">
            <v>no</v>
          </cell>
        </row>
        <row r="518">
          <cell r="A518" t="str">
            <v>425-85-2085</v>
          </cell>
          <cell r="B518" t="str">
            <v>yes</v>
          </cell>
        </row>
        <row r="519">
          <cell r="A519" t="str">
            <v>521-18-7827</v>
          </cell>
          <cell r="B519" t="str">
            <v>no</v>
          </cell>
        </row>
        <row r="520">
          <cell r="A520" t="str">
            <v>220-28-1851</v>
          </cell>
          <cell r="B520" t="str">
            <v>no</v>
          </cell>
        </row>
        <row r="521">
          <cell r="A521" t="str">
            <v>600-38-9738</v>
          </cell>
          <cell r="B521" t="str">
            <v>no</v>
          </cell>
        </row>
        <row r="522">
          <cell r="A522" t="str">
            <v>734-91-1155</v>
          </cell>
          <cell r="B522" t="str">
            <v>yes</v>
          </cell>
        </row>
        <row r="523">
          <cell r="A523" t="str">
            <v>451-28-5717</v>
          </cell>
          <cell r="B523" t="str">
            <v>no</v>
          </cell>
        </row>
        <row r="524">
          <cell r="A524" t="str">
            <v>609-81-8548</v>
          </cell>
          <cell r="B524" t="str">
            <v>no</v>
          </cell>
        </row>
        <row r="525">
          <cell r="A525" t="str">
            <v>133-14-7229</v>
          </cell>
          <cell r="B525" t="str">
            <v>no</v>
          </cell>
        </row>
        <row r="526">
          <cell r="A526" t="str">
            <v>534-01-4457</v>
          </cell>
          <cell r="B526" t="str">
            <v>yes</v>
          </cell>
        </row>
        <row r="527">
          <cell r="A527" t="str">
            <v>719-89-8991</v>
          </cell>
          <cell r="B527" t="str">
            <v>no</v>
          </cell>
        </row>
        <row r="528">
          <cell r="A528" t="str">
            <v>286-62-6248</v>
          </cell>
          <cell r="B528" t="str">
            <v>no</v>
          </cell>
        </row>
        <row r="529">
          <cell r="A529" t="str">
            <v>339-38-9982</v>
          </cell>
          <cell r="B529" t="str">
            <v>no</v>
          </cell>
        </row>
        <row r="530">
          <cell r="A530" t="str">
            <v>827-44-5872</v>
          </cell>
          <cell r="B530" t="str">
            <v>yes</v>
          </cell>
        </row>
        <row r="531">
          <cell r="A531" t="str">
            <v>827-77-7633</v>
          </cell>
          <cell r="B531" t="str">
            <v>no</v>
          </cell>
        </row>
        <row r="532">
          <cell r="A532" t="str">
            <v>287-83-1405</v>
          </cell>
          <cell r="B532" t="str">
            <v>no</v>
          </cell>
        </row>
        <row r="533">
          <cell r="A533" t="str">
            <v>435-13-4908</v>
          </cell>
          <cell r="B533" t="str">
            <v>no</v>
          </cell>
        </row>
        <row r="534">
          <cell r="A534" t="str">
            <v>857-67-9057</v>
          </cell>
          <cell r="B534" t="str">
            <v>yes</v>
          </cell>
        </row>
        <row r="535">
          <cell r="A535" t="str">
            <v>236-27-1144</v>
          </cell>
          <cell r="B535" t="str">
            <v>no</v>
          </cell>
        </row>
        <row r="536">
          <cell r="A536" t="str">
            <v>892-05-6689</v>
          </cell>
          <cell r="B536" t="str">
            <v>no</v>
          </cell>
        </row>
        <row r="537">
          <cell r="A537" t="str">
            <v>583-41-4548</v>
          </cell>
          <cell r="B537" t="str">
            <v>no</v>
          </cell>
        </row>
        <row r="538">
          <cell r="A538" t="str">
            <v>339-12-4827</v>
          </cell>
          <cell r="B538" t="str">
            <v>yes</v>
          </cell>
        </row>
        <row r="539">
          <cell r="A539" t="str">
            <v>643-38-7867</v>
          </cell>
          <cell r="B539" t="str">
            <v>no</v>
          </cell>
        </row>
        <row r="540">
          <cell r="A540" t="str">
            <v>308-81-0538</v>
          </cell>
          <cell r="B540" t="str">
            <v>no</v>
          </cell>
        </row>
        <row r="541">
          <cell r="A541" t="str">
            <v>358-88-9262</v>
          </cell>
          <cell r="B541" t="str">
            <v>no</v>
          </cell>
        </row>
        <row r="542">
          <cell r="A542" t="str">
            <v>460-35-4390</v>
          </cell>
          <cell r="B542" t="str">
            <v>yes</v>
          </cell>
        </row>
        <row r="543">
          <cell r="A543" t="str">
            <v>343-87-0864</v>
          </cell>
          <cell r="B543" t="str">
            <v>no</v>
          </cell>
        </row>
        <row r="544">
          <cell r="A544" t="str">
            <v>173-50-1108</v>
          </cell>
          <cell r="B544" t="str">
            <v>no</v>
          </cell>
        </row>
        <row r="545">
          <cell r="A545" t="str">
            <v>243-47-2663</v>
          </cell>
          <cell r="B545" t="str">
            <v>no</v>
          </cell>
        </row>
        <row r="546">
          <cell r="A546" t="str">
            <v>841-18-8232</v>
          </cell>
          <cell r="B546" t="str">
            <v>yes</v>
          </cell>
        </row>
        <row r="547">
          <cell r="A547" t="str">
            <v>701-23-5550</v>
          </cell>
          <cell r="B547" t="str">
            <v>no</v>
          </cell>
        </row>
        <row r="548">
          <cell r="A548" t="str">
            <v>647-50-1224</v>
          </cell>
          <cell r="B548" t="str">
            <v>no</v>
          </cell>
        </row>
        <row r="549">
          <cell r="A549" t="str">
            <v>541-48-8554</v>
          </cell>
          <cell r="B549" t="str">
            <v>no</v>
          </cell>
        </row>
        <row r="550">
          <cell r="A550" t="str">
            <v>539-21-7227</v>
          </cell>
          <cell r="B550" t="str">
            <v>yes</v>
          </cell>
        </row>
        <row r="551">
          <cell r="A551" t="str">
            <v>213-32-1216</v>
          </cell>
          <cell r="B551" t="str">
            <v>no</v>
          </cell>
        </row>
        <row r="552">
          <cell r="A552" t="str">
            <v>747-58-7183</v>
          </cell>
          <cell r="B552" t="str">
            <v>no</v>
          </cell>
        </row>
        <row r="553">
          <cell r="A553" t="str">
            <v>582-52-8065</v>
          </cell>
          <cell r="B553" t="str">
            <v>no</v>
          </cell>
        </row>
        <row r="554">
          <cell r="A554" t="str">
            <v>210-57-1719</v>
          </cell>
          <cell r="B554" t="str">
            <v>yes</v>
          </cell>
        </row>
        <row r="555">
          <cell r="A555" t="str">
            <v>399-69-4630</v>
          </cell>
          <cell r="B555" t="str">
            <v>no</v>
          </cell>
        </row>
        <row r="556">
          <cell r="A556" t="str">
            <v>134-75-2619</v>
          </cell>
          <cell r="B556" t="str">
            <v>no</v>
          </cell>
        </row>
        <row r="557">
          <cell r="A557" t="str">
            <v>356-44-8813</v>
          </cell>
          <cell r="B557" t="str">
            <v>no</v>
          </cell>
        </row>
        <row r="558">
          <cell r="A558" t="str">
            <v>198-66-9832</v>
          </cell>
          <cell r="B558" t="str">
            <v>yes</v>
          </cell>
        </row>
        <row r="559">
          <cell r="A559" t="str">
            <v>283-26-5248</v>
          </cell>
          <cell r="B559" t="str">
            <v>no</v>
          </cell>
        </row>
        <row r="560">
          <cell r="A560" t="str">
            <v>712-39-0363</v>
          </cell>
          <cell r="B560" t="str">
            <v>no</v>
          </cell>
        </row>
        <row r="561">
          <cell r="A561" t="str">
            <v>218-59-9410</v>
          </cell>
          <cell r="B561" t="str">
            <v>no</v>
          </cell>
        </row>
        <row r="562">
          <cell r="A562" t="str">
            <v>174-75-0888</v>
          </cell>
          <cell r="B562" t="str">
            <v>yes</v>
          </cell>
        </row>
        <row r="563">
          <cell r="A563" t="str">
            <v>866-99-7614</v>
          </cell>
          <cell r="B563" t="str">
            <v>no</v>
          </cell>
        </row>
        <row r="564">
          <cell r="A564" t="str">
            <v>134-54-4720</v>
          </cell>
          <cell r="B564" t="str">
            <v>no</v>
          </cell>
        </row>
        <row r="565">
          <cell r="A565" t="str">
            <v>760-90-2357</v>
          </cell>
          <cell r="B565" t="str">
            <v>no</v>
          </cell>
        </row>
        <row r="566">
          <cell r="A566" t="str">
            <v>514-37-2845</v>
          </cell>
          <cell r="B566" t="str">
            <v>yes</v>
          </cell>
        </row>
        <row r="567">
          <cell r="A567" t="str">
            <v>698-98-5964</v>
          </cell>
          <cell r="B567" t="str">
            <v>no</v>
          </cell>
        </row>
        <row r="568">
          <cell r="A568" t="str">
            <v>718-57-9773</v>
          </cell>
          <cell r="B568" t="str">
            <v>no</v>
          </cell>
        </row>
        <row r="569">
          <cell r="A569" t="str">
            <v>651-88-7328</v>
          </cell>
          <cell r="B569" t="str">
            <v>no</v>
          </cell>
        </row>
        <row r="570">
          <cell r="A570" t="str">
            <v>241-11-2261</v>
          </cell>
          <cell r="B570" t="str">
            <v>yes</v>
          </cell>
        </row>
        <row r="571">
          <cell r="A571" t="str">
            <v>408-26-9866</v>
          </cell>
          <cell r="B571" t="str">
            <v>no</v>
          </cell>
        </row>
        <row r="572">
          <cell r="A572" t="str">
            <v>834-83-1826</v>
          </cell>
          <cell r="B572" t="str">
            <v>no</v>
          </cell>
        </row>
        <row r="573">
          <cell r="A573" t="str">
            <v>343-61-3544</v>
          </cell>
          <cell r="B573" t="str">
            <v>no</v>
          </cell>
        </row>
        <row r="574">
          <cell r="A574" t="str">
            <v>239-48-4278</v>
          </cell>
          <cell r="B574" t="str">
            <v>yes</v>
          </cell>
        </row>
        <row r="575">
          <cell r="A575" t="str">
            <v>355-34-6244</v>
          </cell>
          <cell r="B575" t="str">
            <v>no</v>
          </cell>
        </row>
        <row r="576">
          <cell r="A576" t="str">
            <v>550-84-8664</v>
          </cell>
          <cell r="B576" t="str">
            <v>no</v>
          </cell>
        </row>
        <row r="577">
          <cell r="A577" t="str">
            <v>339-96-8318</v>
          </cell>
          <cell r="B577" t="str">
            <v>no</v>
          </cell>
        </row>
        <row r="578">
          <cell r="A578" t="str">
            <v>458-61-0011</v>
          </cell>
          <cell r="B578" t="str">
            <v>yes</v>
          </cell>
        </row>
        <row r="579">
          <cell r="A579" t="str">
            <v>592-34-6155</v>
          </cell>
          <cell r="B579" t="str">
            <v>no</v>
          </cell>
        </row>
        <row r="580">
          <cell r="A580" t="str">
            <v>797-88-0493</v>
          </cell>
          <cell r="B580" t="str">
            <v>no</v>
          </cell>
        </row>
        <row r="581">
          <cell r="A581" t="str">
            <v>207-73-1363</v>
          </cell>
          <cell r="B581" t="str">
            <v>no</v>
          </cell>
        </row>
        <row r="582">
          <cell r="A582" t="str">
            <v>390-31-6381</v>
          </cell>
          <cell r="B582" t="str">
            <v>yes</v>
          </cell>
        </row>
        <row r="583">
          <cell r="A583" t="str">
            <v>443-82-0585</v>
          </cell>
          <cell r="B583" t="str">
            <v>no</v>
          </cell>
        </row>
        <row r="584">
          <cell r="A584" t="str">
            <v>339-18-7061</v>
          </cell>
          <cell r="B584" t="str">
            <v>no</v>
          </cell>
        </row>
        <row r="585">
          <cell r="A585" t="str">
            <v>359-90-3665</v>
          </cell>
          <cell r="B585" t="str">
            <v>no</v>
          </cell>
        </row>
        <row r="586">
          <cell r="A586" t="str">
            <v>375-72-3056</v>
          </cell>
          <cell r="B586" t="str">
            <v>yes</v>
          </cell>
        </row>
        <row r="587">
          <cell r="A587" t="str">
            <v>127-47-6963</v>
          </cell>
          <cell r="B587" t="str">
            <v>no</v>
          </cell>
        </row>
        <row r="588">
          <cell r="A588" t="str">
            <v>278-86-2735</v>
          </cell>
          <cell r="B588" t="str">
            <v>no</v>
          </cell>
        </row>
        <row r="589">
          <cell r="A589" t="str">
            <v>695-28-6250</v>
          </cell>
          <cell r="B589" t="str">
            <v>no</v>
          </cell>
        </row>
        <row r="590">
          <cell r="A590" t="str">
            <v>379-17-6588</v>
          </cell>
          <cell r="B590" t="str">
            <v>yes</v>
          </cell>
        </row>
        <row r="591">
          <cell r="A591" t="str">
            <v>227-50-3718</v>
          </cell>
          <cell r="B591" t="str">
            <v>no</v>
          </cell>
        </row>
        <row r="592">
          <cell r="A592" t="str">
            <v>302-15-2162</v>
          </cell>
          <cell r="B592" t="str">
            <v>no</v>
          </cell>
        </row>
        <row r="593">
          <cell r="A593" t="str">
            <v>788-07-8452</v>
          </cell>
          <cell r="B593" t="str">
            <v>no</v>
          </cell>
        </row>
        <row r="594">
          <cell r="A594" t="str">
            <v>560-49-6611</v>
          </cell>
          <cell r="B594" t="str">
            <v>yes</v>
          </cell>
        </row>
        <row r="595">
          <cell r="A595" t="str">
            <v>880-35-0356</v>
          </cell>
          <cell r="B595" t="str">
            <v>no</v>
          </cell>
        </row>
        <row r="596">
          <cell r="A596" t="str">
            <v>585-11-6748</v>
          </cell>
          <cell r="B596" t="str">
            <v>no</v>
          </cell>
        </row>
        <row r="597">
          <cell r="A597" t="str">
            <v>470-31-3286</v>
          </cell>
          <cell r="B597" t="str">
            <v>no</v>
          </cell>
        </row>
        <row r="598">
          <cell r="A598" t="str">
            <v>152-68-2907</v>
          </cell>
          <cell r="B598" t="str">
            <v>yes</v>
          </cell>
        </row>
        <row r="599">
          <cell r="A599" t="str">
            <v>123-35-4896</v>
          </cell>
          <cell r="B599" t="str">
            <v>no</v>
          </cell>
        </row>
        <row r="600">
          <cell r="A600" t="str">
            <v>258-69-7810</v>
          </cell>
          <cell r="B600" t="str">
            <v>no</v>
          </cell>
        </row>
        <row r="601">
          <cell r="A601" t="str">
            <v>334-64-2006</v>
          </cell>
          <cell r="B601" t="str">
            <v>no</v>
          </cell>
        </row>
        <row r="602">
          <cell r="A602" t="str">
            <v>219-61-4139</v>
          </cell>
          <cell r="B602" t="str">
            <v>yes</v>
          </cell>
        </row>
        <row r="603">
          <cell r="A603" t="str">
            <v>881-41-7302</v>
          </cell>
          <cell r="B603" t="str">
            <v>no</v>
          </cell>
        </row>
        <row r="604">
          <cell r="A604" t="str">
            <v>373-09-4567</v>
          </cell>
          <cell r="B604" t="str">
            <v>no</v>
          </cell>
        </row>
        <row r="605">
          <cell r="A605" t="str">
            <v>642-30-6693</v>
          </cell>
          <cell r="B605" t="str">
            <v>no</v>
          </cell>
        </row>
        <row r="606">
          <cell r="A606" t="str">
            <v>484-22-8230</v>
          </cell>
          <cell r="B606" t="str">
            <v>yes</v>
          </cell>
        </row>
        <row r="607">
          <cell r="A607" t="str">
            <v>830-58-2383</v>
          </cell>
          <cell r="B607" t="str">
            <v>no</v>
          </cell>
        </row>
        <row r="608">
          <cell r="A608" t="str">
            <v>559-98-9873</v>
          </cell>
          <cell r="B608" t="str">
            <v>no</v>
          </cell>
        </row>
        <row r="609">
          <cell r="A609" t="str">
            <v>544-32-5024</v>
          </cell>
          <cell r="B609" t="str">
            <v>no</v>
          </cell>
        </row>
        <row r="610">
          <cell r="A610" t="str">
            <v>318-12-0304</v>
          </cell>
          <cell r="B610" t="str">
            <v>yes</v>
          </cell>
        </row>
        <row r="611">
          <cell r="A611" t="str">
            <v>349-97-8902</v>
          </cell>
          <cell r="B611" t="str">
            <v>no</v>
          </cell>
        </row>
        <row r="612">
          <cell r="A612" t="str">
            <v>421-95-9805</v>
          </cell>
          <cell r="B612" t="str">
            <v>no</v>
          </cell>
        </row>
        <row r="613">
          <cell r="A613" t="str">
            <v>277-35-5865</v>
          </cell>
          <cell r="B613" t="str">
            <v>no</v>
          </cell>
        </row>
        <row r="614">
          <cell r="A614" t="str">
            <v>789-23-8625</v>
          </cell>
          <cell r="B614" t="str">
            <v>yes</v>
          </cell>
        </row>
        <row r="615">
          <cell r="A615" t="str">
            <v>284-54-4231</v>
          </cell>
          <cell r="B615" t="str">
            <v>no</v>
          </cell>
        </row>
        <row r="616">
          <cell r="A616" t="str">
            <v>443-59-0061</v>
          </cell>
          <cell r="B616" t="str">
            <v>no</v>
          </cell>
        </row>
        <row r="617">
          <cell r="A617" t="str">
            <v>509-29-3912</v>
          </cell>
          <cell r="B617" t="str">
            <v>no</v>
          </cell>
        </row>
        <row r="618">
          <cell r="A618" t="str">
            <v>327-40-9673</v>
          </cell>
          <cell r="B618" t="str">
            <v>yes</v>
          </cell>
        </row>
        <row r="619">
          <cell r="A619" t="str">
            <v>840-19-2096</v>
          </cell>
          <cell r="B619" t="str">
            <v>no</v>
          </cell>
        </row>
        <row r="620">
          <cell r="A620" t="str">
            <v>828-46-6863</v>
          </cell>
          <cell r="B620" t="str">
            <v>no</v>
          </cell>
        </row>
        <row r="621">
          <cell r="A621" t="str">
            <v>641-96-3695</v>
          </cell>
          <cell r="B621" t="str">
            <v>no</v>
          </cell>
        </row>
        <row r="622">
          <cell r="A622" t="str">
            <v>420-97-3340</v>
          </cell>
          <cell r="B622" t="str">
            <v>yes</v>
          </cell>
        </row>
        <row r="623">
          <cell r="A623" t="str">
            <v>436-54-4512</v>
          </cell>
          <cell r="B623" t="str">
            <v>no</v>
          </cell>
        </row>
        <row r="624">
          <cell r="A624" t="str">
            <v>670-79-6321</v>
          </cell>
          <cell r="B624" t="str">
            <v>no</v>
          </cell>
        </row>
        <row r="625">
          <cell r="A625" t="str">
            <v>852-62-7105</v>
          </cell>
          <cell r="B625" t="str">
            <v>no</v>
          </cell>
        </row>
        <row r="626">
          <cell r="A626" t="str">
            <v>598-06-7312</v>
          </cell>
          <cell r="B626" t="str">
            <v>yes</v>
          </cell>
        </row>
        <row r="627">
          <cell r="A627" t="str">
            <v>135-13-8269</v>
          </cell>
          <cell r="B627" t="str">
            <v>no</v>
          </cell>
        </row>
        <row r="628">
          <cell r="A628" t="str">
            <v>816-57-2053</v>
          </cell>
          <cell r="B628" t="str">
            <v>no</v>
          </cell>
        </row>
        <row r="629">
          <cell r="A629" t="str">
            <v>628-90-8624</v>
          </cell>
          <cell r="B629" t="str">
            <v>no</v>
          </cell>
        </row>
        <row r="630">
          <cell r="A630" t="str">
            <v>856-66-2701</v>
          </cell>
          <cell r="B630" t="str">
            <v>yes</v>
          </cell>
        </row>
        <row r="631">
          <cell r="A631" t="str">
            <v>308-39-1707</v>
          </cell>
          <cell r="B631" t="str">
            <v>no</v>
          </cell>
        </row>
        <row r="632">
          <cell r="A632" t="str">
            <v>149-61-1929</v>
          </cell>
          <cell r="B632" t="str">
            <v>no</v>
          </cell>
        </row>
        <row r="633">
          <cell r="A633" t="str">
            <v>655-07-2265</v>
          </cell>
          <cell r="B633" t="str">
            <v>no</v>
          </cell>
        </row>
        <row r="634">
          <cell r="A634" t="str">
            <v>589-02-8023</v>
          </cell>
          <cell r="B634" t="str">
            <v>yes</v>
          </cell>
        </row>
        <row r="635">
          <cell r="A635" t="str">
            <v>420-04-7590</v>
          </cell>
          <cell r="B635" t="str">
            <v>no</v>
          </cell>
        </row>
        <row r="636">
          <cell r="A636" t="str">
            <v>182-88-2763</v>
          </cell>
          <cell r="B636" t="str">
            <v>no</v>
          </cell>
        </row>
        <row r="637">
          <cell r="A637" t="str">
            <v>188-55-0967</v>
          </cell>
          <cell r="B637" t="str">
            <v>no</v>
          </cell>
        </row>
        <row r="638">
          <cell r="A638" t="str">
            <v>610-46-4100</v>
          </cell>
          <cell r="B638" t="str">
            <v>yes</v>
          </cell>
        </row>
        <row r="639">
          <cell r="A639" t="str">
            <v>318-81-2368</v>
          </cell>
          <cell r="B639" t="str">
            <v>no</v>
          </cell>
        </row>
        <row r="640">
          <cell r="A640" t="str">
            <v>364-33-8584</v>
          </cell>
          <cell r="B640" t="str">
            <v>no</v>
          </cell>
        </row>
        <row r="641">
          <cell r="A641" t="str">
            <v>665-63-9737</v>
          </cell>
          <cell r="B641" t="str">
            <v>no</v>
          </cell>
        </row>
        <row r="642">
          <cell r="A642" t="str">
            <v>695-09-5146</v>
          </cell>
          <cell r="B642" t="str">
            <v>yes</v>
          </cell>
        </row>
        <row r="643">
          <cell r="A643" t="str">
            <v>155-45-3814</v>
          </cell>
          <cell r="B643" t="str">
            <v>no</v>
          </cell>
        </row>
        <row r="644">
          <cell r="A644" t="str">
            <v>794-32-2436</v>
          </cell>
          <cell r="B644" t="str">
            <v>no</v>
          </cell>
        </row>
        <row r="645">
          <cell r="A645" t="str">
            <v>131-15-8856</v>
          </cell>
          <cell r="B645" t="str">
            <v>no</v>
          </cell>
        </row>
        <row r="646">
          <cell r="A646" t="str">
            <v>273-84-2164</v>
          </cell>
          <cell r="B646" t="str">
            <v>yes</v>
          </cell>
        </row>
        <row r="647">
          <cell r="A647" t="str">
            <v>706-36-6154</v>
          </cell>
          <cell r="B647" t="str">
            <v>no</v>
          </cell>
        </row>
        <row r="648">
          <cell r="A648" t="str">
            <v>778-89-7974</v>
          </cell>
          <cell r="B648" t="str">
            <v>no</v>
          </cell>
        </row>
        <row r="649">
          <cell r="A649" t="str">
            <v>574-31-8277</v>
          </cell>
          <cell r="B649" t="str">
            <v>no</v>
          </cell>
        </row>
        <row r="650">
          <cell r="A650" t="str">
            <v>859-71-0933</v>
          </cell>
          <cell r="B650" t="str">
            <v>yes</v>
          </cell>
        </row>
        <row r="651">
          <cell r="A651" t="str">
            <v>740-11-5257</v>
          </cell>
          <cell r="B651" t="str">
            <v>no</v>
          </cell>
        </row>
        <row r="652">
          <cell r="A652" t="str">
            <v>369-82-2676</v>
          </cell>
          <cell r="B652" t="str">
            <v>no</v>
          </cell>
        </row>
        <row r="653">
          <cell r="A653" t="str">
            <v>563-47-4072</v>
          </cell>
          <cell r="B653" t="str">
            <v>no</v>
          </cell>
        </row>
        <row r="654">
          <cell r="A654" t="str">
            <v>742-04-5161</v>
          </cell>
          <cell r="B654" t="str">
            <v>yes</v>
          </cell>
        </row>
        <row r="655">
          <cell r="A655" t="str">
            <v>149-15-7606</v>
          </cell>
          <cell r="B655" t="str">
            <v>no</v>
          </cell>
        </row>
        <row r="656">
          <cell r="A656" t="str">
            <v>133-77-3154</v>
          </cell>
          <cell r="B656" t="str">
            <v>no</v>
          </cell>
        </row>
        <row r="657">
          <cell r="A657" t="str">
            <v>169-52-4504</v>
          </cell>
          <cell r="B657" t="str">
            <v>no</v>
          </cell>
        </row>
        <row r="658">
          <cell r="A658" t="str">
            <v>250-81-7186</v>
          </cell>
          <cell r="B658" t="str">
            <v>yes</v>
          </cell>
        </row>
        <row r="659">
          <cell r="A659" t="str">
            <v>562-12-5430</v>
          </cell>
          <cell r="B659" t="str">
            <v>no</v>
          </cell>
        </row>
        <row r="660">
          <cell r="A660" t="str">
            <v>816-72-8853</v>
          </cell>
          <cell r="B660" t="str">
            <v>no</v>
          </cell>
        </row>
        <row r="661">
          <cell r="A661" t="str">
            <v>491-38-3499</v>
          </cell>
          <cell r="B661" t="str">
            <v>no</v>
          </cell>
        </row>
        <row r="662">
          <cell r="A662" t="str">
            <v>322-02-2271</v>
          </cell>
          <cell r="B662" t="str">
            <v>yes</v>
          </cell>
        </row>
        <row r="663">
          <cell r="A663" t="str">
            <v>842-29-4695</v>
          </cell>
          <cell r="B663" t="str">
            <v>no</v>
          </cell>
        </row>
        <row r="664">
          <cell r="A664" t="str">
            <v>725-67-2480</v>
          </cell>
          <cell r="B664" t="str">
            <v>no</v>
          </cell>
        </row>
        <row r="665">
          <cell r="A665" t="str">
            <v>641-51-2661</v>
          </cell>
          <cell r="B665" t="str">
            <v>no</v>
          </cell>
        </row>
        <row r="666">
          <cell r="A666" t="str">
            <v>714-02-3114</v>
          </cell>
          <cell r="B666" t="str">
            <v>yes</v>
          </cell>
        </row>
        <row r="667">
          <cell r="A667" t="str">
            <v>518-17-2983</v>
          </cell>
          <cell r="B667" t="str">
            <v>no</v>
          </cell>
        </row>
        <row r="668">
          <cell r="A668" t="str">
            <v>779-42-2410</v>
          </cell>
          <cell r="B668" t="str">
            <v>no</v>
          </cell>
        </row>
        <row r="669">
          <cell r="A669" t="str">
            <v>190-14-3147</v>
          </cell>
          <cell r="B669" t="str">
            <v>no</v>
          </cell>
        </row>
        <row r="670">
          <cell r="A670" t="str">
            <v>408-66-6712</v>
          </cell>
          <cell r="B670" t="str">
            <v>yes</v>
          </cell>
        </row>
        <row r="671">
          <cell r="A671" t="str">
            <v>679-22-6530</v>
          </cell>
          <cell r="B671" t="str">
            <v>no</v>
          </cell>
        </row>
        <row r="672">
          <cell r="A672" t="str">
            <v>588-47-8641</v>
          </cell>
          <cell r="B672" t="str">
            <v>no</v>
          </cell>
        </row>
        <row r="673">
          <cell r="A673" t="str">
            <v>642-61-4706</v>
          </cell>
          <cell r="B673" t="str">
            <v>no</v>
          </cell>
        </row>
        <row r="674">
          <cell r="A674" t="str">
            <v>576-31-4774</v>
          </cell>
          <cell r="B674" t="str">
            <v>yes</v>
          </cell>
        </row>
        <row r="675">
          <cell r="A675" t="str">
            <v>556-41-6224</v>
          </cell>
          <cell r="B675" t="str">
            <v>no</v>
          </cell>
        </row>
        <row r="676">
          <cell r="A676" t="str">
            <v>811-03-8790</v>
          </cell>
          <cell r="B676" t="str">
            <v>no</v>
          </cell>
        </row>
        <row r="677">
          <cell r="A677" t="str">
            <v>242-11-3142</v>
          </cell>
          <cell r="B677" t="str">
            <v>no</v>
          </cell>
        </row>
        <row r="678">
          <cell r="A678" t="str">
            <v>752-23-3760</v>
          </cell>
          <cell r="B678" t="str">
            <v>yes</v>
          </cell>
        </row>
        <row r="679">
          <cell r="A679" t="str">
            <v>274-05-5470</v>
          </cell>
          <cell r="B679" t="str">
            <v>no</v>
          </cell>
        </row>
        <row r="680">
          <cell r="A680" t="str">
            <v>648-94-3045</v>
          </cell>
          <cell r="B680" t="str">
            <v>no</v>
          </cell>
        </row>
        <row r="681">
          <cell r="A681" t="str">
            <v>130-67-4723</v>
          </cell>
          <cell r="B681" t="str">
            <v>no</v>
          </cell>
        </row>
        <row r="682">
          <cell r="A682" t="str">
            <v>528-87-5606</v>
          </cell>
          <cell r="B682" t="str">
            <v>yes</v>
          </cell>
        </row>
        <row r="683">
          <cell r="A683" t="str">
            <v>320-85-2052</v>
          </cell>
          <cell r="B683" t="str">
            <v>no</v>
          </cell>
        </row>
        <row r="684">
          <cell r="A684" t="str">
            <v>370-96-0655</v>
          </cell>
          <cell r="B684" t="str">
            <v>no</v>
          </cell>
        </row>
        <row r="685">
          <cell r="A685" t="str">
            <v>105-10-6182</v>
          </cell>
          <cell r="B685" t="str">
            <v>no</v>
          </cell>
        </row>
        <row r="686">
          <cell r="A686" t="str">
            <v>510-79-0415</v>
          </cell>
          <cell r="B686" t="str">
            <v>yes</v>
          </cell>
        </row>
        <row r="687">
          <cell r="A687" t="str">
            <v>241-96-5076</v>
          </cell>
          <cell r="B687" t="str">
            <v>no</v>
          </cell>
        </row>
        <row r="688">
          <cell r="A688" t="str">
            <v>767-97-4650</v>
          </cell>
          <cell r="B688" t="str">
            <v>no</v>
          </cell>
        </row>
        <row r="689">
          <cell r="A689" t="str">
            <v>648-83-1321</v>
          </cell>
          <cell r="B689" t="str">
            <v>no</v>
          </cell>
        </row>
        <row r="690">
          <cell r="A690" t="str">
            <v>173-57-2300</v>
          </cell>
          <cell r="B690" t="str">
            <v>yes</v>
          </cell>
        </row>
        <row r="691">
          <cell r="A691" t="str">
            <v>305-03-2383</v>
          </cell>
          <cell r="B691" t="str">
            <v>no</v>
          </cell>
        </row>
        <row r="692">
          <cell r="A692" t="str">
            <v>394-55-6384</v>
          </cell>
          <cell r="B692" t="str">
            <v>no</v>
          </cell>
        </row>
        <row r="693">
          <cell r="A693" t="str">
            <v>266-20-6657</v>
          </cell>
          <cell r="B693" t="str">
            <v>no</v>
          </cell>
        </row>
        <row r="694">
          <cell r="A694" t="str">
            <v>689-05-1884</v>
          </cell>
          <cell r="B694" t="str">
            <v>yes</v>
          </cell>
        </row>
        <row r="695">
          <cell r="A695" t="str">
            <v>196-01-2849</v>
          </cell>
          <cell r="B695" t="str">
            <v>no</v>
          </cell>
        </row>
        <row r="696">
          <cell r="A696" t="str">
            <v>372-62-5264</v>
          </cell>
          <cell r="B696" t="str">
            <v>no</v>
          </cell>
        </row>
        <row r="697">
          <cell r="A697" t="str">
            <v>800-09-8606</v>
          </cell>
          <cell r="B697" t="str">
            <v>no</v>
          </cell>
        </row>
        <row r="698">
          <cell r="A698" t="str">
            <v>182-52-7000</v>
          </cell>
          <cell r="B698" t="str">
            <v>yes</v>
          </cell>
        </row>
        <row r="699">
          <cell r="A699" t="str">
            <v>826-58-8051</v>
          </cell>
          <cell r="B699" t="str">
            <v>no</v>
          </cell>
        </row>
        <row r="700">
          <cell r="A700" t="str">
            <v>868-06-0466</v>
          </cell>
          <cell r="B700" t="str">
            <v>no</v>
          </cell>
        </row>
        <row r="701">
          <cell r="A701" t="str">
            <v>751-41-9720</v>
          </cell>
          <cell r="B701" t="str">
            <v>no</v>
          </cell>
        </row>
        <row r="702">
          <cell r="A702" t="str">
            <v>626-43-7888</v>
          </cell>
          <cell r="B702" t="str">
            <v>yes</v>
          </cell>
        </row>
        <row r="703">
          <cell r="A703" t="str">
            <v>176-64-7711</v>
          </cell>
          <cell r="B703" t="str">
            <v>no</v>
          </cell>
        </row>
        <row r="704">
          <cell r="A704" t="str">
            <v>191-29-0321</v>
          </cell>
          <cell r="B704" t="str">
            <v>no</v>
          </cell>
        </row>
        <row r="705">
          <cell r="A705" t="str">
            <v>729-06-2010</v>
          </cell>
          <cell r="B705" t="str">
            <v>no</v>
          </cell>
        </row>
        <row r="706">
          <cell r="A706" t="str">
            <v>640-48-5028</v>
          </cell>
          <cell r="B706" t="str">
            <v>yes</v>
          </cell>
        </row>
        <row r="707">
          <cell r="A707" t="str">
            <v>186-79-9562</v>
          </cell>
          <cell r="B707" t="str">
            <v>no</v>
          </cell>
        </row>
        <row r="708">
          <cell r="A708" t="str">
            <v>834-45-5519</v>
          </cell>
          <cell r="B708" t="str">
            <v>no</v>
          </cell>
        </row>
        <row r="709">
          <cell r="A709" t="str">
            <v>162-65-8559</v>
          </cell>
          <cell r="B709" t="str">
            <v>no</v>
          </cell>
        </row>
        <row r="710">
          <cell r="A710" t="str">
            <v>760-27-5490</v>
          </cell>
          <cell r="B710" t="str">
            <v>yes</v>
          </cell>
        </row>
        <row r="711">
          <cell r="A711" t="str">
            <v>445-30-9252</v>
          </cell>
          <cell r="B711" t="str">
            <v>no</v>
          </cell>
        </row>
        <row r="712">
          <cell r="A712" t="str">
            <v>786-94-2700</v>
          </cell>
          <cell r="B712" t="str">
            <v>no</v>
          </cell>
        </row>
        <row r="713">
          <cell r="A713" t="str">
            <v>728-88-7867</v>
          </cell>
          <cell r="B713" t="str">
            <v>no</v>
          </cell>
        </row>
        <row r="714">
          <cell r="A714" t="str">
            <v>183-21-3799</v>
          </cell>
          <cell r="B714" t="str">
            <v>yes</v>
          </cell>
        </row>
        <row r="715">
          <cell r="A715" t="str">
            <v>268-20-3585</v>
          </cell>
          <cell r="B715" t="str">
            <v>no</v>
          </cell>
        </row>
        <row r="716">
          <cell r="A716" t="str">
            <v>735-32-9839</v>
          </cell>
          <cell r="B716" t="str">
            <v>no</v>
          </cell>
        </row>
        <row r="717">
          <cell r="A717" t="str">
            <v>258-92-7466</v>
          </cell>
          <cell r="B717" t="str">
            <v>no</v>
          </cell>
        </row>
        <row r="718">
          <cell r="A718" t="str">
            <v>857-16-3520</v>
          </cell>
          <cell r="B718" t="str">
            <v>yes</v>
          </cell>
        </row>
        <row r="719">
          <cell r="A719" t="str">
            <v>482-17-1179</v>
          </cell>
          <cell r="B719" t="str">
            <v>no</v>
          </cell>
        </row>
        <row r="720">
          <cell r="A720" t="str">
            <v>788-21-5741</v>
          </cell>
          <cell r="B720" t="str">
            <v>no</v>
          </cell>
        </row>
        <row r="721">
          <cell r="A721" t="str">
            <v>821-14-9046</v>
          </cell>
          <cell r="B721" t="str">
            <v>no</v>
          </cell>
        </row>
        <row r="722">
          <cell r="A722" t="str">
            <v>418-05-0656</v>
          </cell>
          <cell r="B722" t="str">
            <v>yes</v>
          </cell>
        </row>
        <row r="723">
          <cell r="A723" t="str">
            <v>678-79-0726</v>
          </cell>
          <cell r="B723" t="str">
            <v>no</v>
          </cell>
        </row>
        <row r="724">
          <cell r="A724" t="str">
            <v>776-68-1096</v>
          </cell>
          <cell r="B724" t="str">
            <v>no</v>
          </cell>
        </row>
        <row r="725">
          <cell r="A725" t="str">
            <v>592-46-1692</v>
          </cell>
          <cell r="B725" t="str">
            <v>no</v>
          </cell>
        </row>
        <row r="726">
          <cell r="A726" t="str">
            <v>434-35-9162</v>
          </cell>
          <cell r="B726" t="str">
            <v>yes</v>
          </cell>
        </row>
        <row r="727">
          <cell r="A727" t="str">
            <v>149-14-0304</v>
          </cell>
          <cell r="B727" t="str">
            <v>no</v>
          </cell>
        </row>
        <row r="728">
          <cell r="A728" t="str">
            <v>442-44-6497</v>
          </cell>
          <cell r="B728" t="str">
            <v>no</v>
          </cell>
        </row>
        <row r="729">
          <cell r="A729" t="str">
            <v>174-64-0215</v>
          </cell>
          <cell r="B729" t="str">
            <v>no</v>
          </cell>
        </row>
        <row r="730">
          <cell r="A730" t="str">
            <v>210-74-9613</v>
          </cell>
          <cell r="B730" t="str">
            <v>yes</v>
          </cell>
        </row>
        <row r="731">
          <cell r="A731" t="str">
            <v>299-29-0180</v>
          </cell>
          <cell r="B731" t="str">
            <v>no</v>
          </cell>
        </row>
        <row r="732">
          <cell r="A732" t="str">
            <v>247-11-2470</v>
          </cell>
          <cell r="B732" t="str">
            <v>no</v>
          </cell>
        </row>
        <row r="733">
          <cell r="A733" t="str">
            <v>635-28-5728</v>
          </cell>
          <cell r="B733" t="str">
            <v>no</v>
          </cell>
        </row>
        <row r="734">
          <cell r="A734" t="str">
            <v>756-49-0168</v>
          </cell>
          <cell r="B734" t="str">
            <v>yes</v>
          </cell>
        </row>
        <row r="735">
          <cell r="A735" t="str">
            <v>438-23-1242</v>
          </cell>
          <cell r="B735" t="str">
            <v>no</v>
          </cell>
        </row>
        <row r="736">
          <cell r="A736" t="str">
            <v>238-45-6950</v>
          </cell>
          <cell r="B736" t="str">
            <v>no</v>
          </cell>
        </row>
        <row r="737">
          <cell r="A737" t="str">
            <v>607-65-2441</v>
          </cell>
          <cell r="B737" t="str">
            <v>no</v>
          </cell>
        </row>
        <row r="738">
          <cell r="A738" t="str">
            <v>386-27-7606</v>
          </cell>
          <cell r="B738" t="str">
            <v>yes</v>
          </cell>
        </row>
        <row r="739">
          <cell r="A739" t="str">
            <v>137-63-5492</v>
          </cell>
          <cell r="B739" t="str">
            <v>no</v>
          </cell>
        </row>
        <row r="740">
          <cell r="A740" t="str">
            <v>197-77-7132</v>
          </cell>
          <cell r="B740" t="str">
            <v>no</v>
          </cell>
        </row>
        <row r="741">
          <cell r="A741" t="str">
            <v>805-86-0265</v>
          </cell>
          <cell r="B741" t="str">
            <v>no</v>
          </cell>
        </row>
        <row r="742">
          <cell r="A742" t="str">
            <v>733-29-1227</v>
          </cell>
          <cell r="B742" t="str">
            <v>yes</v>
          </cell>
        </row>
        <row r="743">
          <cell r="A743" t="str">
            <v>451-73-2711</v>
          </cell>
          <cell r="B743" t="str">
            <v>no</v>
          </cell>
        </row>
        <row r="744">
          <cell r="A744" t="str">
            <v>373-14-0504</v>
          </cell>
          <cell r="B744" t="str">
            <v>no</v>
          </cell>
        </row>
        <row r="745">
          <cell r="A745" t="str">
            <v>546-80-2899</v>
          </cell>
          <cell r="B745" t="str">
            <v>no</v>
          </cell>
        </row>
        <row r="746">
          <cell r="A746" t="str">
            <v>345-68-9016</v>
          </cell>
          <cell r="B746" t="str">
            <v>yes</v>
          </cell>
        </row>
        <row r="747">
          <cell r="A747" t="str">
            <v>390-17-5806</v>
          </cell>
          <cell r="B747" t="str">
            <v>no</v>
          </cell>
        </row>
        <row r="748">
          <cell r="A748" t="str">
            <v>457-13-1708</v>
          </cell>
          <cell r="B748" t="str">
            <v>no</v>
          </cell>
        </row>
        <row r="749">
          <cell r="A749" t="str">
            <v>664-14-2882</v>
          </cell>
          <cell r="B749" t="str">
            <v>no</v>
          </cell>
        </row>
        <row r="750">
          <cell r="A750" t="str">
            <v>487-79-6868</v>
          </cell>
          <cell r="B750" t="str">
            <v>yes</v>
          </cell>
        </row>
        <row r="751">
          <cell r="A751" t="str">
            <v>314-23-4520</v>
          </cell>
          <cell r="B751" t="str">
            <v>no</v>
          </cell>
        </row>
        <row r="752">
          <cell r="A752" t="str">
            <v>210-30-7976</v>
          </cell>
          <cell r="B752" t="str">
            <v>no</v>
          </cell>
        </row>
        <row r="753">
          <cell r="A753" t="str">
            <v>585-86-8361</v>
          </cell>
          <cell r="B753" t="str">
            <v>no</v>
          </cell>
        </row>
        <row r="754">
          <cell r="A754" t="str">
            <v>807-14-7833</v>
          </cell>
          <cell r="B754" t="str">
            <v>yes</v>
          </cell>
        </row>
        <row r="755">
          <cell r="A755" t="str">
            <v>775-72-1988</v>
          </cell>
          <cell r="B755" t="str">
            <v>no</v>
          </cell>
        </row>
        <row r="756">
          <cell r="A756" t="str">
            <v>288-38-3758</v>
          </cell>
          <cell r="B756" t="str">
            <v>no</v>
          </cell>
        </row>
        <row r="757">
          <cell r="A757" t="str">
            <v>652-43-6591</v>
          </cell>
          <cell r="B757" t="str">
            <v>no</v>
          </cell>
        </row>
        <row r="758">
          <cell r="A758" t="str">
            <v>785-96-0615</v>
          </cell>
          <cell r="B758" t="str">
            <v>yes</v>
          </cell>
        </row>
        <row r="759">
          <cell r="A759" t="str">
            <v>406-46-7107</v>
          </cell>
          <cell r="B759" t="str">
            <v>no</v>
          </cell>
        </row>
        <row r="760">
          <cell r="A760" t="str">
            <v>250-17-5703</v>
          </cell>
          <cell r="B760" t="str">
            <v>no</v>
          </cell>
        </row>
        <row r="761">
          <cell r="A761" t="str">
            <v>156-95-3964</v>
          </cell>
          <cell r="B761" t="str">
            <v>no</v>
          </cell>
        </row>
        <row r="762">
          <cell r="A762" t="str">
            <v>842-40-8179</v>
          </cell>
          <cell r="B762" t="str">
            <v>yes</v>
          </cell>
        </row>
        <row r="763">
          <cell r="A763" t="str">
            <v>525-09-8450</v>
          </cell>
          <cell r="B763" t="str">
            <v>no</v>
          </cell>
        </row>
        <row r="764">
          <cell r="A764" t="str">
            <v>410-67-1709</v>
          </cell>
          <cell r="B764" t="str">
            <v>no</v>
          </cell>
        </row>
        <row r="765">
          <cell r="A765" t="str">
            <v>587-73-4862</v>
          </cell>
          <cell r="B765" t="str">
            <v>no</v>
          </cell>
        </row>
        <row r="766">
          <cell r="A766" t="str">
            <v>787-87-2010</v>
          </cell>
          <cell r="B766" t="str">
            <v>yes</v>
          </cell>
        </row>
        <row r="767">
          <cell r="A767" t="str">
            <v>593-14-4239</v>
          </cell>
          <cell r="B767" t="str">
            <v>no</v>
          </cell>
        </row>
        <row r="768">
          <cell r="A768" t="str">
            <v>801-88-0346</v>
          </cell>
          <cell r="B768" t="str">
            <v>no</v>
          </cell>
        </row>
        <row r="769">
          <cell r="A769" t="str">
            <v>388-76-2555</v>
          </cell>
          <cell r="B769" t="str">
            <v>no</v>
          </cell>
        </row>
        <row r="770">
          <cell r="A770" t="str">
            <v>711-31-1234</v>
          </cell>
          <cell r="B770" t="str">
            <v>yes</v>
          </cell>
        </row>
        <row r="771">
          <cell r="A771" t="str">
            <v>886-54-6089</v>
          </cell>
          <cell r="B771" t="str">
            <v>no</v>
          </cell>
        </row>
        <row r="772">
          <cell r="A772" t="str">
            <v>707-32-7409</v>
          </cell>
          <cell r="B772" t="str">
            <v>no</v>
          </cell>
        </row>
        <row r="773">
          <cell r="A773" t="str">
            <v>759-98-4285</v>
          </cell>
          <cell r="B773" t="str">
            <v>no</v>
          </cell>
        </row>
        <row r="774">
          <cell r="A774" t="str">
            <v>201-63-8275</v>
          </cell>
          <cell r="B774" t="str">
            <v>yes</v>
          </cell>
        </row>
        <row r="775">
          <cell r="A775" t="str">
            <v>471-06-8611</v>
          </cell>
          <cell r="B775" t="str">
            <v>no</v>
          </cell>
        </row>
        <row r="776">
          <cell r="A776" t="str">
            <v>200-16-5952</v>
          </cell>
          <cell r="B776" t="str">
            <v>no</v>
          </cell>
        </row>
        <row r="777">
          <cell r="A777" t="str">
            <v>120-54-2248</v>
          </cell>
          <cell r="B777" t="str">
            <v>no</v>
          </cell>
        </row>
        <row r="778">
          <cell r="A778" t="str">
            <v>102-77-2261</v>
          </cell>
          <cell r="B778" t="str">
            <v>yes</v>
          </cell>
        </row>
        <row r="779">
          <cell r="A779" t="str">
            <v>875-31-8302</v>
          </cell>
          <cell r="B779" t="str">
            <v>no</v>
          </cell>
        </row>
        <row r="780">
          <cell r="A780" t="str">
            <v>102-06-2002</v>
          </cell>
          <cell r="B780" t="str">
            <v>no</v>
          </cell>
        </row>
        <row r="781">
          <cell r="A781" t="str">
            <v>457-94-0464</v>
          </cell>
          <cell r="B781" t="str">
            <v>no</v>
          </cell>
        </row>
        <row r="782">
          <cell r="A782" t="str">
            <v>629-42-4133</v>
          </cell>
          <cell r="B782" t="str">
            <v>yes</v>
          </cell>
        </row>
        <row r="783">
          <cell r="A783" t="str">
            <v>534-53-3526</v>
          </cell>
          <cell r="B783" t="str">
            <v>no</v>
          </cell>
        </row>
        <row r="784">
          <cell r="A784" t="str">
            <v>307-04-2070</v>
          </cell>
          <cell r="B784" t="str">
            <v>no</v>
          </cell>
        </row>
        <row r="785">
          <cell r="A785" t="str">
            <v>468-99-7231</v>
          </cell>
          <cell r="B785" t="str">
            <v>no</v>
          </cell>
        </row>
        <row r="786">
          <cell r="A786" t="str">
            <v>516-77-6464</v>
          </cell>
          <cell r="B786" t="str">
            <v>yes</v>
          </cell>
        </row>
        <row r="787">
          <cell r="A787" t="str">
            <v>404-91-5964</v>
          </cell>
          <cell r="B787" t="str">
            <v>no</v>
          </cell>
        </row>
        <row r="788">
          <cell r="A788" t="str">
            <v>886-77-9084</v>
          </cell>
          <cell r="B788" t="str">
            <v>no</v>
          </cell>
        </row>
        <row r="789">
          <cell r="A789" t="str">
            <v>790-38-4466</v>
          </cell>
          <cell r="B789" t="str">
            <v>no</v>
          </cell>
        </row>
        <row r="790">
          <cell r="A790" t="str">
            <v>704-10-4056</v>
          </cell>
          <cell r="B790" t="str">
            <v>yes</v>
          </cell>
        </row>
        <row r="791">
          <cell r="A791" t="str">
            <v>497-37-6538</v>
          </cell>
          <cell r="B791" t="str">
            <v>no</v>
          </cell>
        </row>
        <row r="792">
          <cell r="A792" t="str">
            <v>651-96-5970</v>
          </cell>
          <cell r="B792" t="str">
            <v>no</v>
          </cell>
        </row>
        <row r="793">
          <cell r="A793" t="str">
            <v>400-80-4065</v>
          </cell>
          <cell r="B793" t="str">
            <v>no</v>
          </cell>
        </row>
        <row r="794">
          <cell r="A794" t="str">
            <v>744-16-7898</v>
          </cell>
          <cell r="B794" t="str">
            <v>yes</v>
          </cell>
        </row>
        <row r="795">
          <cell r="A795" t="str">
            <v>263-12-5321</v>
          </cell>
          <cell r="B795" t="str">
            <v>no</v>
          </cell>
        </row>
        <row r="796">
          <cell r="A796" t="str">
            <v>702-72-0487</v>
          </cell>
          <cell r="B796" t="str">
            <v>no</v>
          </cell>
        </row>
        <row r="797">
          <cell r="A797" t="str">
            <v>605-83-1050</v>
          </cell>
          <cell r="B797" t="str">
            <v>no</v>
          </cell>
        </row>
        <row r="798">
          <cell r="A798" t="str">
            <v>443-60-9639</v>
          </cell>
          <cell r="B798" t="str">
            <v>yes</v>
          </cell>
        </row>
        <row r="799">
          <cell r="A799" t="str">
            <v>864-24-7918</v>
          </cell>
          <cell r="B799" t="str">
            <v>no</v>
          </cell>
        </row>
        <row r="800">
          <cell r="A800" t="str">
            <v>359-94-5395</v>
          </cell>
          <cell r="B800" t="str">
            <v>no</v>
          </cell>
        </row>
        <row r="801">
          <cell r="A801" t="str">
            <v>401-09-4232</v>
          </cell>
          <cell r="B801" t="str">
            <v>no</v>
          </cell>
        </row>
        <row r="802">
          <cell r="A802" t="str">
            <v>751-15-6198</v>
          </cell>
          <cell r="B802" t="str">
            <v>yes</v>
          </cell>
        </row>
        <row r="803">
          <cell r="A803" t="str">
            <v>324-41-6833</v>
          </cell>
          <cell r="B803" t="str">
            <v>no</v>
          </cell>
        </row>
        <row r="804">
          <cell r="A804" t="str">
            <v>474-33-8305</v>
          </cell>
          <cell r="B804" t="str">
            <v>no</v>
          </cell>
        </row>
        <row r="805">
          <cell r="A805" t="str">
            <v>759-29-9521</v>
          </cell>
          <cell r="B805" t="str">
            <v>no</v>
          </cell>
        </row>
        <row r="806">
          <cell r="A806" t="str">
            <v>831-81-6575</v>
          </cell>
          <cell r="B806" t="str">
            <v>yes</v>
          </cell>
        </row>
        <row r="807">
          <cell r="A807" t="str">
            <v>220-68-6701</v>
          </cell>
          <cell r="B807" t="str">
            <v>no</v>
          </cell>
        </row>
        <row r="808">
          <cell r="A808" t="str">
            <v>618-34-8551</v>
          </cell>
          <cell r="B808" t="str">
            <v>no</v>
          </cell>
        </row>
        <row r="809">
          <cell r="A809" t="str">
            <v>257-60-7754</v>
          </cell>
          <cell r="B809" t="str">
            <v>no</v>
          </cell>
        </row>
        <row r="810">
          <cell r="A810" t="str">
            <v>559-61-5987</v>
          </cell>
          <cell r="B810" t="str">
            <v>yes</v>
          </cell>
        </row>
        <row r="811">
          <cell r="A811" t="str">
            <v>189-55-2313</v>
          </cell>
          <cell r="B811" t="str">
            <v>no</v>
          </cell>
        </row>
        <row r="812">
          <cell r="A812" t="str">
            <v>565-91-4567</v>
          </cell>
          <cell r="B812" t="str">
            <v>no</v>
          </cell>
        </row>
        <row r="813">
          <cell r="A813" t="str">
            <v>380-60-5336</v>
          </cell>
          <cell r="B813" t="str">
            <v>no</v>
          </cell>
        </row>
        <row r="814">
          <cell r="A814" t="str">
            <v>815-04-6282</v>
          </cell>
          <cell r="B814" t="str">
            <v>yes</v>
          </cell>
        </row>
        <row r="815">
          <cell r="A815" t="str">
            <v>674-56-6360</v>
          </cell>
          <cell r="B815" t="str">
            <v>no</v>
          </cell>
        </row>
        <row r="816">
          <cell r="A816" t="str">
            <v>778-34-2523</v>
          </cell>
          <cell r="B816" t="str">
            <v>no</v>
          </cell>
        </row>
        <row r="817">
          <cell r="A817" t="str">
            <v>499-27-7781</v>
          </cell>
          <cell r="B817" t="str">
            <v>no</v>
          </cell>
        </row>
        <row r="818">
          <cell r="A818" t="str">
            <v>477-59-2456</v>
          </cell>
          <cell r="B818" t="str">
            <v>yes</v>
          </cell>
        </row>
        <row r="819">
          <cell r="A819" t="str">
            <v>832-51-6761</v>
          </cell>
          <cell r="B819" t="str">
            <v>no</v>
          </cell>
        </row>
        <row r="820">
          <cell r="A820" t="str">
            <v>869-11-3082</v>
          </cell>
          <cell r="B820" t="str">
            <v>no</v>
          </cell>
        </row>
        <row r="821">
          <cell r="A821" t="str">
            <v>190-59-3964</v>
          </cell>
          <cell r="B821" t="str">
            <v>no</v>
          </cell>
        </row>
        <row r="822">
          <cell r="A822" t="str">
            <v>366-43-6862</v>
          </cell>
          <cell r="B822" t="str">
            <v>yes</v>
          </cell>
        </row>
        <row r="823">
          <cell r="A823" t="str">
            <v>186-43-8965</v>
          </cell>
          <cell r="B823" t="str">
            <v>no</v>
          </cell>
        </row>
        <row r="824">
          <cell r="A824" t="str">
            <v>784-21-9238</v>
          </cell>
          <cell r="B824" t="str">
            <v>no</v>
          </cell>
        </row>
        <row r="825">
          <cell r="A825" t="str">
            <v>276-75-6884</v>
          </cell>
          <cell r="B825" t="str">
            <v>no</v>
          </cell>
        </row>
        <row r="826">
          <cell r="A826" t="str">
            <v>109-86-4363</v>
          </cell>
          <cell r="B826" t="str">
            <v>yes</v>
          </cell>
        </row>
        <row r="827">
          <cell r="A827" t="str">
            <v>569-76-2760</v>
          </cell>
          <cell r="B827" t="str">
            <v>no</v>
          </cell>
        </row>
        <row r="828">
          <cell r="A828" t="str">
            <v>222-42-0244</v>
          </cell>
          <cell r="B828" t="str">
            <v>no</v>
          </cell>
        </row>
        <row r="829">
          <cell r="A829" t="str">
            <v>760-53-9233</v>
          </cell>
          <cell r="B829" t="str">
            <v>no</v>
          </cell>
        </row>
        <row r="830">
          <cell r="A830" t="str">
            <v>538-22-0304</v>
          </cell>
          <cell r="B830" t="str">
            <v>yes</v>
          </cell>
        </row>
        <row r="831">
          <cell r="A831" t="str">
            <v>416-17-9926</v>
          </cell>
          <cell r="B831" t="str">
            <v>no</v>
          </cell>
        </row>
        <row r="832">
          <cell r="A832" t="str">
            <v>237-44-6163</v>
          </cell>
          <cell r="B832" t="str">
            <v>no</v>
          </cell>
        </row>
        <row r="833">
          <cell r="A833" t="str">
            <v>636-17-0325</v>
          </cell>
          <cell r="B833" t="str">
            <v>no</v>
          </cell>
        </row>
        <row r="834">
          <cell r="A834" t="str">
            <v>343-75-9322</v>
          </cell>
          <cell r="B834" t="str">
            <v>yes</v>
          </cell>
        </row>
        <row r="835">
          <cell r="A835" t="str">
            <v>528-14-9470</v>
          </cell>
          <cell r="B835" t="str">
            <v>no</v>
          </cell>
        </row>
        <row r="836">
          <cell r="A836" t="str">
            <v>427-45-9297</v>
          </cell>
          <cell r="B836" t="str">
            <v>no</v>
          </cell>
        </row>
        <row r="837">
          <cell r="A837" t="str">
            <v>807-34-3742</v>
          </cell>
          <cell r="B837" t="str">
            <v>no</v>
          </cell>
        </row>
        <row r="838">
          <cell r="A838" t="str">
            <v>288-62-1085</v>
          </cell>
          <cell r="B838" t="str">
            <v>yes</v>
          </cell>
        </row>
        <row r="839">
          <cell r="A839" t="str">
            <v>670-71-7306</v>
          </cell>
          <cell r="B839" t="str">
            <v>no</v>
          </cell>
        </row>
        <row r="840">
          <cell r="A840" t="str">
            <v>660-29-7083</v>
          </cell>
          <cell r="B840" t="str">
            <v>no</v>
          </cell>
        </row>
        <row r="841">
          <cell r="A841" t="str">
            <v>271-77-8740</v>
          </cell>
          <cell r="B841" t="str">
            <v>no</v>
          </cell>
        </row>
        <row r="842">
          <cell r="A842" t="str">
            <v>497-36-0989</v>
          </cell>
          <cell r="B842" t="str">
            <v>yes</v>
          </cell>
        </row>
        <row r="843">
          <cell r="A843" t="str">
            <v>291-59-1384</v>
          </cell>
          <cell r="B843" t="str">
            <v>no</v>
          </cell>
        </row>
        <row r="844">
          <cell r="A844" t="str">
            <v>860-73-6466</v>
          </cell>
          <cell r="B844" t="str">
            <v>no</v>
          </cell>
        </row>
        <row r="845">
          <cell r="A845" t="str">
            <v>549-23-9016</v>
          </cell>
          <cell r="B845" t="str">
            <v>no</v>
          </cell>
        </row>
        <row r="846">
          <cell r="A846" t="str">
            <v>896-34-0956</v>
          </cell>
          <cell r="B846" t="str">
            <v>yes</v>
          </cell>
        </row>
        <row r="847">
          <cell r="A847" t="str">
            <v>804-38-3935</v>
          </cell>
          <cell r="B847" t="str">
            <v>no</v>
          </cell>
        </row>
        <row r="848">
          <cell r="A848" t="str">
            <v>585-90-0249</v>
          </cell>
          <cell r="B848" t="str">
            <v>no</v>
          </cell>
        </row>
        <row r="849">
          <cell r="A849" t="str">
            <v>862-29-5914</v>
          </cell>
          <cell r="B849" t="str">
            <v>no</v>
          </cell>
        </row>
        <row r="850">
          <cell r="A850" t="str">
            <v>845-94-6841</v>
          </cell>
          <cell r="B850" t="str">
            <v>yes</v>
          </cell>
        </row>
        <row r="851">
          <cell r="A851" t="str">
            <v>125-45-2293</v>
          </cell>
          <cell r="B851" t="str">
            <v>no</v>
          </cell>
        </row>
        <row r="852">
          <cell r="A852" t="str">
            <v>843-73-4724</v>
          </cell>
          <cell r="B852" t="str">
            <v>no</v>
          </cell>
        </row>
        <row r="853">
          <cell r="A853" t="str">
            <v>409-33-9708</v>
          </cell>
          <cell r="B853" t="str">
            <v>no</v>
          </cell>
        </row>
        <row r="854">
          <cell r="A854" t="str">
            <v>658-66-3967</v>
          </cell>
          <cell r="B854" t="str">
            <v>yes</v>
          </cell>
        </row>
        <row r="855">
          <cell r="A855" t="str">
            <v>866-70-2814</v>
          </cell>
          <cell r="B855" t="str">
            <v>no</v>
          </cell>
        </row>
        <row r="856">
          <cell r="A856" t="str">
            <v>160-22-2687</v>
          </cell>
          <cell r="B856" t="str">
            <v>no</v>
          </cell>
        </row>
        <row r="857">
          <cell r="A857" t="str">
            <v>895-03-6665</v>
          </cell>
          <cell r="B857" t="str">
            <v>no</v>
          </cell>
        </row>
        <row r="858">
          <cell r="A858" t="str">
            <v>770-42-8960</v>
          </cell>
          <cell r="B858" t="str">
            <v>yes</v>
          </cell>
        </row>
        <row r="859">
          <cell r="A859" t="str">
            <v>748-45-2862</v>
          </cell>
          <cell r="B859" t="str">
            <v>no</v>
          </cell>
        </row>
        <row r="860">
          <cell r="A860" t="str">
            <v>234-36-2483</v>
          </cell>
          <cell r="B860" t="str">
            <v>no</v>
          </cell>
        </row>
        <row r="861">
          <cell r="A861" t="str">
            <v>316-66-3011</v>
          </cell>
          <cell r="B861" t="str">
            <v>no</v>
          </cell>
        </row>
        <row r="862">
          <cell r="A862" t="str">
            <v>848-95-6252</v>
          </cell>
          <cell r="B862" t="str">
            <v>yes</v>
          </cell>
        </row>
        <row r="863">
          <cell r="A863" t="str">
            <v>840-76-5966</v>
          </cell>
          <cell r="B863" t="str">
            <v>no</v>
          </cell>
        </row>
        <row r="864">
          <cell r="A864" t="str">
            <v>152-03-4217</v>
          </cell>
          <cell r="B864" t="str">
            <v>no</v>
          </cell>
        </row>
        <row r="865">
          <cell r="A865" t="str">
            <v>533-66-5566</v>
          </cell>
          <cell r="B865" t="str">
            <v>no</v>
          </cell>
        </row>
        <row r="866">
          <cell r="A866" t="str">
            <v>124-31-1458</v>
          </cell>
          <cell r="B866" t="str">
            <v>yes</v>
          </cell>
        </row>
        <row r="867">
          <cell r="A867" t="str">
            <v>176-78-1170</v>
          </cell>
          <cell r="B867" t="str">
            <v>no</v>
          </cell>
        </row>
        <row r="868">
          <cell r="A868" t="str">
            <v>361-59-0574</v>
          </cell>
          <cell r="B868" t="str">
            <v>no</v>
          </cell>
        </row>
        <row r="869">
          <cell r="A869" t="str">
            <v>101-81-4070</v>
          </cell>
          <cell r="B869" t="str">
            <v>no</v>
          </cell>
        </row>
        <row r="870">
          <cell r="A870" t="str">
            <v>631-34-1880</v>
          </cell>
          <cell r="B870" t="str">
            <v>yes</v>
          </cell>
        </row>
        <row r="871">
          <cell r="A871" t="str">
            <v>852-82-2749</v>
          </cell>
          <cell r="B871" t="str">
            <v>no</v>
          </cell>
        </row>
        <row r="872">
          <cell r="A872" t="str">
            <v>873-14-6353</v>
          </cell>
          <cell r="B872" t="str">
            <v>no</v>
          </cell>
        </row>
        <row r="873">
          <cell r="A873" t="str">
            <v>584-66-4073</v>
          </cell>
          <cell r="B873" t="str">
            <v>no</v>
          </cell>
        </row>
        <row r="874">
          <cell r="A874" t="str">
            <v>544-55-9589</v>
          </cell>
          <cell r="B874" t="str">
            <v>yes</v>
          </cell>
        </row>
        <row r="875">
          <cell r="A875" t="str">
            <v>166-19-2553</v>
          </cell>
          <cell r="B875" t="str">
            <v>no</v>
          </cell>
        </row>
        <row r="876">
          <cell r="A876" t="str">
            <v>737-88-5876</v>
          </cell>
          <cell r="B876" t="str">
            <v>no</v>
          </cell>
        </row>
        <row r="877">
          <cell r="A877" t="str">
            <v>154-87-7367</v>
          </cell>
          <cell r="B877" t="str">
            <v>no</v>
          </cell>
        </row>
        <row r="878">
          <cell r="A878" t="str">
            <v>885-56-0389</v>
          </cell>
          <cell r="B878" t="str">
            <v>yes</v>
          </cell>
        </row>
        <row r="879">
          <cell r="A879" t="str">
            <v>608-05-3804</v>
          </cell>
          <cell r="B879" t="str">
            <v>no</v>
          </cell>
        </row>
        <row r="880">
          <cell r="A880" t="str">
            <v>448-61-3783</v>
          </cell>
          <cell r="B880" t="str">
            <v>no</v>
          </cell>
        </row>
        <row r="881">
          <cell r="A881" t="str">
            <v>761-49-0439</v>
          </cell>
          <cell r="B881" t="str">
            <v>no</v>
          </cell>
        </row>
        <row r="882">
          <cell r="A882" t="str">
            <v>490-95-0021</v>
          </cell>
          <cell r="B882" t="str">
            <v>yes</v>
          </cell>
        </row>
        <row r="883">
          <cell r="A883" t="str">
            <v>115-38-7388</v>
          </cell>
          <cell r="B883" t="str">
            <v>no</v>
          </cell>
        </row>
        <row r="884">
          <cell r="A884" t="str">
            <v>311-13-6971</v>
          </cell>
          <cell r="B884" t="str">
            <v>no</v>
          </cell>
        </row>
        <row r="885">
          <cell r="A885" t="str">
            <v>291-55-6563</v>
          </cell>
          <cell r="B885" t="str">
            <v>no</v>
          </cell>
        </row>
        <row r="886">
          <cell r="A886" t="str">
            <v>548-48-3156</v>
          </cell>
          <cell r="B886" t="str">
            <v>yes</v>
          </cell>
        </row>
        <row r="887">
          <cell r="A887" t="str">
            <v>460-93-5834</v>
          </cell>
          <cell r="B887" t="str">
            <v>no</v>
          </cell>
        </row>
        <row r="888">
          <cell r="A888" t="str">
            <v>325-89-4209</v>
          </cell>
          <cell r="B888" t="str">
            <v>no</v>
          </cell>
        </row>
        <row r="889">
          <cell r="A889" t="str">
            <v>884-80-6021</v>
          </cell>
          <cell r="B889" t="str">
            <v>no</v>
          </cell>
        </row>
        <row r="890">
          <cell r="A890" t="str">
            <v>137-74-8729</v>
          </cell>
          <cell r="B890" t="str">
            <v>yes</v>
          </cell>
        </row>
        <row r="891">
          <cell r="A891" t="str">
            <v>880-46-5796</v>
          </cell>
          <cell r="B891" t="str">
            <v>no</v>
          </cell>
        </row>
        <row r="892">
          <cell r="A892" t="str">
            <v>389-70-2397</v>
          </cell>
          <cell r="B892" t="str">
            <v>no</v>
          </cell>
        </row>
        <row r="893">
          <cell r="A893" t="str">
            <v>114-35-5271</v>
          </cell>
          <cell r="B893" t="str">
            <v>no</v>
          </cell>
        </row>
        <row r="894">
          <cell r="A894" t="str">
            <v>607-76-6216</v>
          </cell>
          <cell r="B894" t="str">
            <v>yes</v>
          </cell>
        </row>
        <row r="895">
          <cell r="A895" t="str">
            <v>715-20-1673</v>
          </cell>
          <cell r="B895" t="str">
            <v>no</v>
          </cell>
        </row>
        <row r="896">
          <cell r="A896" t="str">
            <v>811-35-1094</v>
          </cell>
          <cell r="B896" t="str">
            <v>no</v>
          </cell>
        </row>
        <row r="897">
          <cell r="A897" t="str">
            <v>699-88-1972</v>
          </cell>
          <cell r="B897" t="str">
            <v>no</v>
          </cell>
        </row>
        <row r="898">
          <cell r="A898" t="str">
            <v>781-84-8059</v>
          </cell>
          <cell r="B898" t="str">
            <v>yes</v>
          </cell>
        </row>
        <row r="899">
          <cell r="A899" t="str">
            <v>409-49-6995</v>
          </cell>
          <cell r="B899" t="str">
            <v>no</v>
          </cell>
        </row>
        <row r="900">
          <cell r="A900" t="str">
            <v>725-54-0677</v>
          </cell>
          <cell r="B900" t="str">
            <v>no</v>
          </cell>
        </row>
        <row r="901">
          <cell r="A901" t="str">
            <v>146-09-5432</v>
          </cell>
          <cell r="B901" t="str">
            <v>no</v>
          </cell>
        </row>
        <row r="902">
          <cell r="A902" t="str">
            <v>377-79-7592</v>
          </cell>
          <cell r="B902" t="str">
            <v>yes</v>
          </cell>
        </row>
        <row r="903">
          <cell r="A903" t="str">
            <v>509-10-0516</v>
          </cell>
          <cell r="B903" t="str">
            <v>no</v>
          </cell>
        </row>
        <row r="904">
          <cell r="A904" t="str">
            <v>595-94-9924</v>
          </cell>
          <cell r="B904" t="str">
            <v>no</v>
          </cell>
        </row>
        <row r="905">
          <cell r="A905" t="str">
            <v>865-41-9075</v>
          </cell>
          <cell r="B905" t="str">
            <v>no</v>
          </cell>
        </row>
        <row r="906">
          <cell r="A906" t="str">
            <v>545-07-8534</v>
          </cell>
          <cell r="B906" t="str">
            <v>yes</v>
          </cell>
        </row>
        <row r="907">
          <cell r="A907" t="str">
            <v>118-62-1812</v>
          </cell>
          <cell r="B907" t="str">
            <v>no</v>
          </cell>
        </row>
        <row r="908">
          <cell r="A908" t="str">
            <v>450-42-3339</v>
          </cell>
          <cell r="B908" t="str">
            <v>no</v>
          </cell>
        </row>
        <row r="909">
          <cell r="A909" t="str">
            <v>851-98-3555</v>
          </cell>
          <cell r="B909" t="str">
            <v>no</v>
          </cell>
        </row>
        <row r="910">
          <cell r="A910" t="str">
            <v>186-71-5196</v>
          </cell>
          <cell r="B910" t="str">
            <v>yes</v>
          </cell>
        </row>
        <row r="911">
          <cell r="A911" t="str">
            <v>624-01-8356</v>
          </cell>
          <cell r="B911" t="str">
            <v>no</v>
          </cell>
        </row>
        <row r="912">
          <cell r="A912" t="str">
            <v>313-66-9943</v>
          </cell>
          <cell r="B912" t="str">
            <v>no</v>
          </cell>
        </row>
        <row r="913">
          <cell r="A913" t="str">
            <v>151-27-8496</v>
          </cell>
          <cell r="B913" t="str">
            <v>no</v>
          </cell>
        </row>
        <row r="914">
          <cell r="A914" t="str">
            <v>453-33-6436</v>
          </cell>
          <cell r="B914" t="str">
            <v>yes</v>
          </cell>
        </row>
        <row r="915">
          <cell r="A915" t="str">
            <v>522-57-8364</v>
          </cell>
          <cell r="B915" t="str">
            <v>no</v>
          </cell>
        </row>
        <row r="916">
          <cell r="A916" t="str">
            <v>459-45-2396</v>
          </cell>
          <cell r="B916" t="str">
            <v>no</v>
          </cell>
        </row>
        <row r="917">
          <cell r="A917" t="str">
            <v>717-96-4189</v>
          </cell>
          <cell r="B917" t="str">
            <v>no</v>
          </cell>
        </row>
        <row r="918">
          <cell r="A918" t="str">
            <v>722-13-2115</v>
          </cell>
          <cell r="B918" t="str">
            <v>yes</v>
          </cell>
        </row>
        <row r="919">
          <cell r="A919" t="str">
            <v>749-81-8133</v>
          </cell>
          <cell r="B919" t="str">
            <v>no</v>
          </cell>
        </row>
        <row r="920">
          <cell r="A920" t="str">
            <v>777-67-2495</v>
          </cell>
          <cell r="B920" t="str">
            <v>no</v>
          </cell>
        </row>
        <row r="921">
          <cell r="A921" t="str">
            <v>636-98-3364</v>
          </cell>
          <cell r="B921" t="str">
            <v>no</v>
          </cell>
        </row>
        <row r="922">
          <cell r="A922" t="str">
            <v>246-55-6923</v>
          </cell>
          <cell r="B922" t="str">
            <v>yes</v>
          </cell>
        </row>
        <row r="923">
          <cell r="A923" t="str">
            <v>181-82-6255</v>
          </cell>
          <cell r="B923" t="str">
            <v>no</v>
          </cell>
        </row>
        <row r="924">
          <cell r="A924" t="str">
            <v>838-02-1821</v>
          </cell>
          <cell r="B924" t="str">
            <v>no</v>
          </cell>
        </row>
        <row r="925">
          <cell r="A925" t="str">
            <v>887-42-0517</v>
          </cell>
          <cell r="B925" t="str">
            <v>no</v>
          </cell>
        </row>
        <row r="926">
          <cell r="A926" t="str">
            <v>457-12-0244</v>
          </cell>
          <cell r="B926" t="str">
            <v>yes</v>
          </cell>
        </row>
        <row r="927">
          <cell r="A927" t="str">
            <v>226-34-0034</v>
          </cell>
          <cell r="B927" t="str">
            <v>no</v>
          </cell>
        </row>
        <row r="928">
          <cell r="A928" t="str">
            <v>321-49-7382</v>
          </cell>
          <cell r="B928" t="str">
            <v>no</v>
          </cell>
        </row>
        <row r="929">
          <cell r="A929" t="str">
            <v>397-25-8725</v>
          </cell>
          <cell r="B929" t="str">
            <v>no</v>
          </cell>
        </row>
        <row r="930">
          <cell r="A930" t="str">
            <v>431-66-2305</v>
          </cell>
          <cell r="B930" t="str">
            <v>yes</v>
          </cell>
        </row>
        <row r="931">
          <cell r="A931" t="str">
            <v>825-94-5922</v>
          </cell>
          <cell r="B931" t="str">
            <v>no</v>
          </cell>
        </row>
        <row r="932">
          <cell r="A932" t="str">
            <v>641-62-7288</v>
          </cell>
          <cell r="B932" t="str">
            <v>no</v>
          </cell>
        </row>
        <row r="933">
          <cell r="A933" t="str">
            <v>756-93-1854</v>
          </cell>
          <cell r="B933" t="str">
            <v>no</v>
          </cell>
        </row>
        <row r="934">
          <cell r="A934" t="str">
            <v>243-55-8457</v>
          </cell>
          <cell r="B934" t="str">
            <v>yes</v>
          </cell>
        </row>
        <row r="935">
          <cell r="A935" t="str">
            <v>458-10-8612</v>
          </cell>
          <cell r="B935" t="str">
            <v>no</v>
          </cell>
        </row>
        <row r="936">
          <cell r="A936" t="str">
            <v>501-61-1753</v>
          </cell>
          <cell r="B936" t="str">
            <v>no</v>
          </cell>
        </row>
        <row r="937">
          <cell r="A937" t="str">
            <v>235-06-8510</v>
          </cell>
          <cell r="B937" t="str">
            <v>no</v>
          </cell>
        </row>
        <row r="938">
          <cell r="A938" t="str">
            <v>433-08-7822</v>
          </cell>
          <cell r="B938" t="str">
            <v>yes</v>
          </cell>
        </row>
        <row r="939">
          <cell r="A939" t="str">
            <v>361-85-2571</v>
          </cell>
          <cell r="B939" t="str">
            <v>no</v>
          </cell>
        </row>
        <row r="940">
          <cell r="A940" t="str">
            <v>131-70-8179</v>
          </cell>
          <cell r="B940" t="str">
            <v>no</v>
          </cell>
        </row>
        <row r="941">
          <cell r="A941" t="str">
            <v>500-02-2261</v>
          </cell>
          <cell r="B941" t="str">
            <v>no</v>
          </cell>
        </row>
        <row r="942">
          <cell r="A942" t="str">
            <v>720-72-2436</v>
          </cell>
          <cell r="B942" t="str">
            <v>yes</v>
          </cell>
        </row>
        <row r="943">
          <cell r="A943" t="str">
            <v>702-83-5291</v>
          </cell>
          <cell r="B943" t="str">
            <v>no</v>
          </cell>
        </row>
        <row r="944">
          <cell r="A944" t="str">
            <v>809-69-9497</v>
          </cell>
          <cell r="B944" t="str">
            <v>no</v>
          </cell>
        </row>
        <row r="945">
          <cell r="A945" t="str">
            <v>449-16-6770</v>
          </cell>
          <cell r="B945" t="str">
            <v>no</v>
          </cell>
        </row>
        <row r="946">
          <cell r="A946" t="str">
            <v>333-23-2632</v>
          </cell>
          <cell r="B946" t="str">
            <v>yes</v>
          </cell>
        </row>
        <row r="947">
          <cell r="A947" t="str">
            <v>489-82-1237</v>
          </cell>
          <cell r="B947" t="str">
            <v>no</v>
          </cell>
        </row>
        <row r="948">
          <cell r="A948" t="str">
            <v>859-97-6048</v>
          </cell>
          <cell r="B948" t="str">
            <v>no</v>
          </cell>
        </row>
        <row r="949">
          <cell r="A949" t="str">
            <v>676-10-2200</v>
          </cell>
          <cell r="B949" t="str">
            <v>no</v>
          </cell>
        </row>
        <row r="950">
          <cell r="A950" t="str">
            <v>373-88-1424</v>
          </cell>
          <cell r="B950" t="str">
            <v>yes</v>
          </cell>
        </row>
        <row r="951">
          <cell r="A951" t="str">
            <v>365-16-4334</v>
          </cell>
          <cell r="B951" t="str">
            <v>no</v>
          </cell>
        </row>
        <row r="952">
          <cell r="A952" t="str">
            <v>503-21-4385</v>
          </cell>
          <cell r="B952" t="str">
            <v>no</v>
          </cell>
        </row>
        <row r="953">
          <cell r="A953" t="str">
            <v>305-89-2768</v>
          </cell>
          <cell r="B953" t="str">
            <v>no</v>
          </cell>
        </row>
        <row r="954">
          <cell r="A954" t="str">
            <v>574-80-1489</v>
          </cell>
          <cell r="B954" t="str">
            <v>yes</v>
          </cell>
        </row>
        <row r="955">
          <cell r="A955" t="str">
            <v>784-08-0310</v>
          </cell>
          <cell r="B955" t="str">
            <v>no</v>
          </cell>
        </row>
        <row r="956">
          <cell r="A956" t="str">
            <v>200-40-6154</v>
          </cell>
          <cell r="B956" t="str">
            <v>no</v>
          </cell>
        </row>
        <row r="957">
          <cell r="A957" t="str">
            <v>846-10-0341</v>
          </cell>
          <cell r="B957" t="str">
            <v>no</v>
          </cell>
        </row>
        <row r="958">
          <cell r="A958" t="str">
            <v>577-34-7579</v>
          </cell>
          <cell r="B958" t="str">
            <v>yes</v>
          </cell>
        </row>
        <row r="959">
          <cell r="A959" t="str">
            <v>430-02-3888</v>
          </cell>
          <cell r="B959" t="str">
            <v>no</v>
          </cell>
        </row>
        <row r="960">
          <cell r="A960" t="str">
            <v>867-47-1948</v>
          </cell>
          <cell r="B960" t="str">
            <v>no</v>
          </cell>
        </row>
        <row r="961">
          <cell r="A961" t="str">
            <v>384-59-6655</v>
          </cell>
          <cell r="B961" t="str">
            <v>no</v>
          </cell>
        </row>
        <row r="962">
          <cell r="A962" t="str">
            <v>256-58-3609</v>
          </cell>
          <cell r="B962" t="str">
            <v>yes</v>
          </cell>
        </row>
        <row r="963">
          <cell r="A963" t="str">
            <v>324-92-3863</v>
          </cell>
          <cell r="B963" t="str">
            <v>no</v>
          </cell>
        </row>
        <row r="964">
          <cell r="A964" t="str">
            <v>593-08-5916</v>
          </cell>
          <cell r="B964" t="str">
            <v>no</v>
          </cell>
        </row>
        <row r="965">
          <cell r="A965" t="str">
            <v>364-34-2972</v>
          </cell>
          <cell r="B965" t="str">
            <v>no</v>
          </cell>
        </row>
        <row r="966">
          <cell r="A966" t="str">
            <v>794-42-3736</v>
          </cell>
          <cell r="B966" t="str">
            <v>yes</v>
          </cell>
        </row>
        <row r="967">
          <cell r="A967" t="str">
            <v>172-42-8274</v>
          </cell>
          <cell r="B967" t="str">
            <v>no</v>
          </cell>
        </row>
        <row r="968">
          <cell r="A968" t="str">
            <v>558-60-5016</v>
          </cell>
          <cell r="B968" t="str">
            <v>no</v>
          </cell>
        </row>
        <row r="969">
          <cell r="A969" t="str">
            <v>195-06-0432</v>
          </cell>
          <cell r="B969" t="str">
            <v>no</v>
          </cell>
        </row>
        <row r="970">
          <cell r="A970" t="str">
            <v>605-03-2706</v>
          </cell>
          <cell r="B970" t="str">
            <v>yes</v>
          </cell>
        </row>
        <row r="971">
          <cell r="A971" t="str">
            <v>214-30-2776</v>
          </cell>
          <cell r="B971" t="str">
            <v>no</v>
          </cell>
        </row>
        <row r="972">
          <cell r="A972" t="str">
            <v>746-04-1077</v>
          </cell>
          <cell r="B972" t="str">
            <v>no</v>
          </cell>
        </row>
        <row r="973">
          <cell r="A973" t="str">
            <v>448-34-8700</v>
          </cell>
          <cell r="B973" t="str">
            <v>no</v>
          </cell>
        </row>
        <row r="974">
          <cell r="A974" t="str">
            <v>452-04-8808</v>
          </cell>
          <cell r="B974" t="str">
            <v>yes</v>
          </cell>
        </row>
        <row r="975">
          <cell r="A975" t="str">
            <v>531-56-4728</v>
          </cell>
          <cell r="B975" t="str">
            <v>no</v>
          </cell>
        </row>
        <row r="976">
          <cell r="A976" t="str">
            <v>744-82-9138</v>
          </cell>
          <cell r="B976" t="str">
            <v>no</v>
          </cell>
        </row>
        <row r="977">
          <cell r="A977" t="str">
            <v>883-69-1285</v>
          </cell>
          <cell r="B977" t="str">
            <v>no</v>
          </cell>
        </row>
        <row r="978">
          <cell r="A978" t="str">
            <v>221-25-5073</v>
          </cell>
          <cell r="B978" t="str">
            <v>yes</v>
          </cell>
        </row>
        <row r="979">
          <cell r="A979" t="str">
            <v>518-71-6847</v>
          </cell>
          <cell r="B979" t="str">
            <v>no</v>
          </cell>
        </row>
        <row r="980">
          <cell r="A980" t="str">
            <v>156-20-0370</v>
          </cell>
          <cell r="B980" t="str">
            <v>no</v>
          </cell>
        </row>
        <row r="981">
          <cell r="A981" t="str">
            <v>151-33-7434</v>
          </cell>
          <cell r="B981" t="str">
            <v>no</v>
          </cell>
        </row>
        <row r="982">
          <cell r="A982" t="str">
            <v>728-47-9078</v>
          </cell>
          <cell r="B982" t="str">
            <v>yes</v>
          </cell>
        </row>
        <row r="983">
          <cell r="A983" t="str">
            <v>809-46-1866</v>
          </cell>
          <cell r="B983" t="str">
            <v>no</v>
          </cell>
        </row>
        <row r="984">
          <cell r="A984" t="str">
            <v>139-32-4183</v>
          </cell>
          <cell r="B984" t="str">
            <v>no</v>
          </cell>
        </row>
        <row r="985">
          <cell r="A985" t="str">
            <v>148-41-7930</v>
          </cell>
          <cell r="B985" t="str">
            <v>no</v>
          </cell>
        </row>
        <row r="986">
          <cell r="A986" t="str">
            <v>189-40-5216</v>
          </cell>
          <cell r="B986" t="str">
            <v>yes</v>
          </cell>
        </row>
        <row r="987">
          <cell r="A987" t="str">
            <v>374-38-5555</v>
          </cell>
          <cell r="B987" t="str">
            <v>no</v>
          </cell>
        </row>
        <row r="988">
          <cell r="A988" t="str">
            <v>764-44-8999</v>
          </cell>
          <cell r="B988" t="str">
            <v>no</v>
          </cell>
        </row>
        <row r="989">
          <cell r="A989" t="str">
            <v>552-44-5977</v>
          </cell>
          <cell r="B989" t="str">
            <v>no</v>
          </cell>
        </row>
        <row r="990">
          <cell r="A990" t="str">
            <v>267-62-7380</v>
          </cell>
          <cell r="B990" t="str">
            <v>yes</v>
          </cell>
        </row>
        <row r="991">
          <cell r="A991" t="str">
            <v>430-53-4718</v>
          </cell>
          <cell r="B991" t="str">
            <v>no</v>
          </cell>
        </row>
        <row r="992">
          <cell r="A992" t="str">
            <v>886-18-2897</v>
          </cell>
          <cell r="B992" t="str">
            <v>no</v>
          </cell>
        </row>
        <row r="993">
          <cell r="A993" t="str">
            <v>602-16-6955</v>
          </cell>
          <cell r="B993" t="str">
            <v>no</v>
          </cell>
        </row>
        <row r="994">
          <cell r="A994" t="str">
            <v>745-74-0715</v>
          </cell>
          <cell r="B994" t="str">
            <v>yes</v>
          </cell>
        </row>
        <row r="995">
          <cell r="A995" t="str">
            <v>690-01-6631</v>
          </cell>
          <cell r="B995" t="str">
            <v>no</v>
          </cell>
        </row>
        <row r="996">
          <cell r="A996" t="str">
            <v>652-49-6720</v>
          </cell>
          <cell r="B996" t="str">
            <v>no</v>
          </cell>
        </row>
        <row r="997">
          <cell r="A997" t="str">
            <v>233-67-5758</v>
          </cell>
          <cell r="B997" t="str">
            <v>no</v>
          </cell>
        </row>
        <row r="998">
          <cell r="A998" t="str">
            <v>303-96-2227</v>
          </cell>
          <cell r="B998" t="str">
            <v>yes</v>
          </cell>
        </row>
        <row r="999">
          <cell r="A999" t="str">
            <v>727-02-1313</v>
          </cell>
          <cell r="B999" t="str">
            <v>no</v>
          </cell>
        </row>
        <row r="1000">
          <cell r="A1000" t="str">
            <v>347-56-2442</v>
          </cell>
          <cell r="B1000" t="str">
            <v>no</v>
          </cell>
        </row>
        <row r="1001">
          <cell r="A1001" t="str">
            <v>849-09-3807</v>
          </cell>
          <cell r="B1001" t="str">
            <v>no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F83647-117C-4501-A7C2-428021940BDB}" name="Table2" displayName="Table2" ref="A1:U1001" totalsRowShown="0" headerRowDxfId="26" dataDxfId="25">
  <autoFilter ref="A1:U1001" xr:uid="{ADF83647-117C-4501-A7C2-428021940BDB}"/>
  <tableColumns count="21">
    <tableColumn id="1" xr3:uid="{266ED5B1-F1E7-4E92-B8A2-E504DB471C97}" name="Invoice ID" dataDxfId="24"/>
    <tableColumn id="2" xr3:uid="{687F6531-49BA-4441-A1D5-E5CEC79A35F2}" name="Branch" dataDxfId="23"/>
    <tableColumn id="3" xr3:uid="{8353E3CE-66ED-480C-AA2F-7AA83CF356B5}" name="City" dataDxfId="22"/>
    <tableColumn id="4" xr3:uid="{DD47915B-48BF-4E57-9560-5D67B50C68B8}" name="Customer type" dataDxfId="21"/>
    <tableColumn id="5" xr3:uid="{758D452F-B35A-4D3E-BF99-EBEA74D52780}" name="Gender" dataDxfId="20"/>
    <tableColumn id="6" xr3:uid="{BF0C56BE-8B39-4C39-965F-3F7D6DFFAA86}" name="Product line" dataDxfId="19"/>
    <tableColumn id="16" xr3:uid="{37698FAB-AD09-44BA-9902-6AF24EED7FF7}" name="Unit Cost" dataDxfId="18">
      <calculatedColumnFormula>Table2[[#This Row],[Unit price]]-10</calculatedColumnFormula>
    </tableColumn>
    <tableColumn id="7" xr3:uid="{4D6DE3DF-D67B-44DC-8865-F83DEC6C4D2A}" name="Unit price" dataDxfId="17"/>
    <tableColumn id="8" xr3:uid="{59C57A01-BDDB-46D1-94FC-606ECCE96147}" name="Quantity" dataDxfId="16"/>
    <tableColumn id="14" xr3:uid="{6CB845E0-BEE5-41C5-B008-D9E53912F243}" name="Gross Sales" dataDxfId="15">
      <calculatedColumnFormula>Table2[[#This Row],[Unit price]]*Table2[[#This Row],[Quantity]]</calculatedColumnFormula>
    </tableColumn>
    <tableColumn id="17" xr3:uid="{97EBBC72-2556-4C98-9BA7-DC1BD4F418B5}" name="COGS" dataDxfId="14">
      <calculatedColumnFormula>Table2[[#This Row],[Unit Cost]]*Table2[[#This Row],[Quantity]]</calculatedColumnFormula>
    </tableColumn>
    <tableColumn id="18" xr3:uid="{25971F5A-D37F-4F05-B851-55C76C7E7FC4}" name="Groos Profit" dataDxfId="13">
      <calculatedColumnFormula>Table2[[#This Row],[Gross Sales]]-Table2[[#This Row],[COGS]]</calculatedColumnFormula>
    </tableColumn>
    <tableColumn id="19" xr3:uid="{08A4BE6A-75FD-4557-A271-4E9F0D1F8FA0}" name="Gross Profit Margin" dataDxfId="12" dataCellStyle="Percent">
      <calculatedColumnFormula>IFERROR(L2/J2,0)</calculatedColumnFormula>
    </tableColumn>
    <tableColumn id="9" xr3:uid="{CC051C39-30BE-45C7-BE7F-528C9848C192}" name="Tax 5%" dataDxfId="11"/>
    <tableColumn id="10" xr3:uid="{EF8FB75F-719D-49D9-A3F6-9D7ADDF16D5A}" name="Total" dataDxfId="10"/>
    <tableColumn id="11" xr3:uid="{6BE89D9B-CBE3-4ECE-8655-FC92C92F5AFF}" name="Date" dataDxfId="9"/>
    <tableColumn id="21" xr3:uid="{8567A012-9216-4C95-A90C-EE01C94E2EE0}" name="Month" dataDxfId="8">
      <calculatedColumnFormula>TEXT(Table2[[#This Row],[Date]],"mmm")</calculatedColumnFormula>
    </tableColumn>
    <tableColumn id="12" xr3:uid="{0C89E4AB-825B-419D-A836-5886A81E75EA}" name="Time" dataDxfId="7"/>
    <tableColumn id="13" xr3:uid="{24B4906E-A7E3-4346-82F4-85FED4EB57D2}" name="Payment" dataDxfId="6"/>
    <tableColumn id="15" xr3:uid="{2F5E3547-116B-473F-B5D9-9C96F2C42AF1}" name="Rating" dataDxfId="5"/>
    <tableColumn id="20" xr3:uid="{CB293249-A351-4FD5-8476-57E100AB6D79}" name="Return Flag" dataDxfId="4">
      <calculatedColumnFormula>IF(_xlfn.XLOOKUP(A2,[1]Data2!$A:$A,[1]Data2!$B:$B,"no")="yes",1,0)</calculatedColumnFormula>
    </tableColumn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0FD480-4C3D-4325-A36B-81FD079D66BD}" name="Table4" displayName="Table4" ref="A1:B1001" totalsRowShown="0" headerRowDxfId="3" dataDxfId="2">
  <autoFilter ref="A1:B1001" xr:uid="{800FD480-4C3D-4325-A36B-81FD079D66BD}"/>
  <tableColumns count="2">
    <tableColumn id="1" xr3:uid="{22A259A7-6189-4669-8B02-C3F542718FA5}" name="Invoice ID" dataDxfId="1"/>
    <tableColumn id="2" xr3:uid="{E3AE6C7B-9C38-482A-8A3D-39F4CDB5AEFD}" name="Retur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A59E-C064-4699-ADB6-19D13769426C}">
  <dimension ref="A1:U1001"/>
  <sheetViews>
    <sheetView workbookViewId="0">
      <selection sqref="A1:XFD1048576"/>
    </sheetView>
  </sheetViews>
  <sheetFormatPr defaultRowHeight="14.4" x14ac:dyDescent="0.3"/>
  <cols>
    <col min="1" max="1" width="16" style="6" customWidth="1"/>
    <col min="2" max="2" width="10.5546875" style="6" customWidth="1"/>
    <col min="3" max="3" width="14" style="6" customWidth="1"/>
    <col min="4" max="4" width="14.21875" style="6" customWidth="1"/>
    <col min="5" max="5" width="8.88671875" style="6"/>
    <col min="6" max="6" width="17.88671875" style="6" customWidth="1"/>
    <col min="7" max="7" width="12.77734375" style="7" customWidth="1"/>
    <col min="8" max="8" width="14.5546875" style="7" customWidth="1"/>
    <col min="9" max="12" width="20.109375" style="8" customWidth="1"/>
    <col min="13" max="13" width="20.109375" style="9" customWidth="1"/>
    <col min="14" max="14" width="13.5546875" style="7" customWidth="1"/>
    <col min="15" max="15" width="11.6640625" style="7" customWidth="1"/>
    <col min="16" max="17" width="13" style="10" customWidth="1"/>
    <col min="18" max="18" width="11.33203125" style="11" bestFit="1" customWidth="1"/>
    <col min="19" max="19" width="13.77734375" style="6" customWidth="1"/>
    <col min="20" max="20" width="10.6640625" style="7" customWidth="1"/>
    <col min="21" max="21" width="14.44140625" style="6" customWidth="1"/>
    <col min="22" max="16384" width="8.88671875" style="6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5" t="s">
        <v>17</v>
      </c>
      <c r="S1" s="1" t="s">
        <v>18</v>
      </c>
      <c r="T1" s="2" t="s">
        <v>19</v>
      </c>
      <c r="U1" s="1" t="s">
        <v>20</v>
      </c>
    </row>
    <row r="2" spans="1:21" s="6" customFormat="1" x14ac:dyDescent="0.3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7">
        <f>Table2[[#This Row],[Unit price]]-10</f>
        <v>64.69</v>
      </c>
      <c r="H2" s="7">
        <v>74.69</v>
      </c>
      <c r="I2" s="8">
        <v>7</v>
      </c>
      <c r="J2" s="8">
        <f>Table2[[#This Row],[Unit price]]*Table2[[#This Row],[Quantity]]</f>
        <v>522.82999999999993</v>
      </c>
      <c r="K2" s="8">
        <f>Table2[[#This Row],[Unit Cost]]*Table2[[#This Row],[Quantity]]</f>
        <v>452.83</v>
      </c>
      <c r="L2" s="8">
        <f>Table2[[#This Row],[Gross Sales]]-Table2[[#This Row],[COGS]]</f>
        <v>69.999999999999943</v>
      </c>
      <c r="M2" s="9">
        <f>IFERROR(L2/J2,0)</f>
        <v>0.13388673182487607</v>
      </c>
      <c r="N2" s="7">
        <v>26.141500000000001</v>
      </c>
      <c r="O2" s="7">
        <v>548.97149999999999</v>
      </c>
      <c r="P2" s="10">
        <v>43470</v>
      </c>
      <c r="Q2" s="10" t="str">
        <f>TEXT(Table2[[#This Row],[Date]],"mmm")</f>
        <v>Jan</v>
      </c>
      <c r="R2" s="11">
        <v>0.54722222222222217</v>
      </c>
      <c r="S2" s="6" t="s">
        <v>27</v>
      </c>
      <c r="T2" s="7">
        <v>9.1</v>
      </c>
      <c r="U2" s="6">
        <f>IF(_xlfn.XLOOKUP(A2,[1]Data2!$A:$A,[1]Data2!$B:$B,"no")="yes",1,0)</f>
        <v>1</v>
      </c>
    </row>
    <row r="3" spans="1:21" s="6" customFormat="1" x14ac:dyDescent="0.3">
      <c r="A3" s="6" t="s">
        <v>28</v>
      </c>
      <c r="B3" s="6" t="s">
        <v>29</v>
      </c>
      <c r="C3" s="6" t="s">
        <v>30</v>
      </c>
      <c r="D3" s="6" t="s">
        <v>31</v>
      </c>
      <c r="E3" s="6" t="s">
        <v>25</v>
      </c>
      <c r="F3" s="6" t="s">
        <v>32</v>
      </c>
      <c r="G3" s="7">
        <f>Table2[[#This Row],[Unit price]]-10</f>
        <v>5.2799999999999994</v>
      </c>
      <c r="H3" s="7">
        <v>15.28</v>
      </c>
      <c r="I3" s="8">
        <v>5</v>
      </c>
      <c r="J3" s="8">
        <f>Table2[[#This Row],[Unit price]]*Table2[[#This Row],[Quantity]]</f>
        <v>76.399999999999991</v>
      </c>
      <c r="K3" s="8">
        <f>Table2[[#This Row],[Unit Cost]]*Table2[[#This Row],[Quantity]]</f>
        <v>26.4</v>
      </c>
      <c r="L3" s="8">
        <f>Table2[[#This Row],[Gross Sales]]-Table2[[#This Row],[COGS]]</f>
        <v>49.999999999999993</v>
      </c>
      <c r="M3" s="9">
        <f t="shared" ref="M3:M66" si="0">IFERROR(L3/J3,0)</f>
        <v>0.65445026178010468</v>
      </c>
      <c r="N3" s="7">
        <v>3.82</v>
      </c>
      <c r="O3" s="7">
        <v>80.22</v>
      </c>
      <c r="P3" s="10">
        <v>43532</v>
      </c>
      <c r="Q3" s="10" t="str">
        <f>TEXT(Table2[[#This Row],[Date]],"mmm")</f>
        <v>Mar</v>
      </c>
      <c r="R3" s="11">
        <v>0.4368055555555555</v>
      </c>
      <c r="S3" s="6" t="s">
        <v>33</v>
      </c>
      <c r="T3" s="7">
        <v>9.6</v>
      </c>
      <c r="U3" s="6">
        <f>IF(_xlfn.XLOOKUP(A3,[1]Data2!$A:$A,[1]Data2!$B:$B,"no")="yes",1,0)</f>
        <v>0</v>
      </c>
    </row>
    <row r="4" spans="1:21" s="6" customFormat="1" x14ac:dyDescent="0.3">
      <c r="A4" s="6" t="s">
        <v>34</v>
      </c>
      <c r="B4" s="6" t="s">
        <v>22</v>
      </c>
      <c r="C4" s="6" t="s">
        <v>23</v>
      </c>
      <c r="D4" s="6" t="s">
        <v>31</v>
      </c>
      <c r="E4" s="6" t="s">
        <v>35</v>
      </c>
      <c r="F4" s="6" t="s">
        <v>36</v>
      </c>
      <c r="G4" s="7">
        <f>Table2[[#This Row],[Unit price]]-10</f>
        <v>36.33</v>
      </c>
      <c r="H4" s="7">
        <v>46.33</v>
      </c>
      <c r="I4" s="8">
        <v>7</v>
      </c>
      <c r="J4" s="8">
        <f>Table2[[#This Row],[Unit price]]*Table2[[#This Row],[Quantity]]</f>
        <v>324.31</v>
      </c>
      <c r="K4" s="8">
        <f>Table2[[#This Row],[Unit Cost]]*Table2[[#This Row],[Quantity]]</f>
        <v>254.31</v>
      </c>
      <c r="L4" s="8">
        <f>Table2[[#This Row],[Gross Sales]]-Table2[[#This Row],[COGS]]</f>
        <v>70</v>
      </c>
      <c r="M4" s="9">
        <f t="shared" si="0"/>
        <v>0.21584286639326569</v>
      </c>
      <c r="N4" s="7">
        <v>16.215499999999999</v>
      </c>
      <c r="O4" s="7">
        <v>340.52550000000002</v>
      </c>
      <c r="P4" s="10">
        <v>43527</v>
      </c>
      <c r="Q4" s="10" t="str">
        <f>TEXT(Table2[[#This Row],[Date]],"mmm")</f>
        <v>Mar</v>
      </c>
      <c r="R4" s="11">
        <v>0.55763888888888891</v>
      </c>
      <c r="S4" s="6" t="s">
        <v>37</v>
      </c>
      <c r="T4" s="7">
        <v>7.4</v>
      </c>
      <c r="U4" s="6">
        <f>IF(_xlfn.XLOOKUP(A4,[1]Data2!$A:$A,[1]Data2!$B:$B,"no")="yes",1,0)</f>
        <v>0</v>
      </c>
    </row>
    <row r="5" spans="1:21" s="6" customFormat="1" x14ac:dyDescent="0.3">
      <c r="A5" s="6" t="s">
        <v>38</v>
      </c>
      <c r="B5" s="6" t="s">
        <v>22</v>
      </c>
      <c r="C5" s="6" t="s">
        <v>23</v>
      </c>
      <c r="D5" s="6" t="s">
        <v>24</v>
      </c>
      <c r="E5" s="6" t="s">
        <v>35</v>
      </c>
      <c r="F5" s="6" t="s">
        <v>26</v>
      </c>
      <c r="G5" s="7">
        <f>Table2[[#This Row],[Unit price]]-10</f>
        <v>48.22</v>
      </c>
      <c r="H5" s="7">
        <v>58.22</v>
      </c>
      <c r="I5" s="8">
        <v>8</v>
      </c>
      <c r="J5" s="8">
        <f>Table2[[#This Row],[Unit price]]*Table2[[#This Row],[Quantity]]</f>
        <v>465.76</v>
      </c>
      <c r="K5" s="8">
        <f>Table2[[#This Row],[Unit Cost]]*Table2[[#This Row],[Quantity]]</f>
        <v>385.76</v>
      </c>
      <c r="L5" s="8">
        <f>Table2[[#This Row],[Gross Sales]]-Table2[[#This Row],[COGS]]</f>
        <v>80</v>
      </c>
      <c r="M5" s="9">
        <f t="shared" si="0"/>
        <v>0.17176228100309174</v>
      </c>
      <c r="N5" s="7">
        <v>23.288</v>
      </c>
      <c r="O5" s="7">
        <v>489.048</v>
      </c>
      <c r="P5" s="10">
        <v>43492</v>
      </c>
      <c r="Q5" s="10" t="str">
        <f>TEXT(Table2[[#This Row],[Date]],"mmm")</f>
        <v>Jan</v>
      </c>
      <c r="R5" s="11">
        <v>0.85625000000000007</v>
      </c>
      <c r="S5" s="6" t="s">
        <v>27</v>
      </c>
      <c r="T5" s="7">
        <v>8.4</v>
      </c>
      <c r="U5" s="6">
        <f>IF(_xlfn.XLOOKUP(A5,[1]Data2!$A:$A,[1]Data2!$B:$B,"no")="yes",1,0)</f>
        <v>0</v>
      </c>
    </row>
    <row r="6" spans="1:21" s="6" customFormat="1" x14ac:dyDescent="0.3">
      <c r="A6" s="6" t="s">
        <v>39</v>
      </c>
      <c r="B6" s="6" t="s">
        <v>22</v>
      </c>
      <c r="C6" s="6" t="s">
        <v>23</v>
      </c>
      <c r="D6" s="6" t="s">
        <v>31</v>
      </c>
      <c r="E6" s="6" t="s">
        <v>35</v>
      </c>
      <c r="F6" s="6" t="s">
        <v>40</v>
      </c>
      <c r="G6" s="7">
        <f>Table2[[#This Row],[Unit price]]-10</f>
        <v>48.22</v>
      </c>
      <c r="H6" s="7">
        <v>58.22</v>
      </c>
      <c r="I6" s="8">
        <v>7</v>
      </c>
      <c r="J6" s="8">
        <f>Table2[[#This Row],[Unit price]]*Table2[[#This Row],[Quantity]]</f>
        <v>407.53999999999996</v>
      </c>
      <c r="K6" s="8">
        <f>Table2[[#This Row],[Unit Cost]]*Table2[[#This Row],[Quantity]]</f>
        <v>337.53999999999996</v>
      </c>
      <c r="L6" s="8">
        <f>Table2[[#This Row],[Gross Sales]]-Table2[[#This Row],[COGS]]</f>
        <v>70</v>
      </c>
      <c r="M6" s="9">
        <f t="shared" si="0"/>
        <v>0.17176228100309174</v>
      </c>
      <c r="N6" s="7">
        <v>30.208500000000001</v>
      </c>
      <c r="O6" s="7">
        <v>634.37850000000003</v>
      </c>
      <c r="P6" s="10">
        <v>43504</v>
      </c>
      <c r="Q6" s="10" t="str">
        <f>TEXT(Table2[[#This Row],[Date]],"mmm")</f>
        <v>Feb</v>
      </c>
      <c r="R6" s="11">
        <v>0.44236111111111115</v>
      </c>
      <c r="S6" s="6" t="s">
        <v>27</v>
      </c>
      <c r="T6" s="7">
        <v>5.3</v>
      </c>
      <c r="U6" s="6">
        <f>IF(_xlfn.XLOOKUP(A6,[1]Data2!$A:$A,[1]Data2!$B:$B,"no")="yes",1,0)</f>
        <v>1</v>
      </c>
    </row>
    <row r="7" spans="1:21" s="6" customFormat="1" x14ac:dyDescent="0.3">
      <c r="A7" s="6" t="s">
        <v>41</v>
      </c>
      <c r="B7" s="6" t="s">
        <v>29</v>
      </c>
      <c r="C7" s="6" t="s">
        <v>30</v>
      </c>
      <c r="D7" s="6" t="s">
        <v>31</v>
      </c>
      <c r="E7" s="6" t="s">
        <v>35</v>
      </c>
      <c r="F7" s="6" t="s">
        <v>32</v>
      </c>
      <c r="G7" s="7">
        <f>Table2[[#This Row],[Unit price]]-10</f>
        <v>75.39</v>
      </c>
      <c r="H7" s="7">
        <v>85.39</v>
      </c>
      <c r="I7" s="8">
        <v>7</v>
      </c>
      <c r="J7" s="8">
        <f>Table2[[#This Row],[Unit price]]*Table2[[#This Row],[Quantity]]</f>
        <v>597.73</v>
      </c>
      <c r="K7" s="8">
        <f>Table2[[#This Row],[Unit Cost]]*Table2[[#This Row],[Quantity]]</f>
        <v>527.73</v>
      </c>
      <c r="L7" s="8">
        <f>Table2[[#This Row],[Gross Sales]]-Table2[[#This Row],[COGS]]</f>
        <v>70</v>
      </c>
      <c r="M7" s="9">
        <f t="shared" si="0"/>
        <v>0.11710973181871413</v>
      </c>
      <c r="N7" s="7">
        <v>29.886500000000002</v>
      </c>
      <c r="O7" s="7">
        <v>627.61649999999997</v>
      </c>
      <c r="P7" s="10">
        <v>43549</v>
      </c>
      <c r="Q7" s="10" t="str">
        <f>TEXT(Table2[[#This Row],[Date]],"mmm")</f>
        <v>Mar</v>
      </c>
      <c r="R7" s="11">
        <v>0.77083333333333337</v>
      </c>
      <c r="S7" s="6" t="s">
        <v>27</v>
      </c>
      <c r="T7" s="7">
        <v>4.0999999999999996</v>
      </c>
      <c r="U7" s="6">
        <f>IF(_xlfn.XLOOKUP(A7,[1]Data2!$A:$A,[1]Data2!$B:$B,"no")="yes",1,0)</f>
        <v>0</v>
      </c>
    </row>
    <row r="8" spans="1:21" s="6" customFormat="1" x14ac:dyDescent="0.3">
      <c r="A8" s="6" t="s">
        <v>42</v>
      </c>
      <c r="B8" s="6" t="s">
        <v>22</v>
      </c>
      <c r="C8" s="6" t="s">
        <v>23</v>
      </c>
      <c r="D8" s="6" t="s">
        <v>24</v>
      </c>
      <c r="E8" s="6" t="s">
        <v>25</v>
      </c>
      <c r="F8" s="6" t="s">
        <v>32</v>
      </c>
      <c r="G8" s="7">
        <f>Table2[[#This Row],[Unit price]]-10</f>
        <v>58.84</v>
      </c>
      <c r="H8" s="7">
        <v>68.84</v>
      </c>
      <c r="I8" s="8">
        <v>6</v>
      </c>
      <c r="J8" s="8">
        <f>Table2[[#This Row],[Unit price]]*Table2[[#This Row],[Quantity]]</f>
        <v>413.04</v>
      </c>
      <c r="K8" s="8">
        <f>Table2[[#This Row],[Unit Cost]]*Table2[[#This Row],[Quantity]]</f>
        <v>353.04</v>
      </c>
      <c r="L8" s="8">
        <f>Table2[[#This Row],[Gross Sales]]-Table2[[#This Row],[COGS]]</f>
        <v>60</v>
      </c>
      <c r="M8" s="9">
        <f t="shared" si="0"/>
        <v>0.14526438117373619</v>
      </c>
      <c r="N8" s="7">
        <v>20.652000000000001</v>
      </c>
      <c r="O8" s="7">
        <v>433.69200000000001</v>
      </c>
      <c r="P8" s="10">
        <v>43521</v>
      </c>
      <c r="Q8" s="10" t="str">
        <f>TEXT(Table2[[#This Row],[Date]],"mmm")</f>
        <v>Feb</v>
      </c>
      <c r="R8" s="11">
        <v>0.60833333333333328</v>
      </c>
      <c r="S8" s="6" t="s">
        <v>27</v>
      </c>
      <c r="T8" s="7">
        <v>5.8</v>
      </c>
      <c r="U8" s="6">
        <f>IF(_xlfn.XLOOKUP(A8,[1]Data2!$A:$A,[1]Data2!$B:$B,"no")="yes",1,0)</f>
        <v>0</v>
      </c>
    </row>
    <row r="9" spans="1:21" s="6" customFormat="1" x14ac:dyDescent="0.3">
      <c r="A9" s="6" t="s">
        <v>43</v>
      </c>
      <c r="B9" s="6" t="s">
        <v>29</v>
      </c>
      <c r="C9" s="6" t="s">
        <v>30</v>
      </c>
      <c r="D9" s="6" t="s">
        <v>31</v>
      </c>
      <c r="E9" s="6" t="s">
        <v>25</v>
      </c>
      <c r="F9" s="6" t="s">
        <v>36</v>
      </c>
      <c r="G9" s="7">
        <f>Table2[[#This Row],[Unit price]]-10</f>
        <v>63.56</v>
      </c>
      <c r="H9" s="7">
        <v>73.56</v>
      </c>
      <c r="I9" s="8">
        <v>10</v>
      </c>
      <c r="J9" s="8">
        <f>Table2[[#This Row],[Unit price]]*Table2[[#This Row],[Quantity]]</f>
        <v>735.6</v>
      </c>
      <c r="K9" s="8">
        <f>Table2[[#This Row],[Unit Cost]]*Table2[[#This Row],[Quantity]]</f>
        <v>635.6</v>
      </c>
      <c r="L9" s="8">
        <f>Table2[[#This Row],[Gross Sales]]-Table2[[#This Row],[COGS]]</f>
        <v>100</v>
      </c>
      <c r="M9" s="9">
        <f t="shared" si="0"/>
        <v>0.13594344752582926</v>
      </c>
      <c r="N9" s="7">
        <v>36.78</v>
      </c>
      <c r="O9" s="7">
        <v>772.38</v>
      </c>
      <c r="P9" s="10">
        <v>43520</v>
      </c>
      <c r="Q9" s="10" t="str">
        <f>TEXT(Table2[[#This Row],[Date]],"mmm")</f>
        <v>Feb</v>
      </c>
      <c r="R9" s="11">
        <v>0.48472222222222222</v>
      </c>
      <c r="S9" s="6" t="s">
        <v>27</v>
      </c>
      <c r="T9" s="7">
        <v>8</v>
      </c>
      <c r="U9" s="6">
        <f>IF(_xlfn.XLOOKUP(A9,[1]Data2!$A:$A,[1]Data2!$B:$B,"no")="yes",1,0)</f>
        <v>0</v>
      </c>
    </row>
    <row r="10" spans="1:21" s="6" customFormat="1" x14ac:dyDescent="0.3">
      <c r="A10" s="6" t="s">
        <v>44</v>
      </c>
      <c r="B10" s="6" t="s">
        <v>22</v>
      </c>
      <c r="C10" s="6" t="s">
        <v>23</v>
      </c>
      <c r="D10" s="6" t="s">
        <v>24</v>
      </c>
      <c r="E10" s="6" t="s">
        <v>25</v>
      </c>
      <c r="F10" s="6" t="s">
        <v>26</v>
      </c>
      <c r="G10" s="7">
        <f>Table2[[#This Row],[Unit price]]-10</f>
        <v>26.259999999999998</v>
      </c>
      <c r="H10" s="7">
        <v>36.26</v>
      </c>
      <c r="I10" s="8">
        <v>2</v>
      </c>
      <c r="J10" s="8">
        <f>Table2[[#This Row],[Unit price]]*Table2[[#This Row],[Quantity]]</f>
        <v>72.52</v>
      </c>
      <c r="K10" s="8">
        <f>Table2[[#This Row],[Unit Cost]]*Table2[[#This Row],[Quantity]]</f>
        <v>52.519999999999996</v>
      </c>
      <c r="L10" s="8">
        <f>Table2[[#This Row],[Gross Sales]]-Table2[[#This Row],[COGS]]</f>
        <v>20</v>
      </c>
      <c r="M10" s="9">
        <f t="shared" si="0"/>
        <v>0.27578599007170435</v>
      </c>
      <c r="N10" s="7">
        <v>3.6259999999999999</v>
      </c>
      <c r="O10" s="7">
        <v>76.146000000000001</v>
      </c>
      <c r="P10" s="10">
        <v>43475</v>
      </c>
      <c r="Q10" s="10" t="str">
        <f>TEXT(Table2[[#This Row],[Date]],"mmm")</f>
        <v>Jan</v>
      </c>
      <c r="R10" s="11">
        <v>0.71875</v>
      </c>
      <c r="S10" s="6" t="s">
        <v>37</v>
      </c>
      <c r="T10" s="7">
        <v>7.2</v>
      </c>
      <c r="U10" s="6">
        <f>IF(_xlfn.XLOOKUP(A10,[1]Data2!$A:$A,[1]Data2!$B:$B,"no")="yes",1,0)</f>
        <v>1</v>
      </c>
    </row>
    <row r="11" spans="1:21" s="6" customFormat="1" x14ac:dyDescent="0.3">
      <c r="A11" s="6" t="s">
        <v>45</v>
      </c>
      <c r="B11" s="6" t="s">
        <v>46</v>
      </c>
      <c r="C11" s="6" t="s">
        <v>47</v>
      </c>
      <c r="D11" s="6" t="s">
        <v>24</v>
      </c>
      <c r="E11" s="6" t="s">
        <v>25</v>
      </c>
      <c r="F11" s="6" t="s">
        <v>48</v>
      </c>
      <c r="G11" s="7">
        <f>Table2[[#This Row],[Unit price]]-10</f>
        <v>44.84</v>
      </c>
      <c r="H11" s="7">
        <v>54.84</v>
      </c>
      <c r="I11" s="8">
        <v>3</v>
      </c>
      <c r="J11" s="8">
        <f>Table2[[#This Row],[Unit price]]*Table2[[#This Row],[Quantity]]</f>
        <v>164.52</v>
      </c>
      <c r="K11" s="8">
        <f>Table2[[#This Row],[Unit Cost]]*Table2[[#This Row],[Quantity]]</f>
        <v>134.52000000000001</v>
      </c>
      <c r="L11" s="8">
        <f>Table2[[#This Row],[Gross Sales]]-Table2[[#This Row],[COGS]]</f>
        <v>30</v>
      </c>
      <c r="M11" s="9">
        <f t="shared" si="0"/>
        <v>0.1823486506199854</v>
      </c>
      <c r="N11" s="7">
        <v>8.2260000000000009</v>
      </c>
      <c r="O11" s="7">
        <v>172.74600000000001</v>
      </c>
      <c r="P11" s="10">
        <v>43516</v>
      </c>
      <c r="Q11" s="10" t="str">
        <f>TEXT(Table2[[#This Row],[Date]],"mmm")</f>
        <v>Feb</v>
      </c>
      <c r="R11" s="11">
        <v>0.56041666666666667</v>
      </c>
      <c r="S11" s="6" t="s">
        <v>37</v>
      </c>
      <c r="T11" s="7">
        <v>5.9</v>
      </c>
      <c r="U11" s="6">
        <f>IF(_xlfn.XLOOKUP(A11,[1]Data2!$A:$A,[1]Data2!$B:$B,"no")="yes",1,0)</f>
        <v>0</v>
      </c>
    </row>
    <row r="12" spans="1:21" s="6" customFormat="1" x14ac:dyDescent="0.3">
      <c r="A12" s="6" t="s">
        <v>49</v>
      </c>
      <c r="B12" s="6" t="s">
        <v>46</v>
      </c>
      <c r="C12" s="6" t="s">
        <v>47</v>
      </c>
      <c r="D12" s="6" t="s">
        <v>24</v>
      </c>
      <c r="E12" s="6" t="s">
        <v>25</v>
      </c>
      <c r="F12" s="6" t="s">
        <v>50</v>
      </c>
      <c r="G12" s="7">
        <f>Table2[[#This Row],[Unit price]]-10</f>
        <v>4.4800000000000004</v>
      </c>
      <c r="H12" s="7">
        <v>14.48</v>
      </c>
      <c r="I12" s="8">
        <v>4</v>
      </c>
      <c r="J12" s="8">
        <f>Table2[[#This Row],[Unit price]]*Table2[[#This Row],[Quantity]]</f>
        <v>57.92</v>
      </c>
      <c r="K12" s="8">
        <f>Table2[[#This Row],[Unit Cost]]*Table2[[#This Row],[Quantity]]</f>
        <v>17.920000000000002</v>
      </c>
      <c r="L12" s="8">
        <f>Table2[[#This Row],[Gross Sales]]-Table2[[#This Row],[COGS]]</f>
        <v>40</v>
      </c>
      <c r="M12" s="9">
        <f t="shared" si="0"/>
        <v>0.69060773480662985</v>
      </c>
      <c r="N12" s="7">
        <v>2.8959999999999999</v>
      </c>
      <c r="O12" s="7">
        <v>60.816000000000003</v>
      </c>
      <c r="P12" s="10">
        <v>43502</v>
      </c>
      <c r="Q12" s="10" t="str">
        <f>TEXT(Table2[[#This Row],[Date]],"mmm")</f>
        <v>Feb</v>
      </c>
      <c r="R12" s="11">
        <v>0.75486111111111109</v>
      </c>
      <c r="S12" s="6" t="s">
        <v>27</v>
      </c>
      <c r="T12" s="7">
        <v>4.5</v>
      </c>
      <c r="U12" s="6">
        <f>IF(_xlfn.XLOOKUP(A12,[1]Data2!$A:$A,[1]Data2!$B:$B,"no")="yes",1,0)</f>
        <v>0</v>
      </c>
    </row>
    <row r="13" spans="1:21" s="6" customFormat="1" x14ac:dyDescent="0.3">
      <c r="A13" s="6" t="s">
        <v>51</v>
      </c>
      <c r="B13" s="6" t="s">
        <v>46</v>
      </c>
      <c r="C13" s="6" t="s">
        <v>47</v>
      </c>
      <c r="D13" s="6" t="s">
        <v>24</v>
      </c>
      <c r="E13" s="6" t="s">
        <v>35</v>
      </c>
      <c r="F13" s="6" t="s">
        <v>32</v>
      </c>
      <c r="G13" s="7">
        <f>Table2[[#This Row],[Unit price]]-10</f>
        <v>15.510000000000002</v>
      </c>
      <c r="H13" s="7">
        <v>25.51</v>
      </c>
      <c r="I13" s="8">
        <v>4</v>
      </c>
      <c r="J13" s="8">
        <f>Table2[[#This Row],[Unit price]]*Table2[[#This Row],[Quantity]]</f>
        <v>102.04</v>
      </c>
      <c r="K13" s="8">
        <f>Table2[[#This Row],[Unit Cost]]*Table2[[#This Row],[Quantity]]</f>
        <v>62.040000000000006</v>
      </c>
      <c r="L13" s="8">
        <f>Table2[[#This Row],[Gross Sales]]-Table2[[#This Row],[COGS]]</f>
        <v>40</v>
      </c>
      <c r="M13" s="9">
        <f t="shared" si="0"/>
        <v>0.39200313602508818</v>
      </c>
      <c r="N13" s="7">
        <v>5.1020000000000003</v>
      </c>
      <c r="O13" s="7">
        <v>107.142</v>
      </c>
      <c r="P13" s="10">
        <v>43533</v>
      </c>
      <c r="Q13" s="10" t="str">
        <f>TEXT(Table2[[#This Row],[Date]],"mmm")</f>
        <v>Mar</v>
      </c>
      <c r="R13" s="11">
        <v>0.7104166666666667</v>
      </c>
      <c r="S13" s="6" t="s">
        <v>33</v>
      </c>
      <c r="T13" s="7">
        <v>6.8</v>
      </c>
      <c r="U13" s="6">
        <f>IF(_xlfn.XLOOKUP(A13,[1]Data2!$A:$A,[1]Data2!$B:$B,"no")="yes",1,0)</f>
        <v>0</v>
      </c>
    </row>
    <row r="14" spans="1:21" s="6" customFormat="1" x14ac:dyDescent="0.3">
      <c r="A14" s="6" t="s">
        <v>52</v>
      </c>
      <c r="B14" s="6" t="s">
        <v>22</v>
      </c>
      <c r="C14" s="6" t="s">
        <v>23</v>
      </c>
      <c r="D14" s="6" t="s">
        <v>31</v>
      </c>
      <c r="E14" s="6" t="s">
        <v>25</v>
      </c>
      <c r="F14" s="6" t="s">
        <v>32</v>
      </c>
      <c r="G14" s="7">
        <f>Table2[[#This Row],[Unit price]]-10</f>
        <v>36.950000000000003</v>
      </c>
      <c r="H14" s="7">
        <v>46.95</v>
      </c>
      <c r="I14" s="8">
        <v>5</v>
      </c>
      <c r="J14" s="8">
        <f>Table2[[#This Row],[Unit price]]*Table2[[#This Row],[Quantity]]</f>
        <v>234.75</v>
      </c>
      <c r="K14" s="8">
        <f>Table2[[#This Row],[Unit Cost]]*Table2[[#This Row],[Quantity]]</f>
        <v>184.75</v>
      </c>
      <c r="L14" s="8">
        <f>Table2[[#This Row],[Gross Sales]]-Table2[[#This Row],[COGS]]</f>
        <v>50</v>
      </c>
      <c r="M14" s="9">
        <f t="shared" si="0"/>
        <v>0.21299254526091588</v>
      </c>
      <c r="N14" s="7">
        <v>11.737500000000001</v>
      </c>
      <c r="O14" s="7">
        <v>246.48750000000001</v>
      </c>
      <c r="P14" s="10">
        <v>43508</v>
      </c>
      <c r="Q14" s="10" t="str">
        <f>TEXT(Table2[[#This Row],[Date]],"mmm")</f>
        <v>Feb</v>
      </c>
      <c r="R14" s="11">
        <v>0.43402777777777773</v>
      </c>
      <c r="S14" s="6" t="s">
        <v>27</v>
      </c>
      <c r="T14" s="7">
        <v>7.1</v>
      </c>
      <c r="U14" s="6">
        <f>IF(_xlfn.XLOOKUP(A14,[1]Data2!$A:$A,[1]Data2!$B:$B,"no")="yes",1,0)</f>
        <v>1</v>
      </c>
    </row>
    <row r="15" spans="1:21" s="6" customFormat="1" x14ac:dyDescent="0.3">
      <c r="A15" s="6" t="s">
        <v>53</v>
      </c>
      <c r="B15" s="6" t="s">
        <v>22</v>
      </c>
      <c r="C15" s="6" t="s">
        <v>23</v>
      </c>
      <c r="D15" s="6" t="s">
        <v>31</v>
      </c>
      <c r="E15" s="6" t="s">
        <v>35</v>
      </c>
      <c r="F15" s="6" t="s">
        <v>48</v>
      </c>
      <c r="G15" s="7">
        <f>Table2[[#This Row],[Unit price]]-10</f>
        <v>33.19</v>
      </c>
      <c r="H15" s="7">
        <v>43.19</v>
      </c>
      <c r="I15" s="8">
        <v>10</v>
      </c>
      <c r="J15" s="8">
        <f>Table2[[#This Row],[Unit price]]*Table2[[#This Row],[Quantity]]</f>
        <v>431.9</v>
      </c>
      <c r="K15" s="8">
        <f>Table2[[#This Row],[Unit Cost]]*Table2[[#This Row],[Quantity]]</f>
        <v>331.9</v>
      </c>
      <c r="L15" s="8">
        <f>Table2[[#This Row],[Gross Sales]]-Table2[[#This Row],[COGS]]</f>
        <v>100</v>
      </c>
      <c r="M15" s="9">
        <f t="shared" si="0"/>
        <v>0.23153507756425099</v>
      </c>
      <c r="N15" s="7">
        <v>21.594999999999999</v>
      </c>
      <c r="O15" s="7">
        <v>453.495</v>
      </c>
      <c r="P15" s="10">
        <v>43503</v>
      </c>
      <c r="Q15" s="10" t="str">
        <f>TEXT(Table2[[#This Row],[Date]],"mmm")</f>
        <v>Feb</v>
      </c>
      <c r="R15" s="11">
        <v>0.70000000000000007</v>
      </c>
      <c r="S15" s="6" t="s">
        <v>27</v>
      </c>
      <c r="T15" s="7">
        <v>8.1999999999999993</v>
      </c>
      <c r="U15" s="6">
        <f>IF(_xlfn.XLOOKUP(A15,[1]Data2!$A:$A,[1]Data2!$B:$B,"no")="yes",1,0)</f>
        <v>0</v>
      </c>
    </row>
    <row r="16" spans="1:21" s="6" customFormat="1" x14ac:dyDescent="0.3">
      <c r="A16" s="6" t="s">
        <v>54</v>
      </c>
      <c r="B16" s="6" t="s">
        <v>22</v>
      </c>
      <c r="C16" s="6" t="s">
        <v>23</v>
      </c>
      <c r="D16" s="6" t="s">
        <v>31</v>
      </c>
      <c r="E16" s="6" t="s">
        <v>25</v>
      </c>
      <c r="F16" s="6" t="s">
        <v>26</v>
      </c>
      <c r="G16" s="7">
        <f>Table2[[#This Row],[Unit price]]-10</f>
        <v>61.379999999999995</v>
      </c>
      <c r="H16" s="7">
        <v>71.38</v>
      </c>
      <c r="I16" s="8">
        <v>10</v>
      </c>
      <c r="J16" s="8">
        <f>Table2[[#This Row],[Unit price]]*Table2[[#This Row],[Quantity]]</f>
        <v>713.8</v>
      </c>
      <c r="K16" s="8">
        <f>Table2[[#This Row],[Unit Cost]]*Table2[[#This Row],[Quantity]]</f>
        <v>613.79999999999995</v>
      </c>
      <c r="L16" s="8">
        <f>Table2[[#This Row],[Gross Sales]]-Table2[[#This Row],[COGS]]</f>
        <v>100</v>
      </c>
      <c r="M16" s="9">
        <f t="shared" si="0"/>
        <v>0.14009526478005044</v>
      </c>
      <c r="N16" s="7">
        <v>35.69</v>
      </c>
      <c r="O16" s="7">
        <v>749.49</v>
      </c>
      <c r="P16" s="10">
        <v>43553</v>
      </c>
      <c r="Q16" s="10" t="str">
        <f>TEXT(Table2[[#This Row],[Date]],"mmm")</f>
        <v>Mar</v>
      </c>
      <c r="R16" s="11">
        <v>0.80625000000000002</v>
      </c>
      <c r="S16" s="6" t="s">
        <v>33</v>
      </c>
      <c r="T16" s="7">
        <v>5.7</v>
      </c>
      <c r="U16" s="6">
        <f>IF(_xlfn.XLOOKUP(A16,[1]Data2!$A:$A,[1]Data2!$B:$B,"no")="yes",1,0)</f>
        <v>0</v>
      </c>
    </row>
    <row r="17" spans="1:21" s="6" customFormat="1" x14ac:dyDescent="0.3">
      <c r="A17" s="6" t="s">
        <v>55</v>
      </c>
      <c r="B17" s="6" t="s">
        <v>46</v>
      </c>
      <c r="C17" s="6" t="s">
        <v>47</v>
      </c>
      <c r="D17" s="6" t="s">
        <v>24</v>
      </c>
      <c r="E17" s="6" t="s">
        <v>25</v>
      </c>
      <c r="F17" s="6" t="s">
        <v>40</v>
      </c>
      <c r="G17" s="7">
        <f>Table2[[#This Row],[Unit price]]-10</f>
        <v>83.72</v>
      </c>
      <c r="H17" s="7">
        <v>93.72</v>
      </c>
      <c r="I17" s="8">
        <v>6</v>
      </c>
      <c r="J17" s="8">
        <f>Table2[[#This Row],[Unit price]]*Table2[[#This Row],[Quantity]]</f>
        <v>562.31999999999994</v>
      </c>
      <c r="K17" s="8">
        <f>Table2[[#This Row],[Unit Cost]]*Table2[[#This Row],[Quantity]]</f>
        <v>502.32</v>
      </c>
      <c r="L17" s="8">
        <f>Table2[[#This Row],[Gross Sales]]-Table2[[#This Row],[COGS]]</f>
        <v>59.999999999999943</v>
      </c>
      <c r="M17" s="9">
        <f t="shared" si="0"/>
        <v>0.10670081092616295</v>
      </c>
      <c r="N17" s="7">
        <v>28.116</v>
      </c>
      <c r="O17" s="7">
        <v>590.43600000000004</v>
      </c>
      <c r="P17" s="10">
        <v>43480</v>
      </c>
      <c r="Q17" s="10" t="str">
        <f>TEXT(Table2[[#This Row],[Date]],"mmm")</f>
        <v>Jan</v>
      </c>
      <c r="R17" s="11">
        <v>0.67986111111111114</v>
      </c>
      <c r="S17" s="6" t="s">
        <v>33</v>
      </c>
      <c r="T17" s="7">
        <v>4.5</v>
      </c>
      <c r="U17" s="6">
        <f>IF(_xlfn.XLOOKUP(A17,[1]Data2!$A:$A,[1]Data2!$B:$B,"no")="yes",1,0)</f>
        <v>0</v>
      </c>
    </row>
    <row r="18" spans="1:21" s="6" customFormat="1" x14ac:dyDescent="0.3">
      <c r="A18" s="6" t="s">
        <v>56</v>
      </c>
      <c r="B18" s="6" t="s">
        <v>22</v>
      </c>
      <c r="C18" s="6" t="s">
        <v>23</v>
      </c>
      <c r="D18" s="6" t="s">
        <v>24</v>
      </c>
      <c r="E18" s="6" t="s">
        <v>25</v>
      </c>
      <c r="F18" s="6" t="s">
        <v>26</v>
      </c>
      <c r="G18" s="7">
        <f>Table2[[#This Row],[Unit price]]-10</f>
        <v>58.930000000000007</v>
      </c>
      <c r="H18" s="7">
        <v>68.930000000000007</v>
      </c>
      <c r="I18" s="8">
        <v>7</v>
      </c>
      <c r="J18" s="8">
        <f>Table2[[#This Row],[Unit price]]*Table2[[#This Row],[Quantity]]</f>
        <v>482.51000000000005</v>
      </c>
      <c r="K18" s="8">
        <f>Table2[[#This Row],[Unit Cost]]*Table2[[#This Row],[Quantity]]</f>
        <v>412.51000000000005</v>
      </c>
      <c r="L18" s="8">
        <f>Table2[[#This Row],[Gross Sales]]-Table2[[#This Row],[COGS]]</f>
        <v>70</v>
      </c>
      <c r="M18" s="9">
        <f t="shared" si="0"/>
        <v>0.14507471347744086</v>
      </c>
      <c r="N18" s="7">
        <v>24.125499999999999</v>
      </c>
      <c r="O18" s="7">
        <v>506.63549999999998</v>
      </c>
      <c r="P18" s="10">
        <v>43535</v>
      </c>
      <c r="Q18" s="10" t="str">
        <f>TEXT(Table2[[#This Row],[Date]],"mmm")</f>
        <v>Mar</v>
      </c>
      <c r="R18" s="11">
        <v>0.4604166666666667</v>
      </c>
      <c r="S18" s="6" t="s">
        <v>37</v>
      </c>
      <c r="T18" s="7">
        <v>4.5999999999999996</v>
      </c>
      <c r="U18" s="6">
        <f>IF(_xlfn.XLOOKUP(A18,[1]Data2!$A:$A,[1]Data2!$B:$B,"no")="yes",1,0)</f>
        <v>1</v>
      </c>
    </row>
    <row r="19" spans="1:21" s="6" customFormat="1" x14ac:dyDescent="0.3">
      <c r="A19" s="6" t="s">
        <v>57</v>
      </c>
      <c r="B19" s="6" t="s">
        <v>22</v>
      </c>
      <c r="C19" s="6" t="s">
        <v>23</v>
      </c>
      <c r="D19" s="6" t="s">
        <v>31</v>
      </c>
      <c r="E19" s="6" t="s">
        <v>35</v>
      </c>
      <c r="F19" s="6" t="s">
        <v>40</v>
      </c>
      <c r="G19" s="7">
        <f>Table2[[#This Row],[Unit price]]-10</f>
        <v>62.61</v>
      </c>
      <c r="H19" s="7">
        <v>72.61</v>
      </c>
      <c r="I19" s="8">
        <v>6</v>
      </c>
      <c r="J19" s="8">
        <f>Table2[[#This Row],[Unit price]]*Table2[[#This Row],[Quantity]]</f>
        <v>435.65999999999997</v>
      </c>
      <c r="K19" s="8">
        <f>Table2[[#This Row],[Unit Cost]]*Table2[[#This Row],[Quantity]]</f>
        <v>375.65999999999997</v>
      </c>
      <c r="L19" s="8">
        <f>Table2[[#This Row],[Gross Sales]]-Table2[[#This Row],[COGS]]</f>
        <v>60</v>
      </c>
      <c r="M19" s="9">
        <f t="shared" si="0"/>
        <v>0.13772207684891888</v>
      </c>
      <c r="N19" s="7">
        <v>21.783000000000001</v>
      </c>
      <c r="O19" s="7">
        <v>457.44299999999998</v>
      </c>
      <c r="P19" s="10">
        <v>43466</v>
      </c>
      <c r="Q19" s="10" t="str">
        <f>TEXT(Table2[[#This Row],[Date]],"mmm")</f>
        <v>Jan</v>
      </c>
      <c r="R19" s="11">
        <v>0.44375000000000003</v>
      </c>
      <c r="S19" s="6" t="s">
        <v>37</v>
      </c>
      <c r="T19" s="7">
        <v>6.9</v>
      </c>
      <c r="U19" s="6">
        <f>IF(_xlfn.XLOOKUP(A19,[1]Data2!$A:$A,[1]Data2!$B:$B,"no")="yes",1,0)</f>
        <v>0</v>
      </c>
    </row>
    <row r="20" spans="1:21" s="6" customFormat="1" x14ac:dyDescent="0.3">
      <c r="A20" s="6" t="s">
        <v>58</v>
      </c>
      <c r="B20" s="6" t="s">
        <v>22</v>
      </c>
      <c r="C20" s="6" t="s">
        <v>23</v>
      </c>
      <c r="D20" s="6" t="s">
        <v>31</v>
      </c>
      <c r="E20" s="6" t="s">
        <v>35</v>
      </c>
      <c r="F20" s="6" t="s">
        <v>48</v>
      </c>
      <c r="G20" s="7">
        <f>Table2[[#This Row],[Unit price]]-10</f>
        <v>44.67</v>
      </c>
      <c r="H20" s="7">
        <v>54.67</v>
      </c>
      <c r="I20" s="8">
        <v>3</v>
      </c>
      <c r="J20" s="8">
        <f>Table2[[#This Row],[Unit price]]*Table2[[#This Row],[Quantity]]</f>
        <v>164.01</v>
      </c>
      <c r="K20" s="8">
        <f>Table2[[#This Row],[Unit Cost]]*Table2[[#This Row],[Quantity]]</f>
        <v>134.01</v>
      </c>
      <c r="L20" s="8">
        <f>Table2[[#This Row],[Gross Sales]]-Table2[[#This Row],[COGS]]</f>
        <v>30</v>
      </c>
      <c r="M20" s="9">
        <f t="shared" si="0"/>
        <v>0.18291567587342236</v>
      </c>
      <c r="N20" s="7">
        <v>8.2004999999999999</v>
      </c>
      <c r="O20" s="7">
        <v>172.2105</v>
      </c>
      <c r="P20" s="10">
        <v>43486</v>
      </c>
      <c r="Q20" s="10" t="str">
        <f>TEXT(Table2[[#This Row],[Date]],"mmm")</f>
        <v>Jan</v>
      </c>
      <c r="R20" s="11">
        <v>0.75</v>
      </c>
      <c r="S20" s="6" t="s">
        <v>37</v>
      </c>
      <c r="T20" s="7">
        <v>8.6</v>
      </c>
      <c r="U20" s="6">
        <f>IF(_xlfn.XLOOKUP(A20,[1]Data2!$A:$A,[1]Data2!$B:$B,"no")="yes",1,0)</f>
        <v>0</v>
      </c>
    </row>
    <row r="21" spans="1:21" s="6" customFormat="1" x14ac:dyDescent="0.3">
      <c r="A21" s="6" t="s">
        <v>59</v>
      </c>
      <c r="B21" s="6" t="s">
        <v>46</v>
      </c>
      <c r="C21" s="6" t="s">
        <v>47</v>
      </c>
      <c r="D21" s="6" t="s">
        <v>31</v>
      </c>
      <c r="E21" s="6" t="s">
        <v>25</v>
      </c>
      <c r="F21" s="6" t="s">
        <v>36</v>
      </c>
      <c r="G21" s="7">
        <f>Table2[[#This Row],[Unit price]]-10</f>
        <v>30.299999999999997</v>
      </c>
      <c r="H21" s="7">
        <v>40.299999999999997</v>
      </c>
      <c r="I21" s="8">
        <v>2</v>
      </c>
      <c r="J21" s="8">
        <f>Table2[[#This Row],[Unit price]]*Table2[[#This Row],[Quantity]]</f>
        <v>80.599999999999994</v>
      </c>
      <c r="K21" s="8">
        <f>Table2[[#This Row],[Unit Cost]]*Table2[[#This Row],[Quantity]]</f>
        <v>60.599999999999994</v>
      </c>
      <c r="L21" s="8">
        <f>Table2[[#This Row],[Gross Sales]]-Table2[[#This Row],[COGS]]</f>
        <v>20</v>
      </c>
      <c r="M21" s="9">
        <f t="shared" si="0"/>
        <v>0.24813895781637718</v>
      </c>
      <c r="N21" s="7">
        <v>4.03</v>
      </c>
      <c r="O21" s="7">
        <v>84.63</v>
      </c>
      <c r="P21" s="10">
        <v>43535</v>
      </c>
      <c r="Q21" s="10" t="str">
        <f>TEXT(Table2[[#This Row],[Date]],"mmm")</f>
        <v>Mar</v>
      </c>
      <c r="R21" s="11">
        <v>0.64583333333333337</v>
      </c>
      <c r="S21" s="6" t="s">
        <v>27</v>
      </c>
      <c r="T21" s="7">
        <v>4.4000000000000004</v>
      </c>
      <c r="U21" s="6">
        <f>IF(_xlfn.XLOOKUP(A21,[1]Data2!$A:$A,[1]Data2!$B:$B,"no")="yes",1,0)</f>
        <v>0</v>
      </c>
    </row>
    <row r="22" spans="1:21" s="6" customFormat="1" x14ac:dyDescent="0.3">
      <c r="A22" s="6" t="s">
        <v>60</v>
      </c>
      <c r="B22" s="6" t="s">
        <v>29</v>
      </c>
      <c r="C22" s="6" t="s">
        <v>30</v>
      </c>
      <c r="D22" s="6" t="s">
        <v>24</v>
      </c>
      <c r="E22" s="6" t="s">
        <v>35</v>
      </c>
      <c r="F22" s="6" t="s">
        <v>32</v>
      </c>
      <c r="G22" s="7">
        <f>Table2[[#This Row],[Unit price]]-10</f>
        <v>76.040000000000006</v>
      </c>
      <c r="H22" s="7">
        <v>86.04</v>
      </c>
      <c r="I22" s="8">
        <v>5</v>
      </c>
      <c r="J22" s="8">
        <f>Table2[[#This Row],[Unit price]]*Table2[[#This Row],[Quantity]]</f>
        <v>430.20000000000005</v>
      </c>
      <c r="K22" s="8">
        <f>Table2[[#This Row],[Unit Cost]]*Table2[[#This Row],[Quantity]]</f>
        <v>380.20000000000005</v>
      </c>
      <c r="L22" s="8">
        <f>Table2[[#This Row],[Gross Sales]]-Table2[[#This Row],[COGS]]</f>
        <v>50</v>
      </c>
      <c r="M22" s="9">
        <f t="shared" si="0"/>
        <v>0.11622501162250115</v>
      </c>
      <c r="N22" s="7">
        <v>21.51</v>
      </c>
      <c r="O22" s="7">
        <v>451.71</v>
      </c>
      <c r="P22" s="10">
        <v>43521</v>
      </c>
      <c r="Q22" s="10" t="str">
        <f>TEXT(Table2[[#This Row],[Date]],"mmm")</f>
        <v>Feb</v>
      </c>
      <c r="R22" s="11">
        <v>0.47500000000000003</v>
      </c>
      <c r="S22" s="6" t="s">
        <v>27</v>
      </c>
      <c r="T22" s="7">
        <v>4.8</v>
      </c>
      <c r="U22" s="6">
        <f>IF(_xlfn.XLOOKUP(A22,[1]Data2!$A:$A,[1]Data2!$B:$B,"no")="yes",1,0)</f>
        <v>1</v>
      </c>
    </row>
    <row r="23" spans="1:21" s="6" customFormat="1" x14ac:dyDescent="0.3">
      <c r="A23" s="6" t="s">
        <v>61</v>
      </c>
      <c r="B23" s="6" t="s">
        <v>46</v>
      </c>
      <c r="C23" s="6" t="s">
        <v>47</v>
      </c>
      <c r="D23" s="6" t="s">
        <v>31</v>
      </c>
      <c r="E23" s="6" t="s">
        <v>35</v>
      </c>
      <c r="F23" s="6" t="s">
        <v>26</v>
      </c>
      <c r="G23" s="7">
        <f>Table2[[#This Row],[Unit price]]-10</f>
        <v>77.98</v>
      </c>
      <c r="H23" s="7">
        <v>87.98</v>
      </c>
      <c r="I23" s="8">
        <v>3</v>
      </c>
      <c r="J23" s="8">
        <f>Table2[[#This Row],[Unit price]]*Table2[[#This Row],[Quantity]]</f>
        <v>263.94</v>
      </c>
      <c r="K23" s="8">
        <f>Table2[[#This Row],[Unit Cost]]*Table2[[#This Row],[Quantity]]</f>
        <v>233.94</v>
      </c>
      <c r="L23" s="8">
        <f>Table2[[#This Row],[Gross Sales]]-Table2[[#This Row],[COGS]]</f>
        <v>30</v>
      </c>
      <c r="M23" s="9">
        <f t="shared" si="0"/>
        <v>0.11366219595362582</v>
      </c>
      <c r="N23" s="7">
        <v>13.196999999999999</v>
      </c>
      <c r="O23" s="7">
        <v>277.137</v>
      </c>
      <c r="P23" s="10">
        <v>43529</v>
      </c>
      <c r="Q23" s="10" t="str">
        <f>TEXT(Table2[[#This Row],[Date]],"mmm")</f>
        <v>Mar</v>
      </c>
      <c r="R23" s="11">
        <v>0.44444444444444442</v>
      </c>
      <c r="S23" s="6" t="s">
        <v>27</v>
      </c>
      <c r="T23" s="7">
        <v>5.0999999999999996</v>
      </c>
      <c r="U23" s="6">
        <f>IF(_xlfn.XLOOKUP(A23,[1]Data2!$A:$A,[1]Data2!$B:$B,"no")="yes",1,0)</f>
        <v>0</v>
      </c>
    </row>
    <row r="24" spans="1:21" s="6" customFormat="1" x14ac:dyDescent="0.3">
      <c r="A24" s="6" t="s">
        <v>62</v>
      </c>
      <c r="B24" s="6" t="s">
        <v>46</v>
      </c>
      <c r="C24" s="6" t="s">
        <v>47</v>
      </c>
      <c r="D24" s="6" t="s">
        <v>31</v>
      </c>
      <c r="E24" s="6" t="s">
        <v>35</v>
      </c>
      <c r="F24" s="6" t="s">
        <v>36</v>
      </c>
      <c r="G24" s="7">
        <f>Table2[[#This Row],[Unit price]]-10</f>
        <v>23.200000000000003</v>
      </c>
      <c r="H24" s="7">
        <v>33.200000000000003</v>
      </c>
      <c r="I24" s="8">
        <v>2</v>
      </c>
      <c r="J24" s="8">
        <f>Table2[[#This Row],[Unit price]]*Table2[[#This Row],[Quantity]]</f>
        <v>66.400000000000006</v>
      </c>
      <c r="K24" s="8">
        <f>Table2[[#This Row],[Unit Cost]]*Table2[[#This Row],[Quantity]]</f>
        <v>46.400000000000006</v>
      </c>
      <c r="L24" s="8">
        <f>Table2[[#This Row],[Gross Sales]]-Table2[[#This Row],[COGS]]</f>
        <v>20</v>
      </c>
      <c r="M24" s="9">
        <f t="shared" si="0"/>
        <v>0.3012048192771084</v>
      </c>
      <c r="N24" s="7">
        <v>3.32</v>
      </c>
      <c r="O24" s="7">
        <v>69.72</v>
      </c>
      <c r="P24" s="10">
        <v>43539</v>
      </c>
      <c r="Q24" s="10" t="str">
        <f>TEXT(Table2[[#This Row],[Date]],"mmm")</f>
        <v>Mar</v>
      </c>
      <c r="R24" s="11">
        <v>0.51388888888888895</v>
      </c>
      <c r="S24" s="6" t="s">
        <v>37</v>
      </c>
      <c r="T24" s="7">
        <v>4.4000000000000004</v>
      </c>
      <c r="U24" s="6">
        <f>IF(_xlfn.XLOOKUP(A24,[1]Data2!$A:$A,[1]Data2!$B:$B,"no")="yes",1,0)</f>
        <v>0</v>
      </c>
    </row>
    <row r="25" spans="1:21" s="6" customFormat="1" x14ac:dyDescent="0.3">
      <c r="A25" s="6" t="s">
        <v>63</v>
      </c>
      <c r="B25" s="6" t="s">
        <v>22</v>
      </c>
      <c r="C25" s="6" t="s">
        <v>23</v>
      </c>
      <c r="D25" s="6" t="s">
        <v>31</v>
      </c>
      <c r="E25" s="6" t="s">
        <v>35</v>
      </c>
      <c r="F25" s="6" t="s">
        <v>32</v>
      </c>
      <c r="G25" s="7">
        <f>Table2[[#This Row],[Unit price]]-10</f>
        <v>24.560000000000002</v>
      </c>
      <c r="H25" s="7">
        <v>34.56</v>
      </c>
      <c r="I25" s="8">
        <v>5</v>
      </c>
      <c r="J25" s="8">
        <f>Table2[[#This Row],[Unit price]]*Table2[[#This Row],[Quantity]]</f>
        <v>172.8</v>
      </c>
      <c r="K25" s="8">
        <f>Table2[[#This Row],[Unit Cost]]*Table2[[#This Row],[Quantity]]</f>
        <v>122.80000000000001</v>
      </c>
      <c r="L25" s="8">
        <f>Table2[[#This Row],[Gross Sales]]-Table2[[#This Row],[COGS]]</f>
        <v>50</v>
      </c>
      <c r="M25" s="9">
        <f t="shared" si="0"/>
        <v>0.28935185185185186</v>
      </c>
      <c r="N25" s="7">
        <v>8.64</v>
      </c>
      <c r="O25" s="7">
        <v>181.44</v>
      </c>
      <c r="P25" s="10">
        <v>43513</v>
      </c>
      <c r="Q25" s="10" t="str">
        <f>TEXT(Table2[[#This Row],[Date]],"mmm")</f>
        <v>Feb</v>
      </c>
      <c r="R25" s="11">
        <v>0.46875</v>
      </c>
      <c r="S25" s="6" t="s">
        <v>27</v>
      </c>
      <c r="T25" s="7">
        <v>9.9</v>
      </c>
      <c r="U25" s="6">
        <f>IF(_xlfn.XLOOKUP(A25,[1]Data2!$A:$A,[1]Data2!$B:$B,"no")="yes",1,0)</f>
        <v>0</v>
      </c>
    </row>
    <row r="26" spans="1:21" s="6" customFormat="1" x14ac:dyDescent="0.3">
      <c r="A26" s="6" t="s">
        <v>64</v>
      </c>
      <c r="B26" s="6" t="s">
        <v>22</v>
      </c>
      <c r="C26" s="6" t="s">
        <v>23</v>
      </c>
      <c r="D26" s="6" t="s">
        <v>24</v>
      </c>
      <c r="E26" s="6" t="s">
        <v>35</v>
      </c>
      <c r="F26" s="6" t="s">
        <v>40</v>
      </c>
      <c r="G26" s="7">
        <f>Table2[[#This Row],[Unit price]]-10</f>
        <v>78.63</v>
      </c>
      <c r="H26" s="7">
        <v>88.63</v>
      </c>
      <c r="I26" s="8">
        <v>3</v>
      </c>
      <c r="J26" s="8">
        <f>Table2[[#This Row],[Unit price]]*Table2[[#This Row],[Quantity]]</f>
        <v>265.89</v>
      </c>
      <c r="K26" s="8">
        <f>Table2[[#This Row],[Unit Cost]]*Table2[[#This Row],[Quantity]]</f>
        <v>235.89</v>
      </c>
      <c r="L26" s="8">
        <f>Table2[[#This Row],[Gross Sales]]-Table2[[#This Row],[COGS]]</f>
        <v>30</v>
      </c>
      <c r="M26" s="9">
        <f t="shared" si="0"/>
        <v>0.1128286133363421</v>
      </c>
      <c r="N26" s="7">
        <v>13.294499999999999</v>
      </c>
      <c r="O26" s="7">
        <v>279.18450000000001</v>
      </c>
      <c r="P26" s="10">
        <v>43526</v>
      </c>
      <c r="Q26" s="10" t="str">
        <f>TEXT(Table2[[#This Row],[Date]],"mmm")</f>
        <v>Mar</v>
      </c>
      <c r="R26" s="11">
        <v>0.73333333333333339</v>
      </c>
      <c r="S26" s="6" t="s">
        <v>27</v>
      </c>
      <c r="T26" s="7">
        <v>6</v>
      </c>
      <c r="U26" s="6">
        <f>IF(_xlfn.XLOOKUP(A26,[1]Data2!$A:$A,[1]Data2!$B:$B,"no")="yes",1,0)</f>
        <v>1</v>
      </c>
    </row>
    <row r="27" spans="1:21" s="6" customFormat="1" x14ac:dyDescent="0.3">
      <c r="A27" s="6" t="s">
        <v>65</v>
      </c>
      <c r="B27" s="6" t="s">
        <v>22</v>
      </c>
      <c r="C27" s="6" t="s">
        <v>23</v>
      </c>
      <c r="D27" s="6" t="s">
        <v>24</v>
      </c>
      <c r="E27" s="6" t="s">
        <v>25</v>
      </c>
      <c r="F27" s="6" t="s">
        <v>36</v>
      </c>
      <c r="G27" s="7">
        <f>Table2[[#This Row],[Unit price]]-10</f>
        <v>42.59</v>
      </c>
      <c r="H27" s="7">
        <v>52.59</v>
      </c>
      <c r="I27" s="8">
        <v>8</v>
      </c>
      <c r="J27" s="8">
        <f>Table2[[#This Row],[Unit price]]*Table2[[#This Row],[Quantity]]</f>
        <v>420.72</v>
      </c>
      <c r="K27" s="8">
        <f>Table2[[#This Row],[Unit Cost]]*Table2[[#This Row],[Quantity]]</f>
        <v>340.72</v>
      </c>
      <c r="L27" s="8">
        <f>Table2[[#This Row],[Gross Sales]]-Table2[[#This Row],[COGS]]</f>
        <v>80</v>
      </c>
      <c r="M27" s="9">
        <f t="shared" si="0"/>
        <v>0.19015021867275145</v>
      </c>
      <c r="N27" s="7">
        <v>21.036000000000001</v>
      </c>
      <c r="O27" s="7">
        <v>441.75599999999997</v>
      </c>
      <c r="P27" s="10">
        <v>43546</v>
      </c>
      <c r="Q27" s="10" t="str">
        <f>TEXT(Table2[[#This Row],[Date]],"mmm")</f>
        <v>Mar</v>
      </c>
      <c r="R27" s="11">
        <v>0.80555555555555547</v>
      </c>
      <c r="S27" s="6" t="s">
        <v>37</v>
      </c>
      <c r="T27" s="7">
        <v>8.5</v>
      </c>
      <c r="U27" s="6">
        <f>IF(_xlfn.XLOOKUP(A27,[1]Data2!$A:$A,[1]Data2!$B:$B,"no")="yes",1,0)</f>
        <v>0</v>
      </c>
    </row>
    <row r="28" spans="1:21" s="6" customFormat="1" x14ac:dyDescent="0.3">
      <c r="A28" s="6" t="s">
        <v>66</v>
      </c>
      <c r="B28" s="6" t="s">
        <v>46</v>
      </c>
      <c r="C28" s="6" t="s">
        <v>47</v>
      </c>
      <c r="D28" s="6" t="s">
        <v>31</v>
      </c>
      <c r="E28" s="6" t="s">
        <v>35</v>
      </c>
      <c r="F28" s="6" t="s">
        <v>50</v>
      </c>
      <c r="G28" s="7">
        <f>Table2[[#This Row],[Unit price]]-10</f>
        <v>23.520000000000003</v>
      </c>
      <c r="H28" s="7">
        <v>33.520000000000003</v>
      </c>
      <c r="I28" s="8">
        <v>1</v>
      </c>
      <c r="J28" s="8">
        <f>Table2[[#This Row],[Unit price]]*Table2[[#This Row],[Quantity]]</f>
        <v>33.520000000000003</v>
      </c>
      <c r="K28" s="8">
        <f>Table2[[#This Row],[Unit Cost]]*Table2[[#This Row],[Quantity]]</f>
        <v>23.520000000000003</v>
      </c>
      <c r="L28" s="8">
        <f>Table2[[#This Row],[Gross Sales]]-Table2[[#This Row],[COGS]]</f>
        <v>10</v>
      </c>
      <c r="M28" s="9">
        <f t="shared" si="0"/>
        <v>0.29832935560859186</v>
      </c>
      <c r="N28" s="7">
        <v>1.6759999999999999</v>
      </c>
      <c r="O28" s="7">
        <v>35.195999999999998</v>
      </c>
      <c r="P28" s="10">
        <v>43504</v>
      </c>
      <c r="Q28" s="10" t="str">
        <f>TEXT(Table2[[#This Row],[Date]],"mmm")</f>
        <v>Feb</v>
      </c>
      <c r="R28" s="11">
        <v>0.64652777777777781</v>
      </c>
      <c r="S28" s="6" t="s">
        <v>33</v>
      </c>
      <c r="T28" s="7">
        <v>6.7</v>
      </c>
      <c r="U28" s="6">
        <f>IF(_xlfn.XLOOKUP(A28,[1]Data2!$A:$A,[1]Data2!$B:$B,"no")="yes",1,0)</f>
        <v>0</v>
      </c>
    </row>
    <row r="29" spans="1:21" s="6" customFormat="1" x14ac:dyDescent="0.3">
      <c r="A29" s="6" t="s">
        <v>67</v>
      </c>
      <c r="B29" s="6" t="s">
        <v>22</v>
      </c>
      <c r="C29" s="6" t="s">
        <v>23</v>
      </c>
      <c r="D29" s="6" t="s">
        <v>31</v>
      </c>
      <c r="E29" s="6" t="s">
        <v>25</v>
      </c>
      <c r="F29" s="6" t="s">
        <v>50</v>
      </c>
      <c r="G29" s="7">
        <f>Table2[[#This Row],[Unit price]]-10</f>
        <v>77.67</v>
      </c>
      <c r="H29" s="7">
        <v>87.67</v>
      </c>
      <c r="I29" s="8">
        <v>2</v>
      </c>
      <c r="J29" s="8">
        <f>Table2[[#This Row],[Unit price]]*Table2[[#This Row],[Quantity]]</f>
        <v>175.34</v>
      </c>
      <c r="K29" s="8">
        <f>Table2[[#This Row],[Unit Cost]]*Table2[[#This Row],[Quantity]]</f>
        <v>155.34</v>
      </c>
      <c r="L29" s="8">
        <f>Table2[[#This Row],[Gross Sales]]-Table2[[#This Row],[COGS]]</f>
        <v>20</v>
      </c>
      <c r="M29" s="9">
        <f t="shared" si="0"/>
        <v>0.11406410402646287</v>
      </c>
      <c r="N29" s="7">
        <v>8.7669999999999995</v>
      </c>
      <c r="O29" s="7">
        <v>184.107</v>
      </c>
      <c r="P29" s="10">
        <v>43534</v>
      </c>
      <c r="Q29" s="10" t="str">
        <f>TEXT(Table2[[#This Row],[Date]],"mmm")</f>
        <v>Mar</v>
      </c>
      <c r="R29" s="11">
        <v>0.51180555555555551</v>
      </c>
      <c r="S29" s="6" t="s">
        <v>37</v>
      </c>
      <c r="T29" s="7">
        <v>7.7</v>
      </c>
      <c r="U29" s="6">
        <f>IF(_xlfn.XLOOKUP(A29,[1]Data2!$A:$A,[1]Data2!$B:$B,"no")="yes",1,0)</f>
        <v>0</v>
      </c>
    </row>
    <row r="30" spans="1:21" s="6" customFormat="1" x14ac:dyDescent="0.3">
      <c r="A30" s="6" t="s">
        <v>68</v>
      </c>
      <c r="B30" s="6" t="s">
        <v>46</v>
      </c>
      <c r="C30" s="6" t="s">
        <v>47</v>
      </c>
      <c r="D30" s="6" t="s">
        <v>31</v>
      </c>
      <c r="E30" s="6" t="s">
        <v>25</v>
      </c>
      <c r="F30" s="6" t="s">
        <v>48</v>
      </c>
      <c r="G30" s="7">
        <f>Table2[[#This Row],[Unit price]]-10</f>
        <v>78.36</v>
      </c>
      <c r="H30" s="7">
        <v>88.36</v>
      </c>
      <c r="I30" s="8">
        <v>5</v>
      </c>
      <c r="J30" s="8">
        <f>Table2[[#This Row],[Unit price]]*Table2[[#This Row],[Quantity]]</f>
        <v>441.8</v>
      </c>
      <c r="K30" s="8">
        <f>Table2[[#This Row],[Unit Cost]]*Table2[[#This Row],[Quantity]]</f>
        <v>391.8</v>
      </c>
      <c r="L30" s="8">
        <f>Table2[[#This Row],[Gross Sales]]-Table2[[#This Row],[COGS]]</f>
        <v>50</v>
      </c>
      <c r="M30" s="9">
        <f t="shared" si="0"/>
        <v>0.11317338162064282</v>
      </c>
      <c r="N30" s="7">
        <v>22.09</v>
      </c>
      <c r="O30" s="7">
        <v>463.89</v>
      </c>
      <c r="P30" s="10">
        <v>43490</v>
      </c>
      <c r="Q30" s="10" t="str">
        <f>TEXT(Table2[[#This Row],[Date]],"mmm")</f>
        <v>Jan</v>
      </c>
      <c r="R30" s="11">
        <v>0.82500000000000007</v>
      </c>
      <c r="S30" s="6" t="s">
        <v>33</v>
      </c>
      <c r="T30" s="7">
        <v>9.6</v>
      </c>
      <c r="U30" s="6">
        <f>IF(_xlfn.XLOOKUP(A30,[1]Data2!$A:$A,[1]Data2!$B:$B,"no")="yes",1,0)</f>
        <v>1</v>
      </c>
    </row>
    <row r="31" spans="1:21" s="6" customFormat="1" x14ac:dyDescent="0.3">
      <c r="A31" s="6" t="s">
        <v>69</v>
      </c>
      <c r="B31" s="6" t="s">
        <v>22</v>
      </c>
      <c r="C31" s="6" t="s">
        <v>23</v>
      </c>
      <c r="D31" s="6" t="s">
        <v>31</v>
      </c>
      <c r="E31" s="6" t="s">
        <v>35</v>
      </c>
      <c r="F31" s="6" t="s">
        <v>26</v>
      </c>
      <c r="G31" s="7">
        <f>Table2[[#This Row],[Unit price]]-10</f>
        <v>14.89</v>
      </c>
      <c r="H31" s="7">
        <v>24.89</v>
      </c>
      <c r="I31" s="8">
        <v>9</v>
      </c>
      <c r="J31" s="8">
        <f>Table2[[#This Row],[Unit price]]*Table2[[#This Row],[Quantity]]</f>
        <v>224.01</v>
      </c>
      <c r="K31" s="8">
        <f>Table2[[#This Row],[Unit Cost]]*Table2[[#This Row],[Quantity]]</f>
        <v>134.01</v>
      </c>
      <c r="L31" s="8">
        <f>Table2[[#This Row],[Gross Sales]]-Table2[[#This Row],[COGS]]</f>
        <v>90</v>
      </c>
      <c r="M31" s="9">
        <f t="shared" si="0"/>
        <v>0.40176777822418641</v>
      </c>
      <c r="N31" s="7">
        <v>11.2005</v>
      </c>
      <c r="O31" s="7">
        <v>235.2105</v>
      </c>
      <c r="P31" s="10">
        <v>43539</v>
      </c>
      <c r="Q31" s="10" t="str">
        <f>TEXT(Table2[[#This Row],[Date]],"mmm")</f>
        <v>Mar</v>
      </c>
      <c r="R31" s="11">
        <v>0.65</v>
      </c>
      <c r="S31" s="6" t="s">
        <v>33</v>
      </c>
      <c r="T31" s="7">
        <v>7.4</v>
      </c>
      <c r="U31" s="6">
        <f>IF(_xlfn.XLOOKUP(A31,[1]Data2!$A:$A,[1]Data2!$B:$B,"no")="yes",1,0)</f>
        <v>0</v>
      </c>
    </row>
    <row r="32" spans="1:21" s="6" customFormat="1" x14ac:dyDescent="0.3">
      <c r="A32" s="6" t="s">
        <v>70</v>
      </c>
      <c r="B32" s="6" t="s">
        <v>46</v>
      </c>
      <c r="C32" s="6" t="s">
        <v>47</v>
      </c>
      <c r="D32" s="6" t="s">
        <v>31</v>
      </c>
      <c r="E32" s="6" t="s">
        <v>35</v>
      </c>
      <c r="F32" s="6" t="s">
        <v>50</v>
      </c>
      <c r="G32" s="7">
        <f>Table2[[#This Row],[Unit price]]-10</f>
        <v>84.13</v>
      </c>
      <c r="H32" s="7">
        <v>94.13</v>
      </c>
      <c r="I32" s="8">
        <v>5</v>
      </c>
      <c r="J32" s="8">
        <f>Table2[[#This Row],[Unit price]]*Table2[[#This Row],[Quantity]]</f>
        <v>470.65</v>
      </c>
      <c r="K32" s="8">
        <f>Table2[[#This Row],[Unit Cost]]*Table2[[#This Row],[Quantity]]</f>
        <v>420.65</v>
      </c>
      <c r="L32" s="8">
        <f>Table2[[#This Row],[Gross Sales]]-Table2[[#This Row],[COGS]]</f>
        <v>50</v>
      </c>
      <c r="M32" s="9">
        <f t="shared" si="0"/>
        <v>0.10623605651758207</v>
      </c>
      <c r="N32" s="7">
        <v>23.532499999999999</v>
      </c>
      <c r="O32" s="7">
        <v>494.1825</v>
      </c>
      <c r="P32" s="10">
        <v>43521</v>
      </c>
      <c r="Q32" s="10" t="str">
        <f>TEXT(Table2[[#This Row],[Date]],"mmm")</f>
        <v>Feb</v>
      </c>
      <c r="R32" s="11">
        <v>0.81874999999999998</v>
      </c>
      <c r="S32" s="6" t="s">
        <v>37</v>
      </c>
      <c r="T32" s="7">
        <v>4.8</v>
      </c>
      <c r="U32" s="6">
        <f>IF(_xlfn.XLOOKUP(A32,[1]Data2!$A:$A,[1]Data2!$B:$B,"no")="yes",1,0)</f>
        <v>0</v>
      </c>
    </row>
    <row r="33" spans="1:21" s="6" customFormat="1" x14ac:dyDescent="0.3">
      <c r="A33" s="6" t="s">
        <v>71</v>
      </c>
      <c r="B33" s="6" t="s">
        <v>46</v>
      </c>
      <c r="C33" s="6" t="s">
        <v>47</v>
      </c>
      <c r="D33" s="6" t="s">
        <v>24</v>
      </c>
      <c r="E33" s="6" t="s">
        <v>35</v>
      </c>
      <c r="F33" s="6" t="s">
        <v>40</v>
      </c>
      <c r="G33" s="7">
        <f>Table2[[#This Row],[Unit price]]-10</f>
        <v>68.069999999999993</v>
      </c>
      <c r="H33" s="7">
        <v>78.069999999999993</v>
      </c>
      <c r="I33" s="8">
        <v>9</v>
      </c>
      <c r="J33" s="8">
        <f>Table2[[#This Row],[Unit price]]*Table2[[#This Row],[Quantity]]</f>
        <v>702.62999999999988</v>
      </c>
      <c r="K33" s="8">
        <f>Table2[[#This Row],[Unit Cost]]*Table2[[#This Row],[Quantity]]</f>
        <v>612.62999999999988</v>
      </c>
      <c r="L33" s="8">
        <f>Table2[[#This Row],[Gross Sales]]-Table2[[#This Row],[COGS]]</f>
        <v>90</v>
      </c>
      <c r="M33" s="9">
        <f t="shared" si="0"/>
        <v>0.12809017548354043</v>
      </c>
      <c r="N33" s="7">
        <v>35.131500000000003</v>
      </c>
      <c r="O33" s="7">
        <v>737.76149999999996</v>
      </c>
      <c r="P33" s="10">
        <v>43493</v>
      </c>
      <c r="Q33" s="10" t="str">
        <f>TEXT(Table2[[#This Row],[Date]],"mmm")</f>
        <v>Jan</v>
      </c>
      <c r="R33" s="11">
        <v>0.52986111111111112</v>
      </c>
      <c r="S33" s="6" t="s">
        <v>33</v>
      </c>
      <c r="T33" s="7">
        <v>4.5</v>
      </c>
      <c r="U33" s="6">
        <f>IF(_xlfn.XLOOKUP(A33,[1]Data2!$A:$A,[1]Data2!$B:$B,"no")="yes",1,0)</f>
        <v>0</v>
      </c>
    </row>
    <row r="34" spans="1:21" s="6" customFormat="1" x14ac:dyDescent="0.3">
      <c r="A34" s="6" t="s">
        <v>72</v>
      </c>
      <c r="B34" s="6" t="s">
        <v>46</v>
      </c>
      <c r="C34" s="6" t="s">
        <v>47</v>
      </c>
      <c r="D34" s="6" t="s">
        <v>31</v>
      </c>
      <c r="E34" s="6" t="s">
        <v>35</v>
      </c>
      <c r="F34" s="6" t="s">
        <v>40</v>
      </c>
      <c r="G34" s="7">
        <f>Table2[[#This Row],[Unit price]]-10</f>
        <v>73.78</v>
      </c>
      <c r="H34" s="7">
        <v>83.78</v>
      </c>
      <c r="I34" s="8">
        <v>8</v>
      </c>
      <c r="J34" s="8">
        <f>Table2[[#This Row],[Unit price]]*Table2[[#This Row],[Quantity]]</f>
        <v>670.24</v>
      </c>
      <c r="K34" s="8">
        <f>Table2[[#This Row],[Unit Cost]]*Table2[[#This Row],[Quantity]]</f>
        <v>590.24</v>
      </c>
      <c r="L34" s="8">
        <f>Table2[[#This Row],[Gross Sales]]-Table2[[#This Row],[COGS]]</f>
        <v>80</v>
      </c>
      <c r="M34" s="9">
        <f t="shared" si="0"/>
        <v>0.11936022917164001</v>
      </c>
      <c r="N34" s="7">
        <v>33.512</v>
      </c>
      <c r="O34" s="7">
        <v>703.75199999999995</v>
      </c>
      <c r="P34" s="10">
        <v>43475</v>
      </c>
      <c r="Q34" s="10" t="str">
        <f>TEXT(Table2[[#This Row],[Date]],"mmm")</f>
        <v>Jan</v>
      </c>
      <c r="R34" s="11">
        <v>0.61736111111111114</v>
      </c>
      <c r="S34" s="6" t="s">
        <v>33</v>
      </c>
      <c r="T34" s="7">
        <v>5.0999999999999996</v>
      </c>
      <c r="U34" s="6">
        <f>IF(_xlfn.XLOOKUP(A34,[1]Data2!$A:$A,[1]Data2!$B:$B,"no")="yes",1,0)</f>
        <v>1</v>
      </c>
    </row>
    <row r="35" spans="1:21" s="6" customFormat="1" x14ac:dyDescent="0.3">
      <c r="A35" s="6" t="s">
        <v>73</v>
      </c>
      <c r="B35" s="6" t="s">
        <v>22</v>
      </c>
      <c r="C35" s="6" t="s">
        <v>23</v>
      </c>
      <c r="D35" s="6" t="s">
        <v>31</v>
      </c>
      <c r="E35" s="6" t="s">
        <v>35</v>
      </c>
      <c r="F35" s="6" t="s">
        <v>26</v>
      </c>
      <c r="G35" s="7">
        <f>Table2[[#This Row],[Unit price]]-10</f>
        <v>86.58</v>
      </c>
      <c r="H35" s="7">
        <v>96.58</v>
      </c>
      <c r="I35" s="8">
        <v>2</v>
      </c>
      <c r="J35" s="8">
        <f>Table2[[#This Row],[Unit price]]*Table2[[#This Row],[Quantity]]</f>
        <v>193.16</v>
      </c>
      <c r="K35" s="8">
        <f>Table2[[#This Row],[Unit Cost]]*Table2[[#This Row],[Quantity]]</f>
        <v>173.16</v>
      </c>
      <c r="L35" s="8">
        <f>Table2[[#This Row],[Gross Sales]]-Table2[[#This Row],[COGS]]</f>
        <v>20</v>
      </c>
      <c r="M35" s="9">
        <f t="shared" si="0"/>
        <v>0.10354110581901015</v>
      </c>
      <c r="N35" s="7">
        <v>9.6579999999999995</v>
      </c>
      <c r="O35" s="7">
        <v>202.81800000000001</v>
      </c>
      <c r="P35" s="10">
        <v>43539</v>
      </c>
      <c r="Q35" s="10" t="str">
        <f>TEXT(Table2[[#This Row],[Date]],"mmm")</f>
        <v>Mar</v>
      </c>
      <c r="R35" s="11">
        <v>0.42499999999999999</v>
      </c>
      <c r="S35" s="6" t="s">
        <v>37</v>
      </c>
      <c r="T35" s="7">
        <v>5.0999999999999996</v>
      </c>
      <c r="U35" s="6">
        <f>IF(_xlfn.XLOOKUP(A35,[1]Data2!$A:$A,[1]Data2!$B:$B,"no")="yes",1,0)</f>
        <v>0</v>
      </c>
    </row>
    <row r="36" spans="1:21" s="6" customFormat="1" x14ac:dyDescent="0.3">
      <c r="A36" s="6" t="s">
        <v>74</v>
      </c>
      <c r="B36" s="6" t="s">
        <v>29</v>
      </c>
      <c r="C36" s="6" t="s">
        <v>30</v>
      </c>
      <c r="D36" s="6" t="s">
        <v>24</v>
      </c>
      <c r="E36" s="6" t="s">
        <v>25</v>
      </c>
      <c r="F36" s="6" t="s">
        <v>48</v>
      </c>
      <c r="G36" s="7">
        <f>Table2[[#This Row],[Unit price]]-10</f>
        <v>89.42</v>
      </c>
      <c r="H36" s="7">
        <v>99.42</v>
      </c>
      <c r="I36" s="8">
        <v>4</v>
      </c>
      <c r="J36" s="8">
        <f>Table2[[#This Row],[Unit price]]*Table2[[#This Row],[Quantity]]</f>
        <v>397.68</v>
      </c>
      <c r="K36" s="8">
        <f>Table2[[#This Row],[Unit Cost]]*Table2[[#This Row],[Quantity]]</f>
        <v>357.68</v>
      </c>
      <c r="L36" s="8">
        <f>Table2[[#This Row],[Gross Sales]]-Table2[[#This Row],[COGS]]</f>
        <v>40</v>
      </c>
      <c r="M36" s="9">
        <f t="shared" si="0"/>
        <v>0.10058338362502514</v>
      </c>
      <c r="N36" s="7">
        <v>19.884</v>
      </c>
      <c r="O36" s="7">
        <v>417.56400000000002</v>
      </c>
      <c r="P36" s="10">
        <v>43502</v>
      </c>
      <c r="Q36" s="10" t="str">
        <f>TEXT(Table2[[#This Row],[Date]],"mmm")</f>
        <v>Feb</v>
      </c>
      <c r="R36" s="11">
        <v>0.4458333333333333</v>
      </c>
      <c r="S36" s="6" t="s">
        <v>27</v>
      </c>
      <c r="T36" s="7">
        <v>7.5</v>
      </c>
      <c r="U36" s="6">
        <f>IF(_xlfn.XLOOKUP(A36,[1]Data2!$A:$A,[1]Data2!$B:$B,"no")="yes",1,0)</f>
        <v>0</v>
      </c>
    </row>
    <row r="37" spans="1:21" s="6" customFormat="1" x14ac:dyDescent="0.3">
      <c r="A37" s="6" t="s">
        <v>75</v>
      </c>
      <c r="B37" s="6" t="s">
        <v>29</v>
      </c>
      <c r="C37" s="6" t="s">
        <v>30</v>
      </c>
      <c r="D37" s="6" t="s">
        <v>24</v>
      </c>
      <c r="E37" s="6" t="s">
        <v>25</v>
      </c>
      <c r="F37" s="6" t="s">
        <v>40</v>
      </c>
      <c r="G37" s="7">
        <f>Table2[[#This Row],[Unit price]]-10</f>
        <v>58.120000000000005</v>
      </c>
      <c r="H37" s="7">
        <v>68.12</v>
      </c>
      <c r="I37" s="8">
        <v>1</v>
      </c>
      <c r="J37" s="8">
        <f>Table2[[#This Row],[Unit price]]*Table2[[#This Row],[Quantity]]</f>
        <v>68.12</v>
      </c>
      <c r="K37" s="8">
        <f>Table2[[#This Row],[Unit Cost]]*Table2[[#This Row],[Quantity]]</f>
        <v>58.120000000000005</v>
      </c>
      <c r="L37" s="8">
        <f>Table2[[#This Row],[Gross Sales]]-Table2[[#This Row],[COGS]]</f>
        <v>10</v>
      </c>
      <c r="M37" s="9">
        <f t="shared" si="0"/>
        <v>0.14679976512037579</v>
      </c>
      <c r="N37" s="7">
        <v>3.4060000000000001</v>
      </c>
      <c r="O37" s="7">
        <v>71.525999999999996</v>
      </c>
      <c r="P37" s="10">
        <v>43472</v>
      </c>
      <c r="Q37" s="10" t="str">
        <f>TEXT(Table2[[#This Row],[Date]],"mmm")</f>
        <v>Jan</v>
      </c>
      <c r="R37" s="11">
        <v>0.51944444444444449</v>
      </c>
      <c r="S37" s="6" t="s">
        <v>27</v>
      </c>
      <c r="T37" s="7">
        <v>6.8</v>
      </c>
      <c r="U37" s="6">
        <f>IF(_xlfn.XLOOKUP(A37,[1]Data2!$A:$A,[1]Data2!$B:$B,"no")="yes",1,0)</f>
        <v>0</v>
      </c>
    </row>
    <row r="38" spans="1:21" s="6" customFormat="1" x14ac:dyDescent="0.3">
      <c r="A38" s="6" t="s">
        <v>76</v>
      </c>
      <c r="B38" s="6" t="s">
        <v>22</v>
      </c>
      <c r="C38" s="6" t="s">
        <v>23</v>
      </c>
      <c r="D38" s="6" t="s">
        <v>24</v>
      </c>
      <c r="E38" s="6" t="s">
        <v>35</v>
      </c>
      <c r="F38" s="6" t="s">
        <v>40</v>
      </c>
      <c r="G38" s="7">
        <f>Table2[[#This Row],[Unit price]]-10</f>
        <v>52.62</v>
      </c>
      <c r="H38" s="7">
        <v>62.62</v>
      </c>
      <c r="I38" s="8">
        <v>5</v>
      </c>
      <c r="J38" s="8">
        <f>Table2[[#This Row],[Unit price]]*Table2[[#This Row],[Quantity]]</f>
        <v>313.09999999999997</v>
      </c>
      <c r="K38" s="8">
        <f>Table2[[#This Row],[Unit Cost]]*Table2[[#This Row],[Quantity]]</f>
        <v>263.09999999999997</v>
      </c>
      <c r="L38" s="8">
        <f>Table2[[#This Row],[Gross Sales]]-Table2[[#This Row],[COGS]]</f>
        <v>50</v>
      </c>
      <c r="M38" s="9">
        <f t="shared" si="0"/>
        <v>0.15969338869370811</v>
      </c>
      <c r="N38" s="7">
        <v>15.654999999999999</v>
      </c>
      <c r="O38" s="7">
        <v>328.755</v>
      </c>
      <c r="P38" s="10">
        <v>43534</v>
      </c>
      <c r="Q38" s="10" t="str">
        <f>TEXT(Table2[[#This Row],[Date]],"mmm")</f>
        <v>Mar</v>
      </c>
      <c r="R38" s="11">
        <v>0.80208333333333337</v>
      </c>
      <c r="S38" s="6" t="s">
        <v>27</v>
      </c>
      <c r="T38" s="7">
        <v>7</v>
      </c>
      <c r="U38" s="6">
        <f>IF(_xlfn.XLOOKUP(A38,[1]Data2!$A:$A,[1]Data2!$B:$B,"no")="yes",1,0)</f>
        <v>1</v>
      </c>
    </row>
    <row r="39" spans="1:21" s="6" customFormat="1" x14ac:dyDescent="0.3">
      <c r="A39" s="6" t="s">
        <v>77</v>
      </c>
      <c r="B39" s="6" t="s">
        <v>22</v>
      </c>
      <c r="C39" s="6" t="s">
        <v>23</v>
      </c>
      <c r="D39" s="6" t="s">
        <v>31</v>
      </c>
      <c r="E39" s="6" t="s">
        <v>25</v>
      </c>
      <c r="F39" s="6" t="s">
        <v>32</v>
      </c>
      <c r="G39" s="7">
        <f>Table2[[#This Row],[Unit price]]-10</f>
        <v>50.88</v>
      </c>
      <c r="H39" s="7">
        <v>60.88</v>
      </c>
      <c r="I39" s="8">
        <v>9</v>
      </c>
      <c r="J39" s="8">
        <f>Table2[[#This Row],[Unit price]]*Table2[[#This Row],[Quantity]]</f>
        <v>547.92000000000007</v>
      </c>
      <c r="K39" s="8">
        <f>Table2[[#This Row],[Unit Cost]]*Table2[[#This Row],[Quantity]]</f>
        <v>457.92</v>
      </c>
      <c r="L39" s="8">
        <f>Table2[[#This Row],[Gross Sales]]-Table2[[#This Row],[COGS]]</f>
        <v>90.000000000000057</v>
      </c>
      <c r="M39" s="9">
        <f t="shared" si="0"/>
        <v>0.16425755584756907</v>
      </c>
      <c r="N39" s="7">
        <v>27.396000000000001</v>
      </c>
      <c r="O39" s="7">
        <v>575.31600000000003</v>
      </c>
      <c r="P39" s="10">
        <v>43480</v>
      </c>
      <c r="Q39" s="10" t="str">
        <f>TEXT(Table2[[#This Row],[Date]],"mmm")</f>
        <v>Jan</v>
      </c>
      <c r="R39" s="11">
        <v>0.72013888888888899</v>
      </c>
      <c r="S39" s="6" t="s">
        <v>27</v>
      </c>
      <c r="T39" s="7">
        <v>4.7</v>
      </c>
      <c r="U39" s="6">
        <f>IF(_xlfn.XLOOKUP(A39,[1]Data2!$A:$A,[1]Data2!$B:$B,"no")="yes",1,0)</f>
        <v>0</v>
      </c>
    </row>
    <row r="40" spans="1:21" s="6" customFormat="1" x14ac:dyDescent="0.3">
      <c r="A40" s="6" t="s">
        <v>78</v>
      </c>
      <c r="B40" s="6" t="s">
        <v>29</v>
      </c>
      <c r="C40" s="6" t="s">
        <v>30</v>
      </c>
      <c r="D40" s="6" t="s">
        <v>31</v>
      </c>
      <c r="E40" s="6" t="s">
        <v>25</v>
      </c>
      <c r="F40" s="6" t="s">
        <v>26</v>
      </c>
      <c r="G40" s="7">
        <f>Table2[[#This Row],[Unit price]]-10</f>
        <v>44.92</v>
      </c>
      <c r="H40" s="7">
        <v>54.92</v>
      </c>
      <c r="I40" s="8">
        <v>8</v>
      </c>
      <c r="J40" s="8">
        <f>Table2[[#This Row],[Unit price]]*Table2[[#This Row],[Quantity]]</f>
        <v>439.36</v>
      </c>
      <c r="K40" s="8">
        <f>Table2[[#This Row],[Unit Cost]]*Table2[[#This Row],[Quantity]]</f>
        <v>359.36</v>
      </c>
      <c r="L40" s="8">
        <f>Table2[[#This Row],[Gross Sales]]-Table2[[#This Row],[COGS]]</f>
        <v>80</v>
      </c>
      <c r="M40" s="9">
        <f t="shared" si="0"/>
        <v>0.1820830298616169</v>
      </c>
      <c r="N40" s="7">
        <v>21.968</v>
      </c>
      <c r="O40" s="7">
        <v>461.32799999999997</v>
      </c>
      <c r="P40" s="10">
        <v>43547</v>
      </c>
      <c r="Q40" s="10" t="str">
        <f>TEXT(Table2[[#This Row],[Date]],"mmm")</f>
        <v>Mar</v>
      </c>
      <c r="R40" s="11">
        <v>0.55833333333333335</v>
      </c>
      <c r="S40" s="6" t="s">
        <v>27</v>
      </c>
      <c r="T40" s="7">
        <v>7.6</v>
      </c>
      <c r="U40" s="6">
        <f>IF(_xlfn.XLOOKUP(A40,[1]Data2!$A:$A,[1]Data2!$B:$B,"no")="yes",1,0)</f>
        <v>0</v>
      </c>
    </row>
    <row r="41" spans="1:21" s="6" customFormat="1" x14ac:dyDescent="0.3">
      <c r="A41" s="6" t="s">
        <v>79</v>
      </c>
      <c r="B41" s="6" t="s">
        <v>46</v>
      </c>
      <c r="C41" s="6" t="s">
        <v>47</v>
      </c>
      <c r="D41" s="6" t="s">
        <v>24</v>
      </c>
      <c r="E41" s="6" t="s">
        <v>35</v>
      </c>
      <c r="F41" s="6" t="s">
        <v>36</v>
      </c>
      <c r="G41" s="7">
        <f>Table2[[#This Row],[Unit price]]-10</f>
        <v>20.12</v>
      </c>
      <c r="H41" s="7">
        <v>30.12</v>
      </c>
      <c r="I41" s="8">
        <v>8</v>
      </c>
      <c r="J41" s="8">
        <f>Table2[[#This Row],[Unit price]]*Table2[[#This Row],[Quantity]]</f>
        <v>240.96</v>
      </c>
      <c r="K41" s="8">
        <f>Table2[[#This Row],[Unit Cost]]*Table2[[#This Row],[Quantity]]</f>
        <v>160.96</v>
      </c>
      <c r="L41" s="8">
        <f>Table2[[#This Row],[Gross Sales]]-Table2[[#This Row],[COGS]]</f>
        <v>80</v>
      </c>
      <c r="M41" s="9">
        <f t="shared" si="0"/>
        <v>0.33200531208499334</v>
      </c>
      <c r="N41" s="7">
        <v>12.048</v>
      </c>
      <c r="O41" s="7">
        <v>253.00800000000001</v>
      </c>
      <c r="P41" s="10">
        <v>43527</v>
      </c>
      <c r="Q41" s="10" t="str">
        <f>TEXT(Table2[[#This Row],[Date]],"mmm")</f>
        <v>Mar</v>
      </c>
      <c r="R41" s="11">
        <v>0.54236111111111118</v>
      </c>
      <c r="S41" s="6" t="s">
        <v>33</v>
      </c>
      <c r="T41" s="7">
        <v>7.7</v>
      </c>
      <c r="U41" s="6">
        <f>IF(_xlfn.XLOOKUP(A41,[1]Data2!$A:$A,[1]Data2!$B:$B,"no")="yes",1,0)</f>
        <v>0</v>
      </c>
    </row>
    <row r="42" spans="1:21" s="6" customFormat="1" x14ac:dyDescent="0.3">
      <c r="A42" s="6" t="s">
        <v>80</v>
      </c>
      <c r="B42" s="6" t="s">
        <v>46</v>
      </c>
      <c r="C42" s="6" t="s">
        <v>47</v>
      </c>
      <c r="D42" s="6" t="s">
        <v>24</v>
      </c>
      <c r="E42" s="6" t="s">
        <v>25</v>
      </c>
      <c r="F42" s="6" t="s">
        <v>36</v>
      </c>
      <c r="G42" s="7">
        <f>Table2[[#This Row],[Unit price]]-10</f>
        <v>76.72</v>
      </c>
      <c r="H42" s="7">
        <v>86.72</v>
      </c>
      <c r="I42" s="8">
        <v>1</v>
      </c>
      <c r="J42" s="8">
        <f>Table2[[#This Row],[Unit price]]*Table2[[#This Row],[Quantity]]</f>
        <v>86.72</v>
      </c>
      <c r="K42" s="8">
        <f>Table2[[#This Row],[Unit Cost]]*Table2[[#This Row],[Quantity]]</f>
        <v>76.72</v>
      </c>
      <c r="L42" s="8">
        <f>Table2[[#This Row],[Gross Sales]]-Table2[[#This Row],[COGS]]</f>
        <v>10</v>
      </c>
      <c r="M42" s="9">
        <f t="shared" si="0"/>
        <v>0.11531365313653137</v>
      </c>
      <c r="N42" s="7">
        <v>4.3360000000000003</v>
      </c>
      <c r="O42" s="7">
        <v>91.055999999999997</v>
      </c>
      <c r="P42" s="10">
        <v>43482</v>
      </c>
      <c r="Q42" s="10" t="str">
        <f>TEXT(Table2[[#This Row],[Date]],"mmm")</f>
        <v>Jan</v>
      </c>
      <c r="R42" s="11">
        <v>0.78125</v>
      </c>
      <c r="S42" s="6" t="s">
        <v>27</v>
      </c>
      <c r="T42" s="7">
        <v>7.9</v>
      </c>
      <c r="U42" s="6">
        <f>IF(_xlfn.XLOOKUP(A42,[1]Data2!$A:$A,[1]Data2!$B:$B,"no")="yes",1,0)</f>
        <v>1</v>
      </c>
    </row>
    <row r="43" spans="1:21" s="6" customFormat="1" x14ac:dyDescent="0.3">
      <c r="A43" s="6" t="s">
        <v>81</v>
      </c>
      <c r="B43" s="6" t="s">
        <v>29</v>
      </c>
      <c r="C43" s="6" t="s">
        <v>30</v>
      </c>
      <c r="D43" s="6" t="s">
        <v>24</v>
      </c>
      <c r="E43" s="6" t="s">
        <v>35</v>
      </c>
      <c r="F43" s="6" t="s">
        <v>36</v>
      </c>
      <c r="G43" s="7">
        <f>Table2[[#This Row],[Unit price]]-10</f>
        <v>46.11</v>
      </c>
      <c r="H43" s="7">
        <v>56.11</v>
      </c>
      <c r="I43" s="8">
        <v>2</v>
      </c>
      <c r="J43" s="8">
        <f>Table2[[#This Row],[Unit price]]*Table2[[#This Row],[Quantity]]</f>
        <v>112.22</v>
      </c>
      <c r="K43" s="8">
        <f>Table2[[#This Row],[Unit Cost]]*Table2[[#This Row],[Quantity]]</f>
        <v>92.22</v>
      </c>
      <c r="L43" s="8">
        <f>Table2[[#This Row],[Gross Sales]]-Table2[[#This Row],[COGS]]</f>
        <v>20</v>
      </c>
      <c r="M43" s="9">
        <f t="shared" si="0"/>
        <v>0.17822135091783997</v>
      </c>
      <c r="N43" s="7">
        <v>5.6109999999999998</v>
      </c>
      <c r="O43" s="7">
        <v>117.831</v>
      </c>
      <c r="P43" s="10">
        <v>43498</v>
      </c>
      <c r="Q43" s="10" t="str">
        <f>TEXT(Table2[[#This Row],[Date]],"mmm")</f>
        <v>Feb</v>
      </c>
      <c r="R43" s="11">
        <v>0.42430555555555555</v>
      </c>
      <c r="S43" s="6" t="s">
        <v>33</v>
      </c>
      <c r="T43" s="7">
        <v>6.3</v>
      </c>
      <c r="U43" s="6">
        <f>IF(_xlfn.XLOOKUP(A43,[1]Data2!$A:$A,[1]Data2!$B:$B,"no")="yes",1,0)</f>
        <v>0</v>
      </c>
    </row>
    <row r="44" spans="1:21" s="6" customFormat="1" x14ac:dyDescent="0.3">
      <c r="A44" s="6" t="s">
        <v>82</v>
      </c>
      <c r="B44" s="6" t="s">
        <v>46</v>
      </c>
      <c r="C44" s="6" t="s">
        <v>47</v>
      </c>
      <c r="D44" s="6" t="s">
        <v>24</v>
      </c>
      <c r="E44" s="6" t="s">
        <v>25</v>
      </c>
      <c r="F44" s="6" t="s">
        <v>40</v>
      </c>
      <c r="G44" s="7">
        <f>Table2[[#This Row],[Unit price]]-10</f>
        <v>59.120000000000005</v>
      </c>
      <c r="H44" s="7">
        <v>69.12</v>
      </c>
      <c r="I44" s="8">
        <v>6</v>
      </c>
      <c r="J44" s="8">
        <f>Table2[[#This Row],[Unit price]]*Table2[[#This Row],[Quantity]]</f>
        <v>414.72</v>
      </c>
      <c r="K44" s="8">
        <f>Table2[[#This Row],[Unit Cost]]*Table2[[#This Row],[Quantity]]</f>
        <v>354.72</v>
      </c>
      <c r="L44" s="8">
        <f>Table2[[#This Row],[Gross Sales]]-Table2[[#This Row],[COGS]]</f>
        <v>60</v>
      </c>
      <c r="M44" s="9">
        <f t="shared" si="0"/>
        <v>0.14467592592592593</v>
      </c>
      <c r="N44" s="7">
        <v>20.736000000000001</v>
      </c>
      <c r="O44" s="7">
        <v>435.45600000000002</v>
      </c>
      <c r="P44" s="10">
        <v>43504</v>
      </c>
      <c r="Q44" s="10" t="str">
        <f>TEXT(Table2[[#This Row],[Date]],"mmm")</f>
        <v>Feb</v>
      </c>
      <c r="R44" s="11">
        <v>0.54375000000000007</v>
      </c>
      <c r="S44" s="6" t="s">
        <v>33</v>
      </c>
      <c r="T44" s="7">
        <v>5.6</v>
      </c>
      <c r="U44" s="6">
        <f>IF(_xlfn.XLOOKUP(A44,[1]Data2!$A:$A,[1]Data2!$B:$B,"no")="yes",1,0)</f>
        <v>0</v>
      </c>
    </row>
    <row r="45" spans="1:21" s="6" customFormat="1" x14ac:dyDescent="0.3">
      <c r="A45" s="6" t="s">
        <v>83</v>
      </c>
      <c r="B45" s="6" t="s">
        <v>29</v>
      </c>
      <c r="C45" s="6" t="s">
        <v>30</v>
      </c>
      <c r="D45" s="6" t="s">
        <v>24</v>
      </c>
      <c r="E45" s="6" t="s">
        <v>25</v>
      </c>
      <c r="F45" s="6" t="s">
        <v>48</v>
      </c>
      <c r="G45" s="7">
        <f>Table2[[#This Row],[Unit price]]-10</f>
        <v>88.7</v>
      </c>
      <c r="H45" s="7">
        <v>98.7</v>
      </c>
      <c r="I45" s="8">
        <v>8</v>
      </c>
      <c r="J45" s="8">
        <f>Table2[[#This Row],[Unit price]]*Table2[[#This Row],[Quantity]]</f>
        <v>789.6</v>
      </c>
      <c r="K45" s="8">
        <f>Table2[[#This Row],[Unit Cost]]*Table2[[#This Row],[Quantity]]</f>
        <v>709.6</v>
      </c>
      <c r="L45" s="8">
        <f>Table2[[#This Row],[Gross Sales]]-Table2[[#This Row],[COGS]]</f>
        <v>80</v>
      </c>
      <c r="M45" s="9">
        <f t="shared" si="0"/>
        <v>0.10131712259371833</v>
      </c>
      <c r="N45" s="7">
        <v>39.479999999999997</v>
      </c>
      <c r="O45" s="7">
        <v>829.08</v>
      </c>
      <c r="P45" s="10">
        <v>43528</v>
      </c>
      <c r="Q45" s="10" t="str">
        <f>TEXT(Table2[[#This Row],[Date]],"mmm")</f>
        <v>Mar</v>
      </c>
      <c r="R45" s="11">
        <v>0.86041666666666661</v>
      </c>
      <c r="S45" s="6" t="s">
        <v>33</v>
      </c>
      <c r="T45" s="7">
        <v>7.6</v>
      </c>
      <c r="U45" s="6">
        <f>IF(_xlfn.XLOOKUP(A45,[1]Data2!$A:$A,[1]Data2!$B:$B,"no")="yes",1,0)</f>
        <v>0</v>
      </c>
    </row>
    <row r="46" spans="1:21" s="6" customFormat="1" x14ac:dyDescent="0.3">
      <c r="A46" s="6" t="s">
        <v>84</v>
      </c>
      <c r="B46" s="6" t="s">
        <v>29</v>
      </c>
      <c r="C46" s="6" t="s">
        <v>30</v>
      </c>
      <c r="D46" s="6" t="s">
        <v>24</v>
      </c>
      <c r="E46" s="6" t="s">
        <v>35</v>
      </c>
      <c r="F46" s="6" t="s">
        <v>26</v>
      </c>
      <c r="G46" s="7">
        <f>Table2[[#This Row],[Unit price]]-10</f>
        <v>5.3699999999999992</v>
      </c>
      <c r="H46" s="7">
        <v>15.37</v>
      </c>
      <c r="I46" s="8">
        <v>2</v>
      </c>
      <c r="J46" s="8">
        <f>Table2[[#This Row],[Unit price]]*Table2[[#This Row],[Quantity]]</f>
        <v>30.74</v>
      </c>
      <c r="K46" s="8">
        <f>Table2[[#This Row],[Unit Cost]]*Table2[[#This Row],[Quantity]]</f>
        <v>10.739999999999998</v>
      </c>
      <c r="L46" s="8">
        <f>Table2[[#This Row],[Gross Sales]]-Table2[[#This Row],[COGS]]</f>
        <v>20</v>
      </c>
      <c r="M46" s="9">
        <f t="shared" si="0"/>
        <v>0.65061808718282377</v>
      </c>
      <c r="N46" s="7">
        <v>1.5369999999999999</v>
      </c>
      <c r="O46" s="7">
        <v>32.277000000000001</v>
      </c>
      <c r="P46" s="10">
        <v>43540</v>
      </c>
      <c r="Q46" s="10" t="str">
        <f>TEXT(Table2[[#This Row],[Date]],"mmm")</f>
        <v>Mar</v>
      </c>
      <c r="R46" s="11">
        <v>0.82430555555555562</v>
      </c>
      <c r="S46" s="6" t="s">
        <v>33</v>
      </c>
      <c r="T46" s="7">
        <v>7.2</v>
      </c>
      <c r="U46" s="6">
        <f>IF(_xlfn.XLOOKUP(A46,[1]Data2!$A:$A,[1]Data2!$B:$B,"no")="yes",1,0)</f>
        <v>1</v>
      </c>
    </row>
    <row r="47" spans="1:21" s="6" customFormat="1" x14ac:dyDescent="0.3">
      <c r="A47" s="6" t="s">
        <v>85</v>
      </c>
      <c r="B47" s="6" t="s">
        <v>46</v>
      </c>
      <c r="C47" s="6" t="s">
        <v>47</v>
      </c>
      <c r="D47" s="6" t="s">
        <v>24</v>
      </c>
      <c r="E47" s="6" t="s">
        <v>25</v>
      </c>
      <c r="F47" s="6" t="s">
        <v>32</v>
      </c>
      <c r="G47" s="7">
        <f>Table2[[#This Row],[Unit price]]-10</f>
        <v>83.96</v>
      </c>
      <c r="H47" s="7">
        <v>93.96</v>
      </c>
      <c r="I47" s="8">
        <v>4</v>
      </c>
      <c r="J47" s="8">
        <f>Table2[[#This Row],[Unit price]]*Table2[[#This Row],[Quantity]]</f>
        <v>375.84</v>
      </c>
      <c r="K47" s="8">
        <f>Table2[[#This Row],[Unit Cost]]*Table2[[#This Row],[Quantity]]</f>
        <v>335.84</v>
      </c>
      <c r="L47" s="8">
        <f>Table2[[#This Row],[Gross Sales]]-Table2[[#This Row],[COGS]]</f>
        <v>40</v>
      </c>
      <c r="M47" s="9">
        <f t="shared" si="0"/>
        <v>0.10642826734780758</v>
      </c>
      <c r="N47" s="7">
        <v>18.792000000000002</v>
      </c>
      <c r="O47" s="7">
        <v>394.63200000000001</v>
      </c>
      <c r="P47" s="10">
        <v>43533</v>
      </c>
      <c r="Q47" s="10" t="str">
        <f>TEXT(Table2[[#This Row],[Date]],"mmm")</f>
        <v>Mar</v>
      </c>
      <c r="R47" s="11">
        <v>0.75</v>
      </c>
      <c r="S47" s="6" t="s">
        <v>33</v>
      </c>
      <c r="T47" s="7">
        <v>9.5</v>
      </c>
      <c r="U47" s="6">
        <f>IF(_xlfn.XLOOKUP(A47,[1]Data2!$A:$A,[1]Data2!$B:$B,"no")="yes",1,0)</f>
        <v>0</v>
      </c>
    </row>
    <row r="48" spans="1:21" s="6" customFormat="1" x14ac:dyDescent="0.3">
      <c r="A48" s="6" t="s">
        <v>86</v>
      </c>
      <c r="B48" s="6" t="s">
        <v>46</v>
      </c>
      <c r="C48" s="6" t="s">
        <v>47</v>
      </c>
      <c r="D48" s="6" t="s">
        <v>24</v>
      </c>
      <c r="E48" s="6" t="s">
        <v>35</v>
      </c>
      <c r="F48" s="6" t="s">
        <v>26</v>
      </c>
      <c r="G48" s="7">
        <f>Table2[[#This Row],[Unit price]]-10</f>
        <v>46.69</v>
      </c>
      <c r="H48" s="7">
        <v>56.69</v>
      </c>
      <c r="I48" s="8">
        <v>9</v>
      </c>
      <c r="J48" s="8">
        <f>Table2[[#This Row],[Unit price]]*Table2[[#This Row],[Quantity]]</f>
        <v>510.21</v>
      </c>
      <c r="K48" s="8">
        <f>Table2[[#This Row],[Unit Cost]]*Table2[[#This Row],[Quantity]]</f>
        <v>420.21</v>
      </c>
      <c r="L48" s="8">
        <f>Table2[[#This Row],[Gross Sales]]-Table2[[#This Row],[COGS]]</f>
        <v>90</v>
      </c>
      <c r="M48" s="9">
        <f t="shared" si="0"/>
        <v>0.17639795378373613</v>
      </c>
      <c r="N48" s="7">
        <v>25.5105</v>
      </c>
      <c r="O48" s="7">
        <v>535.72050000000002</v>
      </c>
      <c r="P48" s="10">
        <v>43523</v>
      </c>
      <c r="Q48" s="10" t="str">
        <f>TEXT(Table2[[#This Row],[Date]],"mmm")</f>
        <v>Feb</v>
      </c>
      <c r="R48" s="11">
        <v>0.72499999999999998</v>
      </c>
      <c r="S48" s="6" t="s">
        <v>37</v>
      </c>
      <c r="T48" s="7">
        <v>8.4</v>
      </c>
      <c r="U48" s="6">
        <f>IF(_xlfn.XLOOKUP(A48,[1]Data2!$A:$A,[1]Data2!$B:$B,"no")="yes",1,0)</f>
        <v>0</v>
      </c>
    </row>
    <row r="49" spans="1:21" s="6" customFormat="1" x14ac:dyDescent="0.3">
      <c r="A49" s="6" t="s">
        <v>87</v>
      </c>
      <c r="B49" s="6" t="s">
        <v>46</v>
      </c>
      <c r="C49" s="6" t="s">
        <v>47</v>
      </c>
      <c r="D49" s="6" t="s">
        <v>24</v>
      </c>
      <c r="E49" s="6" t="s">
        <v>25</v>
      </c>
      <c r="F49" s="6" t="s">
        <v>48</v>
      </c>
      <c r="G49" s="7">
        <f>Table2[[#This Row],[Unit price]]-10</f>
        <v>10.010000000000002</v>
      </c>
      <c r="H49" s="7">
        <v>20.010000000000002</v>
      </c>
      <c r="I49" s="8">
        <v>9</v>
      </c>
      <c r="J49" s="8">
        <f>Table2[[#This Row],[Unit price]]*Table2[[#This Row],[Quantity]]</f>
        <v>180.09</v>
      </c>
      <c r="K49" s="8">
        <f>Table2[[#This Row],[Unit Cost]]*Table2[[#This Row],[Quantity]]</f>
        <v>90.090000000000018</v>
      </c>
      <c r="L49" s="8">
        <f>Table2[[#This Row],[Gross Sales]]-Table2[[#This Row],[COGS]]</f>
        <v>89.999999999999986</v>
      </c>
      <c r="M49" s="9">
        <f t="shared" si="0"/>
        <v>0.49975012493753113</v>
      </c>
      <c r="N49" s="7">
        <v>9.0045000000000002</v>
      </c>
      <c r="O49" s="7">
        <v>189.09450000000001</v>
      </c>
      <c r="P49" s="10">
        <v>43502</v>
      </c>
      <c r="Q49" s="10" t="str">
        <f>TEXT(Table2[[#This Row],[Date]],"mmm")</f>
        <v>Feb</v>
      </c>
      <c r="R49" s="11">
        <v>0.65763888888888888</v>
      </c>
      <c r="S49" s="6" t="s">
        <v>27</v>
      </c>
      <c r="T49" s="7">
        <v>4.0999999999999996</v>
      </c>
      <c r="U49" s="6">
        <f>IF(_xlfn.XLOOKUP(A49,[1]Data2!$A:$A,[1]Data2!$B:$B,"no")="yes",1,0)</f>
        <v>0</v>
      </c>
    </row>
    <row r="50" spans="1:21" s="6" customFormat="1" x14ac:dyDescent="0.3">
      <c r="A50" s="6" t="s">
        <v>88</v>
      </c>
      <c r="B50" s="6" t="s">
        <v>46</v>
      </c>
      <c r="C50" s="6" t="s">
        <v>47</v>
      </c>
      <c r="D50" s="6" t="s">
        <v>24</v>
      </c>
      <c r="E50" s="6" t="s">
        <v>35</v>
      </c>
      <c r="F50" s="6" t="s">
        <v>32</v>
      </c>
      <c r="G50" s="7">
        <f>Table2[[#This Row],[Unit price]]-10</f>
        <v>8.93</v>
      </c>
      <c r="H50" s="7">
        <v>18.93</v>
      </c>
      <c r="I50" s="8">
        <v>6</v>
      </c>
      <c r="J50" s="8">
        <f>Table2[[#This Row],[Unit price]]*Table2[[#This Row],[Quantity]]</f>
        <v>113.58</v>
      </c>
      <c r="K50" s="8">
        <f>Table2[[#This Row],[Unit Cost]]*Table2[[#This Row],[Quantity]]</f>
        <v>53.58</v>
      </c>
      <c r="L50" s="8">
        <f>Table2[[#This Row],[Gross Sales]]-Table2[[#This Row],[COGS]]</f>
        <v>60</v>
      </c>
      <c r="M50" s="9">
        <f t="shared" si="0"/>
        <v>0.52826201796090866</v>
      </c>
      <c r="N50" s="7">
        <v>5.6790000000000003</v>
      </c>
      <c r="O50" s="7">
        <v>119.259</v>
      </c>
      <c r="P50" s="10">
        <v>43506</v>
      </c>
      <c r="Q50" s="10" t="str">
        <f>TEXT(Table2[[#This Row],[Date]],"mmm")</f>
        <v>Feb</v>
      </c>
      <c r="R50" s="11">
        <v>0.53125</v>
      </c>
      <c r="S50" s="6" t="s">
        <v>37</v>
      </c>
      <c r="T50" s="7">
        <v>8.1</v>
      </c>
      <c r="U50" s="6">
        <f>IF(_xlfn.XLOOKUP(A50,[1]Data2!$A:$A,[1]Data2!$B:$B,"no")="yes",1,0)</f>
        <v>1</v>
      </c>
    </row>
    <row r="51" spans="1:21" s="6" customFormat="1" x14ac:dyDescent="0.3">
      <c r="A51" s="6" t="s">
        <v>89</v>
      </c>
      <c r="B51" s="6" t="s">
        <v>29</v>
      </c>
      <c r="C51" s="6" t="s">
        <v>30</v>
      </c>
      <c r="D51" s="6" t="s">
        <v>24</v>
      </c>
      <c r="E51" s="6" t="s">
        <v>25</v>
      </c>
      <c r="F51" s="6" t="s">
        <v>50</v>
      </c>
      <c r="G51" s="7">
        <f>Table2[[#This Row],[Unit price]]-10</f>
        <v>72.63</v>
      </c>
      <c r="H51" s="7">
        <v>82.63</v>
      </c>
      <c r="I51" s="8">
        <v>10</v>
      </c>
      <c r="J51" s="8">
        <f>Table2[[#This Row],[Unit price]]*Table2[[#This Row],[Quantity]]</f>
        <v>826.3</v>
      </c>
      <c r="K51" s="8">
        <f>Table2[[#This Row],[Unit Cost]]*Table2[[#This Row],[Quantity]]</f>
        <v>726.3</v>
      </c>
      <c r="L51" s="8">
        <f>Table2[[#This Row],[Gross Sales]]-Table2[[#This Row],[COGS]]</f>
        <v>100</v>
      </c>
      <c r="M51" s="9">
        <f t="shared" si="0"/>
        <v>0.12102142079148009</v>
      </c>
      <c r="N51" s="7">
        <v>41.314999999999998</v>
      </c>
      <c r="O51" s="7">
        <v>867.61500000000001</v>
      </c>
      <c r="P51" s="10">
        <v>43543</v>
      </c>
      <c r="Q51" s="10" t="str">
        <f>TEXT(Table2[[#This Row],[Date]],"mmm")</f>
        <v>Mar</v>
      </c>
      <c r="R51" s="11">
        <v>0.71388888888888891</v>
      </c>
      <c r="S51" s="6" t="s">
        <v>27</v>
      </c>
      <c r="T51" s="7">
        <v>7.9</v>
      </c>
      <c r="U51" s="6">
        <f>IF(_xlfn.XLOOKUP(A51,[1]Data2!$A:$A,[1]Data2!$B:$B,"no")="yes",1,0)</f>
        <v>0</v>
      </c>
    </row>
    <row r="52" spans="1:21" s="6" customFormat="1" x14ac:dyDescent="0.3">
      <c r="A52" s="6" t="s">
        <v>90</v>
      </c>
      <c r="B52" s="6" t="s">
        <v>29</v>
      </c>
      <c r="C52" s="6" t="s">
        <v>30</v>
      </c>
      <c r="D52" s="6" t="s">
        <v>24</v>
      </c>
      <c r="E52" s="6" t="s">
        <v>35</v>
      </c>
      <c r="F52" s="6" t="s">
        <v>48</v>
      </c>
      <c r="G52" s="7">
        <f>Table2[[#This Row],[Unit price]]-10</f>
        <v>81.400000000000006</v>
      </c>
      <c r="H52" s="7">
        <v>91.4</v>
      </c>
      <c r="I52" s="8">
        <v>7</v>
      </c>
      <c r="J52" s="8">
        <f>Table2[[#This Row],[Unit price]]*Table2[[#This Row],[Quantity]]</f>
        <v>639.80000000000007</v>
      </c>
      <c r="K52" s="8">
        <f>Table2[[#This Row],[Unit Cost]]*Table2[[#This Row],[Quantity]]</f>
        <v>569.80000000000007</v>
      </c>
      <c r="L52" s="8">
        <f>Table2[[#This Row],[Gross Sales]]-Table2[[#This Row],[COGS]]</f>
        <v>70</v>
      </c>
      <c r="M52" s="9">
        <f t="shared" si="0"/>
        <v>0.10940919037199123</v>
      </c>
      <c r="N52" s="7">
        <v>31.99</v>
      </c>
      <c r="O52" s="7">
        <v>671.79</v>
      </c>
      <c r="P52" s="10">
        <v>43499</v>
      </c>
      <c r="Q52" s="10" t="str">
        <f>TEXT(Table2[[#This Row],[Date]],"mmm")</f>
        <v>Feb</v>
      </c>
      <c r="R52" s="11">
        <v>0.42986111111111108</v>
      </c>
      <c r="S52" s="6" t="s">
        <v>33</v>
      </c>
      <c r="T52" s="7">
        <v>9.5</v>
      </c>
      <c r="U52" s="6">
        <f>IF(_xlfn.XLOOKUP(A52,[1]Data2!$A:$A,[1]Data2!$B:$B,"no")="yes",1,0)</f>
        <v>0</v>
      </c>
    </row>
    <row r="53" spans="1:21" s="6" customFormat="1" x14ac:dyDescent="0.3">
      <c r="A53" s="6" t="s">
        <v>91</v>
      </c>
      <c r="B53" s="6" t="s">
        <v>22</v>
      </c>
      <c r="C53" s="6" t="s">
        <v>23</v>
      </c>
      <c r="D53" s="6" t="s">
        <v>24</v>
      </c>
      <c r="E53" s="6" t="s">
        <v>25</v>
      </c>
      <c r="F53" s="6" t="s">
        <v>48</v>
      </c>
      <c r="G53" s="7">
        <f>Table2[[#This Row],[Unit price]]-10</f>
        <v>34.590000000000003</v>
      </c>
      <c r="H53" s="7">
        <v>44.59</v>
      </c>
      <c r="I53" s="8">
        <v>5</v>
      </c>
      <c r="J53" s="8">
        <f>Table2[[#This Row],[Unit price]]*Table2[[#This Row],[Quantity]]</f>
        <v>222.95000000000002</v>
      </c>
      <c r="K53" s="8">
        <f>Table2[[#This Row],[Unit Cost]]*Table2[[#This Row],[Quantity]]</f>
        <v>172.95000000000002</v>
      </c>
      <c r="L53" s="8">
        <f>Table2[[#This Row],[Gross Sales]]-Table2[[#This Row],[COGS]]</f>
        <v>50</v>
      </c>
      <c r="M53" s="9">
        <f t="shared" si="0"/>
        <v>0.22426553038797936</v>
      </c>
      <c r="N53" s="7">
        <v>11.147500000000001</v>
      </c>
      <c r="O53" s="7">
        <v>234.0975</v>
      </c>
      <c r="P53" s="10">
        <v>43506</v>
      </c>
      <c r="Q53" s="10" t="str">
        <f>TEXT(Table2[[#This Row],[Date]],"mmm")</f>
        <v>Feb</v>
      </c>
      <c r="R53" s="11">
        <v>0.63194444444444442</v>
      </c>
      <c r="S53" s="6" t="s">
        <v>33</v>
      </c>
      <c r="T53" s="7">
        <v>8.5</v>
      </c>
      <c r="U53" s="6">
        <f>IF(_xlfn.XLOOKUP(A53,[1]Data2!$A:$A,[1]Data2!$B:$B,"no")="yes",1,0)</f>
        <v>0</v>
      </c>
    </row>
    <row r="54" spans="1:21" s="6" customFormat="1" x14ac:dyDescent="0.3">
      <c r="A54" s="6" t="s">
        <v>92</v>
      </c>
      <c r="B54" s="6" t="s">
        <v>46</v>
      </c>
      <c r="C54" s="6" t="s">
        <v>47</v>
      </c>
      <c r="D54" s="6" t="s">
        <v>24</v>
      </c>
      <c r="E54" s="6" t="s">
        <v>25</v>
      </c>
      <c r="F54" s="6" t="s">
        <v>50</v>
      </c>
      <c r="G54" s="7">
        <f>Table2[[#This Row],[Unit price]]-10</f>
        <v>7.870000000000001</v>
      </c>
      <c r="H54" s="7">
        <v>17.87</v>
      </c>
      <c r="I54" s="8">
        <v>4</v>
      </c>
      <c r="J54" s="8">
        <f>Table2[[#This Row],[Unit price]]*Table2[[#This Row],[Quantity]]</f>
        <v>71.48</v>
      </c>
      <c r="K54" s="8">
        <f>Table2[[#This Row],[Unit Cost]]*Table2[[#This Row],[Quantity]]</f>
        <v>31.480000000000004</v>
      </c>
      <c r="L54" s="8">
        <f>Table2[[#This Row],[Gross Sales]]-Table2[[#This Row],[COGS]]</f>
        <v>40</v>
      </c>
      <c r="M54" s="9">
        <f t="shared" si="0"/>
        <v>0.55959709009513148</v>
      </c>
      <c r="N54" s="7">
        <v>3.5739999999999998</v>
      </c>
      <c r="O54" s="7">
        <v>75.054000000000002</v>
      </c>
      <c r="P54" s="10">
        <v>43546</v>
      </c>
      <c r="Q54" s="10" t="str">
        <f>TEXT(Table2[[#This Row],[Date]],"mmm")</f>
        <v>Mar</v>
      </c>
      <c r="R54" s="11">
        <v>0.61249999999999993</v>
      </c>
      <c r="S54" s="6" t="s">
        <v>27</v>
      </c>
      <c r="T54" s="7">
        <v>6.5</v>
      </c>
      <c r="U54" s="6">
        <f>IF(_xlfn.XLOOKUP(A54,[1]Data2!$A:$A,[1]Data2!$B:$B,"no")="yes",1,0)</f>
        <v>1</v>
      </c>
    </row>
    <row r="55" spans="1:21" s="6" customFormat="1" x14ac:dyDescent="0.3">
      <c r="A55" s="6" t="s">
        <v>93</v>
      </c>
      <c r="B55" s="6" t="s">
        <v>29</v>
      </c>
      <c r="C55" s="6" t="s">
        <v>30</v>
      </c>
      <c r="D55" s="6" t="s">
        <v>24</v>
      </c>
      <c r="E55" s="6" t="s">
        <v>35</v>
      </c>
      <c r="F55" s="6" t="s">
        <v>50</v>
      </c>
      <c r="G55" s="7">
        <f>Table2[[#This Row],[Unit price]]-10</f>
        <v>5.43</v>
      </c>
      <c r="H55" s="7">
        <v>15.43</v>
      </c>
      <c r="I55" s="8">
        <v>1</v>
      </c>
      <c r="J55" s="8">
        <f>Table2[[#This Row],[Unit price]]*Table2[[#This Row],[Quantity]]</f>
        <v>15.43</v>
      </c>
      <c r="K55" s="8">
        <f>Table2[[#This Row],[Unit Cost]]*Table2[[#This Row],[Quantity]]</f>
        <v>5.43</v>
      </c>
      <c r="L55" s="8">
        <f>Table2[[#This Row],[Gross Sales]]-Table2[[#This Row],[COGS]]</f>
        <v>10</v>
      </c>
      <c r="M55" s="9">
        <f t="shared" si="0"/>
        <v>0.64808813998703829</v>
      </c>
      <c r="N55" s="7">
        <v>0.77149999999999996</v>
      </c>
      <c r="O55" s="7">
        <v>16.201499999999999</v>
      </c>
      <c r="P55" s="10">
        <v>43490</v>
      </c>
      <c r="Q55" s="10" t="str">
        <f>TEXT(Table2[[#This Row],[Date]],"mmm")</f>
        <v>Jan</v>
      </c>
      <c r="R55" s="11">
        <v>0.65694444444444444</v>
      </c>
      <c r="S55" s="6" t="s">
        <v>37</v>
      </c>
      <c r="T55" s="7">
        <v>6.1</v>
      </c>
      <c r="U55" s="6">
        <f>IF(_xlfn.XLOOKUP(A55,[1]Data2!$A:$A,[1]Data2!$B:$B,"no")="yes",1,0)</f>
        <v>0</v>
      </c>
    </row>
    <row r="56" spans="1:21" s="6" customFormat="1" x14ac:dyDescent="0.3">
      <c r="A56" s="6" t="s">
        <v>94</v>
      </c>
      <c r="B56" s="6" t="s">
        <v>46</v>
      </c>
      <c r="C56" s="6" t="s">
        <v>47</v>
      </c>
      <c r="D56" s="6" t="s">
        <v>31</v>
      </c>
      <c r="E56" s="6" t="s">
        <v>35</v>
      </c>
      <c r="F56" s="6" t="s">
        <v>36</v>
      </c>
      <c r="G56" s="7">
        <f>Table2[[#This Row],[Unit price]]-10</f>
        <v>6.16</v>
      </c>
      <c r="H56" s="7">
        <v>16.16</v>
      </c>
      <c r="I56" s="8">
        <v>2</v>
      </c>
      <c r="J56" s="8">
        <f>Table2[[#This Row],[Unit price]]*Table2[[#This Row],[Quantity]]</f>
        <v>32.32</v>
      </c>
      <c r="K56" s="8">
        <f>Table2[[#This Row],[Unit Cost]]*Table2[[#This Row],[Quantity]]</f>
        <v>12.32</v>
      </c>
      <c r="L56" s="8">
        <f>Table2[[#This Row],[Gross Sales]]-Table2[[#This Row],[COGS]]</f>
        <v>20</v>
      </c>
      <c r="M56" s="9">
        <f t="shared" si="0"/>
        <v>0.61881188118811881</v>
      </c>
      <c r="N56" s="7">
        <v>1.6160000000000001</v>
      </c>
      <c r="O56" s="7">
        <v>33.936</v>
      </c>
      <c r="P56" s="10">
        <v>43531</v>
      </c>
      <c r="Q56" s="10" t="str">
        <f>TEXT(Table2[[#This Row],[Date]],"mmm")</f>
        <v>Mar</v>
      </c>
      <c r="R56" s="11">
        <v>0.49236111111111108</v>
      </c>
      <c r="S56" s="6" t="s">
        <v>27</v>
      </c>
      <c r="T56" s="7">
        <v>6.5</v>
      </c>
      <c r="U56" s="6">
        <f>IF(_xlfn.XLOOKUP(A56,[1]Data2!$A:$A,[1]Data2!$B:$B,"no")="yes",1,0)</f>
        <v>0</v>
      </c>
    </row>
    <row r="57" spans="1:21" s="6" customFormat="1" x14ac:dyDescent="0.3">
      <c r="A57" s="6" t="s">
        <v>95</v>
      </c>
      <c r="B57" s="6" t="s">
        <v>29</v>
      </c>
      <c r="C57" s="6" t="s">
        <v>30</v>
      </c>
      <c r="D57" s="6" t="s">
        <v>31</v>
      </c>
      <c r="E57" s="6" t="s">
        <v>25</v>
      </c>
      <c r="F57" s="6" t="s">
        <v>32</v>
      </c>
      <c r="G57" s="7">
        <f>Table2[[#This Row],[Unit price]]-10</f>
        <v>75.98</v>
      </c>
      <c r="H57" s="7">
        <v>85.98</v>
      </c>
      <c r="I57" s="8">
        <v>8</v>
      </c>
      <c r="J57" s="8">
        <f>Table2[[#This Row],[Unit price]]*Table2[[#This Row],[Quantity]]</f>
        <v>687.84</v>
      </c>
      <c r="K57" s="8">
        <f>Table2[[#This Row],[Unit Cost]]*Table2[[#This Row],[Quantity]]</f>
        <v>607.84</v>
      </c>
      <c r="L57" s="8">
        <f>Table2[[#This Row],[Gross Sales]]-Table2[[#This Row],[COGS]]</f>
        <v>80</v>
      </c>
      <c r="M57" s="9">
        <f t="shared" si="0"/>
        <v>0.11630611770179111</v>
      </c>
      <c r="N57" s="7">
        <v>34.392000000000003</v>
      </c>
      <c r="O57" s="7">
        <v>722.23199999999997</v>
      </c>
      <c r="P57" s="10">
        <v>43524</v>
      </c>
      <c r="Q57" s="10" t="str">
        <f>TEXT(Table2[[#This Row],[Date]],"mmm")</f>
        <v>Feb</v>
      </c>
      <c r="R57" s="11">
        <v>0.79236111111111107</v>
      </c>
      <c r="S57" s="6" t="s">
        <v>33</v>
      </c>
      <c r="T57" s="7">
        <v>8.1999999999999993</v>
      </c>
      <c r="U57" s="6">
        <f>IF(_xlfn.XLOOKUP(A57,[1]Data2!$A:$A,[1]Data2!$B:$B,"no")="yes",1,0)</f>
        <v>0</v>
      </c>
    </row>
    <row r="58" spans="1:21" s="6" customFormat="1" x14ac:dyDescent="0.3">
      <c r="A58" s="6" t="s">
        <v>96</v>
      </c>
      <c r="B58" s="6" t="s">
        <v>22</v>
      </c>
      <c r="C58" s="6" t="s">
        <v>23</v>
      </c>
      <c r="D58" s="6" t="s">
        <v>24</v>
      </c>
      <c r="E58" s="6" t="s">
        <v>35</v>
      </c>
      <c r="F58" s="6" t="s">
        <v>36</v>
      </c>
      <c r="G58" s="7">
        <f>Table2[[#This Row],[Unit price]]-10</f>
        <v>34.340000000000003</v>
      </c>
      <c r="H58" s="7">
        <v>44.34</v>
      </c>
      <c r="I58" s="8">
        <v>2</v>
      </c>
      <c r="J58" s="8">
        <f>Table2[[#This Row],[Unit price]]*Table2[[#This Row],[Quantity]]</f>
        <v>88.68</v>
      </c>
      <c r="K58" s="8">
        <f>Table2[[#This Row],[Unit Cost]]*Table2[[#This Row],[Quantity]]</f>
        <v>68.680000000000007</v>
      </c>
      <c r="L58" s="8">
        <f>Table2[[#This Row],[Gross Sales]]-Table2[[#This Row],[COGS]]</f>
        <v>20</v>
      </c>
      <c r="M58" s="9">
        <f t="shared" si="0"/>
        <v>0.22552999548940006</v>
      </c>
      <c r="N58" s="7">
        <v>4.4340000000000002</v>
      </c>
      <c r="O58" s="7">
        <v>93.114000000000004</v>
      </c>
      <c r="P58" s="10">
        <v>43551</v>
      </c>
      <c r="Q58" s="10" t="str">
        <f>TEXT(Table2[[#This Row],[Date]],"mmm")</f>
        <v>Mar</v>
      </c>
      <c r="R58" s="11">
        <v>0.47638888888888892</v>
      </c>
      <c r="S58" s="6" t="s">
        <v>33</v>
      </c>
      <c r="T58" s="7">
        <v>5.8</v>
      </c>
      <c r="U58" s="6">
        <f>IF(_xlfn.XLOOKUP(A58,[1]Data2!$A:$A,[1]Data2!$B:$B,"no")="yes",1,0)</f>
        <v>1</v>
      </c>
    </row>
    <row r="59" spans="1:21" s="6" customFormat="1" x14ac:dyDescent="0.3">
      <c r="A59" s="6" t="s">
        <v>97</v>
      </c>
      <c r="B59" s="6" t="s">
        <v>22</v>
      </c>
      <c r="C59" s="6" t="s">
        <v>23</v>
      </c>
      <c r="D59" s="6" t="s">
        <v>31</v>
      </c>
      <c r="E59" s="6" t="s">
        <v>35</v>
      </c>
      <c r="F59" s="6" t="s">
        <v>26</v>
      </c>
      <c r="G59" s="7">
        <f>Table2[[#This Row],[Unit price]]-10</f>
        <v>79.599999999999994</v>
      </c>
      <c r="H59" s="7">
        <v>89.6</v>
      </c>
      <c r="I59" s="8">
        <v>8</v>
      </c>
      <c r="J59" s="8">
        <f>Table2[[#This Row],[Unit price]]*Table2[[#This Row],[Quantity]]</f>
        <v>716.8</v>
      </c>
      <c r="K59" s="8">
        <f>Table2[[#This Row],[Unit Cost]]*Table2[[#This Row],[Quantity]]</f>
        <v>636.79999999999995</v>
      </c>
      <c r="L59" s="8">
        <f>Table2[[#This Row],[Gross Sales]]-Table2[[#This Row],[COGS]]</f>
        <v>80</v>
      </c>
      <c r="M59" s="9">
        <f t="shared" si="0"/>
        <v>0.11160714285714286</v>
      </c>
      <c r="N59" s="7">
        <v>35.840000000000003</v>
      </c>
      <c r="O59" s="7">
        <v>752.64</v>
      </c>
      <c r="P59" s="10">
        <v>43503</v>
      </c>
      <c r="Q59" s="10" t="str">
        <f>TEXT(Table2[[#This Row],[Date]],"mmm")</f>
        <v>Feb</v>
      </c>
      <c r="R59" s="11">
        <v>0.4777777777777778</v>
      </c>
      <c r="S59" s="6" t="s">
        <v>27</v>
      </c>
      <c r="T59" s="7">
        <v>6.6</v>
      </c>
      <c r="U59" s="6">
        <f>IF(_xlfn.XLOOKUP(A59,[1]Data2!$A:$A,[1]Data2!$B:$B,"no")="yes",1,0)</f>
        <v>0</v>
      </c>
    </row>
    <row r="60" spans="1:21" s="6" customFormat="1" x14ac:dyDescent="0.3">
      <c r="A60" s="6" t="s">
        <v>98</v>
      </c>
      <c r="B60" s="6" t="s">
        <v>22</v>
      </c>
      <c r="C60" s="6" t="s">
        <v>23</v>
      </c>
      <c r="D60" s="6" t="s">
        <v>24</v>
      </c>
      <c r="E60" s="6" t="s">
        <v>25</v>
      </c>
      <c r="F60" s="6" t="s">
        <v>36</v>
      </c>
      <c r="G60" s="7">
        <f>Table2[[#This Row],[Unit price]]-10</f>
        <v>62.349999999999994</v>
      </c>
      <c r="H60" s="7">
        <v>72.349999999999994</v>
      </c>
      <c r="I60" s="8">
        <v>10</v>
      </c>
      <c r="J60" s="8">
        <f>Table2[[#This Row],[Unit price]]*Table2[[#This Row],[Quantity]]</f>
        <v>723.5</v>
      </c>
      <c r="K60" s="8">
        <f>Table2[[#This Row],[Unit Cost]]*Table2[[#This Row],[Quantity]]</f>
        <v>623.5</v>
      </c>
      <c r="L60" s="8">
        <f>Table2[[#This Row],[Gross Sales]]-Table2[[#This Row],[COGS]]</f>
        <v>100</v>
      </c>
      <c r="M60" s="9">
        <f t="shared" si="0"/>
        <v>0.138217000691085</v>
      </c>
      <c r="N60" s="7">
        <v>36.174999999999997</v>
      </c>
      <c r="O60" s="7">
        <v>759.67499999999995</v>
      </c>
      <c r="P60" s="10">
        <v>43485</v>
      </c>
      <c r="Q60" s="10" t="str">
        <f>TEXT(Table2[[#This Row],[Date]],"mmm")</f>
        <v>Jan</v>
      </c>
      <c r="R60" s="11">
        <v>0.66319444444444442</v>
      </c>
      <c r="S60" s="6" t="s">
        <v>33</v>
      </c>
      <c r="T60" s="7">
        <v>5.4</v>
      </c>
      <c r="U60" s="6">
        <f>IF(_xlfn.XLOOKUP(A60,[1]Data2!$A:$A,[1]Data2!$B:$B,"no")="yes",1,0)</f>
        <v>0</v>
      </c>
    </row>
    <row r="61" spans="1:21" s="6" customFormat="1" x14ac:dyDescent="0.3">
      <c r="A61" s="6" t="s">
        <v>99</v>
      </c>
      <c r="B61" s="6" t="s">
        <v>29</v>
      </c>
      <c r="C61" s="6" t="s">
        <v>30</v>
      </c>
      <c r="D61" s="6" t="s">
        <v>31</v>
      </c>
      <c r="E61" s="6" t="s">
        <v>35</v>
      </c>
      <c r="F61" s="6" t="s">
        <v>32</v>
      </c>
      <c r="G61" s="7">
        <f>Table2[[#This Row],[Unit price]]-10</f>
        <v>20.61</v>
      </c>
      <c r="H61" s="7">
        <v>30.61</v>
      </c>
      <c r="I61" s="8">
        <v>6</v>
      </c>
      <c r="J61" s="8">
        <f>Table2[[#This Row],[Unit price]]*Table2[[#This Row],[Quantity]]</f>
        <v>183.66</v>
      </c>
      <c r="K61" s="8">
        <f>Table2[[#This Row],[Unit Cost]]*Table2[[#This Row],[Quantity]]</f>
        <v>123.66</v>
      </c>
      <c r="L61" s="8">
        <f>Table2[[#This Row],[Gross Sales]]-Table2[[#This Row],[COGS]]</f>
        <v>60</v>
      </c>
      <c r="M61" s="9">
        <f t="shared" si="0"/>
        <v>0.32669062397909182</v>
      </c>
      <c r="N61" s="7">
        <v>9.1829999999999998</v>
      </c>
      <c r="O61" s="7">
        <v>192.84299999999999</v>
      </c>
      <c r="P61" s="10">
        <v>43536</v>
      </c>
      <c r="Q61" s="10" t="str">
        <f>TEXT(Table2[[#This Row],[Date]],"mmm")</f>
        <v>Mar</v>
      </c>
      <c r="R61" s="11">
        <v>0.85833333333333339</v>
      </c>
      <c r="S61" s="6" t="s">
        <v>33</v>
      </c>
      <c r="T61" s="7">
        <v>9.3000000000000007</v>
      </c>
      <c r="U61" s="6">
        <f>IF(_xlfn.XLOOKUP(A61,[1]Data2!$A:$A,[1]Data2!$B:$B,"no")="yes",1,0)</f>
        <v>0</v>
      </c>
    </row>
    <row r="62" spans="1:21" s="6" customFormat="1" x14ac:dyDescent="0.3">
      <c r="A62" s="6" t="s">
        <v>100</v>
      </c>
      <c r="B62" s="6" t="s">
        <v>29</v>
      </c>
      <c r="C62" s="6" t="s">
        <v>30</v>
      </c>
      <c r="D62" s="6" t="s">
        <v>24</v>
      </c>
      <c r="E62" s="6" t="s">
        <v>25</v>
      </c>
      <c r="F62" s="6" t="s">
        <v>40</v>
      </c>
      <c r="G62" s="7">
        <f>Table2[[#This Row],[Unit price]]-10</f>
        <v>14.739999999999998</v>
      </c>
      <c r="H62" s="7">
        <v>24.74</v>
      </c>
      <c r="I62" s="8">
        <v>3</v>
      </c>
      <c r="J62" s="8">
        <f>Table2[[#This Row],[Unit price]]*Table2[[#This Row],[Quantity]]</f>
        <v>74.22</v>
      </c>
      <c r="K62" s="8">
        <f>Table2[[#This Row],[Unit Cost]]*Table2[[#This Row],[Quantity]]</f>
        <v>44.22</v>
      </c>
      <c r="L62" s="8">
        <f>Table2[[#This Row],[Gross Sales]]-Table2[[#This Row],[COGS]]</f>
        <v>30</v>
      </c>
      <c r="M62" s="9">
        <f t="shared" si="0"/>
        <v>0.40420371867421179</v>
      </c>
      <c r="N62" s="7">
        <v>3.7109999999999999</v>
      </c>
      <c r="O62" s="7">
        <v>77.930999999999997</v>
      </c>
      <c r="P62" s="10">
        <v>43511</v>
      </c>
      <c r="Q62" s="10" t="str">
        <f>TEXT(Table2[[#This Row],[Date]],"mmm")</f>
        <v>Feb</v>
      </c>
      <c r="R62" s="11">
        <v>0.74097222222222225</v>
      </c>
      <c r="S62" s="6" t="s">
        <v>37</v>
      </c>
      <c r="T62" s="7">
        <v>10</v>
      </c>
      <c r="U62" s="6">
        <f>IF(_xlfn.XLOOKUP(A62,[1]Data2!$A:$A,[1]Data2!$B:$B,"no")="yes",1,0)</f>
        <v>1</v>
      </c>
    </row>
    <row r="63" spans="1:21" s="6" customFormat="1" x14ac:dyDescent="0.3">
      <c r="A63" s="6" t="s">
        <v>101</v>
      </c>
      <c r="B63" s="6" t="s">
        <v>29</v>
      </c>
      <c r="C63" s="6" t="s">
        <v>30</v>
      </c>
      <c r="D63" s="6" t="s">
        <v>31</v>
      </c>
      <c r="E63" s="6" t="s">
        <v>35</v>
      </c>
      <c r="F63" s="6" t="s">
        <v>36</v>
      </c>
      <c r="G63" s="7">
        <f>Table2[[#This Row],[Unit price]]-10</f>
        <v>45.73</v>
      </c>
      <c r="H63" s="7">
        <v>55.73</v>
      </c>
      <c r="I63" s="8">
        <v>6</v>
      </c>
      <c r="J63" s="8">
        <f>Table2[[#This Row],[Unit price]]*Table2[[#This Row],[Quantity]]</f>
        <v>334.38</v>
      </c>
      <c r="K63" s="8">
        <f>Table2[[#This Row],[Unit Cost]]*Table2[[#This Row],[Quantity]]</f>
        <v>274.38</v>
      </c>
      <c r="L63" s="8">
        <f>Table2[[#This Row],[Gross Sales]]-Table2[[#This Row],[COGS]]</f>
        <v>60</v>
      </c>
      <c r="M63" s="9">
        <f t="shared" si="0"/>
        <v>0.17943656917279741</v>
      </c>
      <c r="N63" s="7">
        <v>16.719000000000001</v>
      </c>
      <c r="O63" s="7">
        <v>351.09899999999999</v>
      </c>
      <c r="P63" s="10">
        <v>43520</v>
      </c>
      <c r="Q63" s="10" t="str">
        <f>TEXT(Table2[[#This Row],[Date]],"mmm")</f>
        <v>Feb</v>
      </c>
      <c r="R63" s="11">
        <v>0.4548611111111111</v>
      </c>
      <c r="S63" s="6" t="s">
        <v>27</v>
      </c>
      <c r="T63" s="7">
        <v>7</v>
      </c>
      <c r="U63" s="6">
        <f>IF(_xlfn.XLOOKUP(A63,[1]Data2!$A:$A,[1]Data2!$B:$B,"no")="yes",1,0)</f>
        <v>0</v>
      </c>
    </row>
    <row r="64" spans="1:21" s="6" customFormat="1" x14ac:dyDescent="0.3">
      <c r="A64" s="6" t="s">
        <v>102</v>
      </c>
      <c r="B64" s="6" t="s">
        <v>46</v>
      </c>
      <c r="C64" s="6" t="s">
        <v>47</v>
      </c>
      <c r="D64" s="6" t="s">
        <v>24</v>
      </c>
      <c r="E64" s="6" t="s">
        <v>25</v>
      </c>
      <c r="F64" s="6" t="s">
        <v>40</v>
      </c>
      <c r="G64" s="7">
        <f>Table2[[#This Row],[Unit price]]-10</f>
        <v>45.07</v>
      </c>
      <c r="H64" s="7">
        <v>55.07</v>
      </c>
      <c r="I64" s="8">
        <v>9</v>
      </c>
      <c r="J64" s="8">
        <f>Table2[[#This Row],[Unit price]]*Table2[[#This Row],[Quantity]]</f>
        <v>495.63</v>
      </c>
      <c r="K64" s="8">
        <f>Table2[[#This Row],[Unit Cost]]*Table2[[#This Row],[Quantity]]</f>
        <v>405.63</v>
      </c>
      <c r="L64" s="8">
        <f>Table2[[#This Row],[Gross Sales]]-Table2[[#This Row],[COGS]]</f>
        <v>90</v>
      </c>
      <c r="M64" s="9">
        <f t="shared" si="0"/>
        <v>0.18158707100054478</v>
      </c>
      <c r="N64" s="7">
        <v>24.781500000000001</v>
      </c>
      <c r="O64" s="7">
        <v>520.41150000000005</v>
      </c>
      <c r="P64" s="10">
        <v>43499</v>
      </c>
      <c r="Q64" s="10" t="str">
        <f>TEXT(Table2[[#This Row],[Date]],"mmm")</f>
        <v>Feb</v>
      </c>
      <c r="R64" s="11">
        <v>0.56944444444444442</v>
      </c>
      <c r="S64" s="6" t="s">
        <v>27</v>
      </c>
      <c r="T64" s="7">
        <v>10</v>
      </c>
      <c r="U64" s="6">
        <f>IF(_xlfn.XLOOKUP(A64,[1]Data2!$A:$A,[1]Data2!$B:$B,"no")="yes",1,0)</f>
        <v>0</v>
      </c>
    </row>
    <row r="65" spans="1:21" s="6" customFormat="1" x14ac:dyDescent="0.3">
      <c r="A65" s="6" t="s">
        <v>103</v>
      </c>
      <c r="B65" s="6" t="s">
        <v>22</v>
      </c>
      <c r="C65" s="6" t="s">
        <v>23</v>
      </c>
      <c r="D65" s="6" t="s">
        <v>24</v>
      </c>
      <c r="E65" s="6" t="s">
        <v>35</v>
      </c>
      <c r="F65" s="6" t="s">
        <v>40</v>
      </c>
      <c r="G65" s="7">
        <f>Table2[[#This Row],[Unit price]]-10</f>
        <v>5.8100000000000005</v>
      </c>
      <c r="H65" s="7">
        <v>15.81</v>
      </c>
      <c r="I65" s="8">
        <v>10</v>
      </c>
      <c r="J65" s="8">
        <f>Table2[[#This Row],[Unit price]]*Table2[[#This Row],[Quantity]]</f>
        <v>158.1</v>
      </c>
      <c r="K65" s="8">
        <f>Table2[[#This Row],[Unit Cost]]*Table2[[#This Row],[Quantity]]</f>
        <v>58.100000000000009</v>
      </c>
      <c r="L65" s="8">
        <f>Table2[[#This Row],[Gross Sales]]-Table2[[#This Row],[COGS]]</f>
        <v>99.999999999999986</v>
      </c>
      <c r="M65" s="9">
        <f t="shared" si="0"/>
        <v>0.63251106894370646</v>
      </c>
      <c r="N65" s="7">
        <v>7.9050000000000002</v>
      </c>
      <c r="O65" s="7">
        <v>166.005</v>
      </c>
      <c r="P65" s="10">
        <v>43530</v>
      </c>
      <c r="Q65" s="10" t="str">
        <f>TEXT(Table2[[#This Row],[Date]],"mmm")</f>
        <v>Mar</v>
      </c>
      <c r="R65" s="11">
        <v>0.51874999999999993</v>
      </c>
      <c r="S65" s="6" t="s">
        <v>37</v>
      </c>
      <c r="T65" s="7">
        <v>8.6</v>
      </c>
      <c r="U65" s="6">
        <f>IF(_xlfn.XLOOKUP(A65,[1]Data2!$A:$A,[1]Data2!$B:$B,"no")="yes",1,0)</f>
        <v>0</v>
      </c>
    </row>
    <row r="66" spans="1:21" s="6" customFormat="1" x14ac:dyDescent="0.3">
      <c r="A66" s="6" t="s">
        <v>104</v>
      </c>
      <c r="B66" s="6" t="s">
        <v>46</v>
      </c>
      <c r="C66" s="6" t="s">
        <v>47</v>
      </c>
      <c r="D66" s="6" t="s">
        <v>24</v>
      </c>
      <c r="E66" s="6" t="s">
        <v>35</v>
      </c>
      <c r="F66" s="6" t="s">
        <v>26</v>
      </c>
      <c r="G66" s="7">
        <f>Table2[[#This Row],[Unit price]]-10</f>
        <v>65.739999999999995</v>
      </c>
      <c r="H66" s="7">
        <v>75.739999999999995</v>
      </c>
      <c r="I66" s="8">
        <v>4</v>
      </c>
      <c r="J66" s="8">
        <f>Table2[[#This Row],[Unit price]]*Table2[[#This Row],[Quantity]]</f>
        <v>302.95999999999998</v>
      </c>
      <c r="K66" s="8">
        <f>Table2[[#This Row],[Unit Cost]]*Table2[[#This Row],[Quantity]]</f>
        <v>262.95999999999998</v>
      </c>
      <c r="L66" s="8">
        <f>Table2[[#This Row],[Gross Sales]]-Table2[[#This Row],[COGS]]</f>
        <v>40</v>
      </c>
      <c r="M66" s="9">
        <f t="shared" si="0"/>
        <v>0.13203063110641669</v>
      </c>
      <c r="N66" s="7">
        <v>15.148</v>
      </c>
      <c r="O66" s="7">
        <v>318.108</v>
      </c>
      <c r="P66" s="10">
        <v>43510</v>
      </c>
      <c r="Q66" s="10" t="str">
        <f>TEXT(Table2[[#This Row],[Date]],"mmm")</f>
        <v>Feb</v>
      </c>
      <c r="R66" s="11">
        <v>0.60763888888888895</v>
      </c>
      <c r="S66" s="6" t="s">
        <v>33</v>
      </c>
      <c r="T66" s="7">
        <v>7.6</v>
      </c>
      <c r="U66" s="6">
        <f>IF(_xlfn.XLOOKUP(A66,[1]Data2!$A:$A,[1]Data2!$B:$B,"no")="yes",1,0)</f>
        <v>1</v>
      </c>
    </row>
    <row r="67" spans="1:21" s="6" customFormat="1" x14ac:dyDescent="0.3">
      <c r="A67" s="6" t="s">
        <v>105</v>
      </c>
      <c r="B67" s="6" t="s">
        <v>22</v>
      </c>
      <c r="C67" s="6" t="s">
        <v>23</v>
      </c>
      <c r="D67" s="6" t="s">
        <v>24</v>
      </c>
      <c r="E67" s="6" t="s">
        <v>35</v>
      </c>
      <c r="F67" s="6" t="s">
        <v>26</v>
      </c>
      <c r="G67" s="7">
        <f>Table2[[#This Row],[Unit price]]-10</f>
        <v>5.8699999999999992</v>
      </c>
      <c r="H67" s="7">
        <v>15.87</v>
      </c>
      <c r="I67" s="8">
        <v>10</v>
      </c>
      <c r="J67" s="8">
        <f>Table2[[#This Row],[Unit price]]*Table2[[#This Row],[Quantity]]</f>
        <v>158.69999999999999</v>
      </c>
      <c r="K67" s="8">
        <f>Table2[[#This Row],[Unit Cost]]*Table2[[#This Row],[Quantity]]</f>
        <v>58.699999999999989</v>
      </c>
      <c r="L67" s="8">
        <f>Table2[[#This Row],[Gross Sales]]-Table2[[#This Row],[COGS]]</f>
        <v>100</v>
      </c>
      <c r="M67" s="9">
        <f t="shared" ref="M67:M130" si="1">IFERROR(L67/J67,0)</f>
        <v>0.63011972274732209</v>
      </c>
      <c r="N67" s="7">
        <v>7.9349999999999996</v>
      </c>
      <c r="O67" s="7">
        <v>166.63499999999999</v>
      </c>
      <c r="P67" s="10">
        <v>43537</v>
      </c>
      <c r="Q67" s="10" t="str">
        <f>TEXT(Table2[[#This Row],[Date]],"mmm")</f>
        <v>Mar</v>
      </c>
      <c r="R67" s="11">
        <v>0.69444444444444453</v>
      </c>
      <c r="S67" s="6" t="s">
        <v>33</v>
      </c>
      <c r="T67" s="7">
        <v>5.8</v>
      </c>
      <c r="U67" s="6">
        <f>IF(_xlfn.XLOOKUP(A67,[1]Data2!$A:$A,[1]Data2!$B:$B,"no")="yes",1,0)</f>
        <v>0</v>
      </c>
    </row>
    <row r="68" spans="1:21" s="6" customFormat="1" x14ac:dyDescent="0.3">
      <c r="A68" s="6" t="s">
        <v>106</v>
      </c>
      <c r="B68" s="6" t="s">
        <v>29</v>
      </c>
      <c r="C68" s="6" t="s">
        <v>30</v>
      </c>
      <c r="D68" s="6" t="s">
        <v>31</v>
      </c>
      <c r="E68" s="6" t="s">
        <v>25</v>
      </c>
      <c r="F68" s="6" t="s">
        <v>26</v>
      </c>
      <c r="G68" s="7">
        <f>Table2[[#This Row],[Unit price]]-10</f>
        <v>23.47</v>
      </c>
      <c r="H68" s="7">
        <v>33.47</v>
      </c>
      <c r="I68" s="8">
        <v>2</v>
      </c>
      <c r="J68" s="8">
        <f>Table2[[#This Row],[Unit price]]*Table2[[#This Row],[Quantity]]</f>
        <v>66.94</v>
      </c>
      <c r="K68" s="8">
        <f>Table2[[#This Row],[Unit Cost]]*Table2[[#This Row],[Quantity]]</f>
        <v>46.94</v>
      </c>
      <c r="L68" s="8">
        <f>Table2[[#This Row],[Gross Sales]]-Table2[[#This Row],[COGS]]</f>
        <v>20</v>
      </c>
      <c r="M68" s="9">
        <f t="shared" si="1"/>
        <v>0.2987750224081267</v>
      </c>
      <c r="N68" s="7">
        <v>3.347</v>
      </c>
      <c r="O68" s="7">
        <v>70.287000000000006</v>
      </c>
      <c r="P68" s="10">
        <v>43506</v>
      </c>
      <c r="Q68" s="10" t="str">
        <f>TEXT(Table2[[#This Row],[Date]],"mmm")</f>
        <v>Feb</v>
      </c>
      <c r="R68" s="11">
        <v>0.65486111111111112</v>
      </c>
      <c r="S68" s="6" t="s">
        <v>27</v>
      </c>
      <c r="T68" s="7">
        <v>6.7</v>
      </c>
      <c r="U68" s="6">
        <f>IF(_xlfn.XLOOKUP(A68,[1]Data2!$A:$A,[1]Data2!$B:$B,"no")="yes",1,0)</f>
        <v>0</v>
      </c>
    </row>
    <row r="69" spans="1:21" s="6" customFormat="1" x14ac:dyDescent="0.3">
      <c r="A69" s="6" t="s">
        <v>107</v>
      </c>
      <c r="B69" s="6" t="s">
        <v>46</v>
      </c>
      <c r="C69" s="6" t="s">
        <v>47</v>
      </c>
      <c r="D69" s="6" t="s">
        <v>24</v>
      </c>
      <c r="E69" s="6" t="s">
        <v>25</v>
      </c>
      <c r="F69" s="6" t="s">
        <v>50</v>
      </c>
      <c r="G69" s="7">
        <f>Table2[[#This Row],[Unit price]]-10</f>
        <v>87.61</v>
      </c>
      <c r="H69" s="7">
        <v>97.61</v>
      </c>
      <c r="I69" s="8">
        <v>6</v>
      </c>
      <c r="J69" s="8">
        <f>Table2[[#This Row],[Unit price]]*Table2[[#This Row],[Quantity]]</f>
        <v>585.66</v>
      </c>
      <c r="K69" s="8">
        <f>Table2[[#This Row],[Unit Cost]]*Table2[[#This Row],[Quantity]]</f>
        <v>525.66</v>
      </c>
      <c r="L69" s="8">
        <f>Table2[[#This Row],[Gross Sales]]-Table2[[#This Row],[COGS]]</f>
        <v>60</v>
      </c>
      <c r="M69" s="9">
        <f t="shared" si="1"/>
        <v>0.10244851961889151</v>
      </c>
      <c r="N69" s="7">
        <v>29.283000000000001</v>
      </c>
      <c r="O69" s="7">
        <v>614.94299999999998</v>
      </c>
      <c r="P69" s="10">
        <v>43472</v>
      </c>
      <c r="Q69" s="10" t="str">
        <f>TEXT(Table2[[#This Row],[Date]],"mmm")</f>
        <v>Jan</v>
      </c>
      <c r="R69" s="11">
        <v>0.62569444444444444</v>
      </c>
      <c r="S69" s="6" t="s">
        <v>27</v>
      </c>
      <c r="T69" s="7">
        <v>9.9</v>
      </c>
      <c r="U69" s="6">
        <f>IF(_xlfn.XLOOKUP(A69,[1]Data2!$A:$A,[1]Data2!$B:$B,"no")="yes",1,0)</f>
        <v>0</v>
      </c>
    </row>
    <row r="70" spans="1:21" s="6" customFormat="1" x14ac:dyDescent="0.3">
      <c r="A70" s="6" t="s">
        <v>108</v>
      </c>
      <c r="B70" s="6" t="s">
        <v>22</v>
      </c>
      <c r="C70" s="6" t="s">
        <v>23</v>
      </c>
      <c r="D70" s="6" t="s">
        <v>31</v>
      </c>
      <c r="E70" s="6" t="s">
        <v>35</v>
      </c>
      <c r="F70" s="6" t="s">
        <v>40</v>
      </c>
      <c r="G70" s="7">
        <f>Table2[[#This Row],[Unit price]]-10</f>
        <v>68.77</v>
      </c>
      <c r="H70" s="7">
        <v>78.77</v>
      </c>
      <c r="I70" s="8">
        <v>10</v>
      </c>
      <c r="J70" s="8">
        <f>Table2[[#This Row],[Unit price]]*Table2[[#This Row],[Quantity]]</f>
        <v>787.69999999999993</v>
      </c>
      <c r="K70" s="8">
        <f>Table2[[#This Row],[Unit Cost]]*Table2[[#This Row],[Quantity]]</f>
        <v>687.69999999999993</v>
      </c>
      <c r="L70" s="8">
        <f>Table2[[#This Row],[Gross Sales]]-Table2[[#This Row],[COGS]]</f>
        <v>100</v>
      </c>
      <c r="M70" s="9">
        <f t="shared" si="1"/>
        <v>0.12695188523549575</v>
      </c>
      <c r="N70" s="7">
        <v>39.384999999999998</v>
      </c>
      <c r="O70" s="7">
        <v>827.08500000000004</v>
      </c>
      <c r="P70" s="10">
        <v>43489</v>
      </c>
      <c r="Q70" s="10" t="str">
        <f>TEXT(Table2[[#This Row],[Date]],"mmm")</f>
        <v>Jan</v>
      </c>
      <c r="R70" s="11">
        <v>0.41944444444444445</v>
      </c>
      <c r="S70" s="6" t="s">
        <v>33</v>
      </c>
      <c r="T70" s="7">
        <v>6.4</v>
      </c>
      <c r="U70" s="6">
        <f>IF(_xlfn.XLOOKUP(A70,[1]Data2!$A:$A,[1]Data2!$B:$B,"no")="yes",1,0)</f>
        <v>1</v>
      </c>
    </row>
    <row r="71" spans="1:21" s="6" customFormat="1" x14ac:dyDescent="0.3">
      <c r="A71" s="6" t="s">
        <v>109</v>
      </c>
      <c r="B71" s="6" t="s">
        <v>22</v>
      </c>
      <c r="C71" s="6" t="s">
        <v>23</v>
      </c>
      <c r="D71" s="6" t="s">
        <v>24</v>
      </c>
      <c r="E71" s="6" t="s">
        <v>25</v>
      </c>
      <c r="F71" s="6" t="s">
        <v>26</v>
      </c>
      <c r="G71" s="7">
        <f>Table2[[#This Row],[Unit price]]-10</f>
        <v>8.3299999999999983</v>
      </c>
      <c r="H71" s="7">
        <v>18.329999999999998</v>
      </c>
      <c r="I71" s="8">
        <v>1</v>
      </c>
      <c r="J71" s="8">
        <f>Table2[[#This Row],[Unit price]]*Table2[[#This Row],[Quantity]]</f>
        <v>18.329999999999998</v>
      </c>
      <c r="K71" s="8">
        <f>Table2[[#This Row],[Unit Cost]]*Table2[[#This Row],[Quantity]]</f>
        <v>8.3299999999999983</v>
      </c>
      <c r="L71" s="8">
        <f>Table2[[#This Row],[Gross Sales]]-Table2[[#This Row],[COGS]]</f>
        <v>10</v>
      </c>
      <c r="M71" s="9">
        <f t="shared" si="1"/>
        <v>0.54555373704309884</v>
      </c>
      <c r="N71" s="7">
        <v>0.91649999999999998</v>
      </c>
      <c r="O71" s="7">
        <v>19.246500000000001</v>
      </c>
      <c r="P71" s="10">
        <v>43498</v>
      </c>
      <c r="Q71" s="10" t="str">
        <f>TEXT(Table2[[#This Row],[Date]],"mmm")</f>
        <v>Feb</v>
      </c>
      <c r="R71" s="11">
        <v>0.78472222222222221</v>
      </c>
      <c r="S71" s="6" t="s">
        <v>33</v>
      </c>
      <c r="T71" s="7">
        <v>4.3</v>
      </c>
      <c r="U71" s="6">
        <f>IF(_xlfn.XLOOKUP(A71,[1]Data2!$A:$A,[1]Data2!$B:$B,"no")="yes",1,0)</f>
        <v>0</v>
      </c>
    </row>
    <row r="72" spans="1:21" s="6" customFormat="1" x14ac:dyDescent="0.3">
      <c r="A72" s="6" t="s">
        <v>110</v>
      </c>
      <c r="B72" s="6" t="s">
        <v>29</v>
      </c>
      <c r="C72" s="6" t="s">
        <v>30</v>
      </c>
      <c r="D72" s="6" t="s">
        <v>31</v>
      </c>
      <c r="E72" s="6" t="s">
        <v>35</v>
      </c>
      <c r="F72" s="6" t="s">
        <v>48</v>
      </c>
      <c r="G72" s="7">
        <f>Table2[[#This Row],[Unit price]]-10</f>
        <v>79.48</v>
      </c>
      <c r="H72" s="7">
        <v>89.48</v>
      </c>
      <c r="I72" s="8">
        <v>10</v>
      </c>
      <c r="J72" s="8">
        <f>Table2[[#This Row],[Unit price]]*Table2[[#This Row],[Quantity]]</f>
        <v>894.80000000000007</v>
      </c>
      <c r="K72" s="8">
        <f>Table2[[#This Row],[Unit Cost]]*Table2[[#This Row],[Quantity]]</f>
        <v>794.80000000000007</v>
      </c>
      <c r="L72" s="8">
        <f>Table2[[#This Row],[Gross Sales]]-Table2[[#This Row],[COGS]]</f>
        <v>100</v>
      </c>
      <c r="M72" s="9">
        <f t="shared" si="1"/>
        <v>0.11175681716584711</v>
      </c>
      <c r="N72" s="7">
        <v>44.74</v>
      </c>
      <c r="O72" s="7">
        <v>939.54</v>
      </c>
      <c r="P72" s="10">
        <v>43471</v>
      </c>
      <c r="Q72" s="10" t="str">
        <f>TEXT(Table2[[#This Row],[Date]],"mmm")</f>
        <v>Jan</v>
      </c>
      <c r="R72" s="11">
        <v>0.53194444444444444</v>
      </c>
      <c r="S72" s="6" t="s">
        <v>37</v>
      </c>
      <c r="T72" s="7">
        <v>9.6</v>
      </c>
      <c r="U72" s="6">
        <f>IF(_xlfn.XLOOKUP(A72,[1]Data2!$A:$A,[1]Data2!$B:$B,"no")="yes",1,0)</f>
        <v>0</v>
      </c>
    </row>
    <row r="73" spans="1:21" s="6" customFormat="1" x14ac:dyDescent="0.3">
      <c r="A73" s="6" t="s">
        <v>111</v>
      </c>
      <c r="B73" s="6" t="s">
        <v>29</v>
      </c>
      <c r="C73" s="6" t="s">
        <v>30</v>
      </c>
      <c r="D73" s="6" t="s">
        <v>31</v>
      </c>
      <c r="E73" s="6" t="s">
        <v>35</v>
      </c>
      <c r="F73" s="6" t="s">
        <v>50</v>
      </c>
      <c r="G73" s="7">
        <f>Table2[[#This Row],[Unit price]]-10</f>
        <v>52.12</v>
      </c>
      <c r="H73" s="7">
        <v>62.12</v>
      </c>
      <c r="I73" s="8">
        <v>10</v>
      </c>
      <c r="J73" s="8">
        <f>Table2[[#This Row],[Unit price]]*Table2[[#This Row],[Quantity]]</f>
        <v>621.19999999999993</v>
      </c>
      <c r="K73" s="8">
        <f>Table2[[#This Row],[Unit Cost]]*Table2[[#This Row],[Quantity]]</f>
        <v>521.19999999999993</v>
      </c>
      <c r="L73" s="8">
        <f>Table2[[#This Row],[Gross Sales]]-Table2[[#This Row],[COGS]]</f>
        <v>100</v>
      </c>
      <c r="M73" s="9">
        <f t="shared" si="1"/>
        <v>0.16097875080489377</v>
      </c>
      <c r="N73" s="7">
        <v>31.06</v>
      </c>
      <c r="O73" s="7">
        <v>652.26</v>
      </c>
      <c r="P73" s="10">
        <v>43507</v>
      </c>
      <c r="Q73" s="10" t="str">
        <f>TEXT(Table2[[#This Row],[Date]],"mmm")</f>
        <v>Feb</v>
      </c>
      <c r="R73" s="11">
        <v>0.67986111111111114</v>
      </c>
      <c r="S73" s="6" t="s">
        <v>33</v>
      </c>
      <c r="T73" s="7">
        <v>5.9</v>
      </c>
      <c r="U73" s="6">
        <f>IF(_xlfn.XLOOKUP(A73,[1]Data2!$A:$A,[1]Data2!$B:$B,"no")="yes",1,0)</f>
        <v>0</v>
      </c>
    </row>
    <row r="74" spans="1:21" s="6" customFormat="1" x14ac:dyDescent="0.3">
      <c r="A74" s="6" t="s">
        <v>112</v>
      </c>
      <c r="B74" s="6" t="s">
        <v>46</v>
      </c>
      <c r="C74" s="6" t="s">
        <v>47</v>
      </c>
      <c r="D74" s="6" t="s">
        <v>24</v>
      </c>
      <c r="E74" s="6" t="s">
        <v>25</v>
      </c>
      <c r="F74" s="6" t="s">
        <v>48</v>
      </c>
      <c r="G74" s="7">
        <f>Table2[[#This Row],[Unit price]]-10</f>
        <v>38.520000000000003</v>
      </c>
      <c r="H74" s="7">
        <v>48.52</v>
      </c>
      <c r="I74" s="8">
        <v>3</v>
      </c>
      <c r="J74" s="8">
        <f>Table2[[#This Row],[Unit price]]*Table2[[#This Row],[Quantity]]</f>
        <v>145.56</v>
      </c>
      <c r="K74" s="8">
        <f>Table2[[#This Row],[Unit Cost]]*Table2[[#This Row],[Quantity]]</f>
        <v>115.56</v>
      </c>
      <c r="L74" s="8">
        <f>Table2[[#This Row],[Gross Sales]]-Table2[[#This Row],[COGS]]</f>
        <v>30</v>
      </c>
      <c r="M74" s="9">
        <f t="shared" si="1"/>
        <v>0.20610057708161583</v>
      </c>
      <c r="N74" s="7">
        <v>7.2779999999999996</v>
      </c>
      <c r="O74" s="7">
        <v>152.83799999999999</v>
      </c>
      <c r="P74" s="10">
        <v>43529</v>
      </c>
      <c r="Q74" s="10" t="str">
        <f>TEXT(Table2[[#This Row],[Date]],"mmm")</f>
        <v>Mar</v>
      </c>
      <c r="R74" s="11">
        <v>0.76180555555555562</v>
      </c>
      <c r="S74" s="6" t="s">
        <v>27</v>
      </c>
      <c r="T74" s="7">
        <v>4</v>
      </c>
      <c r="U74" s="6">
        <f>IF(_xlfn.XLOOKUP(A74,[1]Data2!$A:$A,[1]Data2!$B:$B,"no")="yes",1,0)</f>
        <v>1</v>
      </c>
    </row>
    <row r="75" spans="1:21" s="6" customFormat="1" x14ac:dyDescent="0.3">
      <c r="A75" s="6" t="s">
        <v>113</v>
      </c>
      <c r="B75" s="6" t="s">
        <v>29</v>
      </c>
      <c r="C75" s="6" t="s">
        <v>30</v>
      </c>
      <c r="D75" s="6" t="s">
        <v>31</v>
      </c>
      <c r="E75" s="6" t="s">
        <v>25</v>
      </c>
      <c r="F75" s="6" t="s">
        <v>32</v>
      </c>
      <c r="G75" s="7">
        <f>Table2[[#This Row],[Unit price]]-10</f>
        <v>65.91</v>
      </c>
      <c r="H75" s="7">
        <v>75.91</v>
      </c>
      <c r="I75" s="8">
        <v>6</v>
      </c>
      <c r="J75" s="8">
        <f>Table2[[#This Row],[Unit price]]*Table2[[#This Row],[Quantity]]</f>
        <v>455.46</v>
      </c>
      <c r="K75" s="8">
        <f>Table2[[#This Row],[Unit Cost]]*Table2[[#This Row],[Quantity]]</f>
        <v>395.46</v>
      </c>
      <c r="L75" s="8">
        <f>Table2[[#This Row],[Gross Sales]]-Table2[[#This Row],[COGS]]</f>
        <v>60</v>
      </c>
      <c r="M75" s="9">
        <f t="shared" si="1"/>
        <v>0.13173494928204454</v>
      </c>
      <c r="N75" s="7">
        <v>22.773</v>
      </c>
      <c r="O75" s="7">
        <v>478.233</v>
      </c>
      <c r="P75" s="10">
        <v>43533</v>
      </c>
      <c r="Q75" s="10" t="str">
        <f>TEXT(Table2[[#This Row],[Date]],"mmm")</f>
        <v>Mar</v>
      </c>
      <c r="R75" s="11">
        <v>0.76458333333333339</v>
      </c>
      <c r="S75" s="6" t="s">
        <v>33</v>
      </c>
      <c r="T75" s="7">
        <v>8.6999999999999993</v>
      </c>
      <c r="U75" s="6">
        <f>IF(_xlfn.XLOOKUP(A75,[1]Data2!$A:$A,[1]Data2!$B:$B,"no")="yes",1,0)</f>
        <v>0</v>
      </c>
    </row>
    <row r="76" spans="1:21" s="6" customFormat="1" x14ac:dyDescent="0.3">
      <c r="A76" s="6" t="s">
        <v>114</v>
      </c>
      <c r="B76" s="6" t="s">
        <v>22</v>
      </c>
      <c r="C76" s="6" t="s">
        <v>23</v>
      </c>
      <c r="D76" s="6" t="s">
        <v>31</v>
      </c>
      <c r="E76" s="6" t="s">
        <v>35</v>
      </c>
      <c r="F76" s="6" t="s">
        <v>36</v>
      </c>
      <c r="G76" s="7">
        <f>Table2[[#This Row],[Unit price]]-10</f>
        <v>64.67</v>
      </c>
      <c r="H76" s="7">
        <v>74.67</v>
      </c>
      <c r="I76" s="8">
        <v>9</v>
      </c>
      <c r="J76" s="8">
        <f>Table2[[#This Row],[Unit price]]*Table2[[#This Row],[Quantity]]</f>
        <v>672.03</v>
      </c>
      <c r="K76" s="8">
        <f>Table2[[#This Row],[Unit Cost]]*Table2[[#This Row],[Quantity]]</f>
        <v>582.03</v>
      </c>
      <c r="L76" s="8">
        <f>Table2[[#This Row],[Gross Sales]]-Table2[[#This Row],[COGS]]</f>
        <v>90</v>
      </c>
      <c r="M76" s="9">
        <f t="shared" si="1"/>
        <v>0.13392259274139548</v>
      </c>
      <c r="N76" s="7">
        <v>33.601500000000001</v>
      </c>
      <c r="O76" s="7">
        <v>705.63149999999996</v>
      </c>
      <c r="P76" s="10">
        <v>43487</v>
      </c>
      <c r="Q76" s="10" t="str">
        <f>TEXT(Table2[[#This Row],[Date]],"mmm")</f>
        <v>Jan</v>
      </c>
      <c r="R76" s="11">
        <v>0.4548611111111111</v>
      </c>
      <c r="S76" s="6" t="s">
        <v>27</v>
      </c>
      <c r="T76" s="7">
        <v>9.4</v>
      </c>
      <c r="U76" s="6">
        <f>IF(_xlfn.XLOOKUP(A76,[1]Data2!$A:$A,[1]Data2!$B:$B,"no")="yes",1,0)</f>
        <v>0</v>
      </c>
    </row>
    <row r="77" spans="1:21" s="6" customFormat="1" x14ac:dyDescent="0.3">
      <c r="A77" s="6" t="s">
        <v>115</v>
      </c>
      <c r="B77" s="6" t="s">
        <v>29</v>
      </c>
      <c r="C77" s="6" t="s">
        <v>30</v>
      </c>
      <c r="D77" s="6" t="s">
        <v>31</v>
      </c>
      <c r="E77" s="6" t="s">
        <v>25</v>
      </c>
      <c r="F77" s="6" t="s">
        <v>32</v>
      </c>
      <c r="G77" s="7">
        <f>Table2[[#This Row],[Unit price]]-10</f>
        <v>31.65</v>
      </c>
      <c r="H77" s="7">
        <v>41.65</v>
      </c>
      <c r="I77" s="8">
        <v>10</v>
      </c>
      <c r="J77" s="8">
        <f>Table2[[#This Row],[Unit price]]*Table2[[#This Row],[Quantity]]</f>
        <v>416.5</v>
      </c>
      <c r="K77" s="8">
        <f>Table2[[#This Row],[Unit Cost]]*Table2[[#This Row],[Quantity]]</f>
        <v>316.5</v>
      </c>
      <c r="L77" s="8">
        <f>Table2[[#This Row],[Gross Sales]]-Table2[[#This Row],[COGS]]</f>
        <v>100</v>
      </c>
      <c r="M77" s="9">
        <f t="shared" si="1"/>
        <v>0.24009603841536614</v>
      </c>
      <c r="N77" s="7">
        <v>20.824999999999999</v>
      </c>
      <c r="O77" s="7">
        <v>437.32499999999999</v>
      </c>
      <c r="P77" s="10">
        <v>43478</v>
      </c>
      <c r="Q77" s="10" t="str">
        <f>TEXT(Table2[[#This Row],[Date]],"mmm")</f>
        <v>Jan</v>
      </c>
      <c r="R77" s="11">
        <v>0.71111111111111114</v>
      </c>
      <c r="S77" s="6" t="s">
        <v>37</v>
      </c>
      <c r="T77" s="7">
        <v>5.4</v>
      </c>
      <c r="U77" s="6">
        <f>IF(_xlfn.XLOOKUP(A77,[1]Data2!$A:$A,[1]Data2!$B:$B,"no")="yes",1,0)</f>
        <v>0</v>
      </c>
    </row>
    <row r="78" spans="1:21" s="6" customFormat="1" x14ac:dyDescent="0.3">
      <c r="A78" s="6" t="s">
        <v>116</v>
      </c>
      <c r="B78" s="6" t="s">
        <v>29</v>
      </c>
      <c r="C78" s="6" t="s">
        <v>30</v>
      </c>
      <c r="D78" s="6" t="s">
        <v>24</v>
      </c>
      <c r="E78" s="6" t="s">
        <v>35</v>
      </c>
      <c r="F78" s="6" t="s">
        <v>50</v>
      </c>
      <c r="G78" s="7">
        <f>Table2[[#This Row],[Unit price]]-10</f>
        <v>39.04</v>
      </c>
      <c r="H78" s="7">
        <v>49.04</v>
      </c>
      <c r="I78" s="8">
        <v>9</v>
      </c>
      <c r="J78" s="8">
        <f>Table2[[#This Row],[Unit price]]*Table2[[#This Row],[Quantity]]</f>
        <v>441.36</v>
      </c>
      <c r="K78" s="8">
        <f>Table2[[#This Row],[Unit Cost]]*Table2[[#This Row],[Quantity]]</f>
        <v>351.36</v>
      </c>
      <c r="L78" s="8">
        <f>Table2[[#This Row],[Gross Sales]]-Table2[[#This Row],[COGS]]</f>
        <v>90</v>
      </c>
      <c r="M78" s="9">
        <f t="shared" si="1"/>
        <v>0.20391517128874387</v>
      </c>
      <c r="N78" s="7">
        <v>22.068000000000001</v>
      </c>
      <c r="O78" s="7">
        <v>463.428</v>
      </c>
      <c r="P78" s="10">
        <v>43474</v>
      </c>
      <c r="Q78" s="10" t="str">
        <f>TEXT(Table2[[#This Row],[Date]],"mmm")</f>
        <v>Jan</v>
      </c>
      <c r="R78" s="11">
        <v>0.59722222222222221</v>
      </c>
      <c r="S78" s="6" t="s">
        <v>37</v>
      </c>
      <c r="T78" s="7">
        <v>8.6</v>
      </c>
      <c r="U78" s="6">
        <f>IF(_xlfn.XLOOKUP(A78,[1]Data2!$A:$A,[1]Data2!$B:$B,"no")="yes",1,0)</f>
        <v>1</v>
      </c>
    </row>
    <row r="79" spans="1:21" s="6" customFormat="1" x14ac:dyDescent="0.3">
      <c r="A79" s="6" t="s">
        <v>117</v>
      </c>
      <c r="B79" s="6" t="s">
        <v>22</v>
      </c>
      <c r="C79" s="6" t="s">
        <v>23</v>
      </c>
      <c r="D79" s="6" t="s">
        <v>24</v>
      </c>
      <c r="E79" s="6" t="s">
        <v>25</v>
      </c>
      <c r="F79" s="6" t="s">
        <v>50</v>
      </c>
      <c r="G79" s="7">
        <f>Table2[[#This Row],[Unit price]]-10</f>
        <v>10.010000000000002</v>
      </c>
      <c r="H79" s="7">
        <v>20.010000000000002</v>
      </c>
      <c r="I79" s="8">
        <v>9</v>
      </c>
      <c r="J79" s="8">
        <f>Table2[[#This Row],[Unit price]]*Table2[[#This Row],[Quantity]]</f>
        <v>180.09</v>
      </c>
      <c r="K79" s="8">
        <f>Table2[[#This Row],[Unit Cost]]*Table2[[#This Row],[Quantity]]</f>
        <v>90.090000000000018</v>
      </c>
      <c r="L79" s="8">
        <f>Table2[[#This Row],[Gross Sales]]-Table2[[#This Row],[COGS]]</f>
        <v>89.999999999999986</v>
      </c>
      <c r="M79" s="9">
        <f t="shared" si="1"/>
        <v>0.49975012493753113</v>
      </c>
      <c r="N79" s="7">
        <v>9.0045000000000002</v>
      </c>
      <c r="O79" s="7">
        <v>189.09450000000001</v>
      </c>
      <c r="P79" s="10">
        <v>43477</v>
      </c>
      <c r="Q79" s="10" t="str">
        <f>TEXT(Table2[[#This Row],[Date]],"mmm")</f>
        <v>Jan</v>
      </c>
      <c r="R79" s="11">
        <v>0.65833333333333333</v>
      </c>
      <c r="S79" s="6" t="s">
        <v>37</v>
      </c>
      <c r="T79" s="7">
        <v>5.7</v>
      </c>
      <c r="U79" s="6">
        <f>IF(_xlfn.XLOOKUP(A79,[1]Data2!$A:$A,[1]Data2!$B:$B,"no")="yes",1,0)</f>
        <v>0</v>
      </c>
    </row>
    <row r="80" spans="1:21" s="6" customFormat="1" x14ac:dyDescent="0.3">
      <c r="A80" s="6" t="s">
        <v>118</v>
      </c>
      <c r="B80" s="6" t="s">
        <v>29</v>
      </c>
      <c r="C80" s="6" t="s">
        <v>30</v>
      </c>
      <c r="D80" s="6" t="s">
        <v>24</v>
      </c>
      <c r="E80" s="6" t="s">
        <v>25</v>
      </c>
      <c r="F80" s="6" t="s">
        <v>48</v>
      </c>
      <c r="G80" s="7">
        <f>Table2[[#This Row],[Unit price]]-10</f>
        <v>68.31</v>
      </c>
      <c r="H80" s="7">
        <v>78.31</v>
      </c>
      <c r="I80" s="8">
        <v>10</v>
      </c>
      <c r="J80" s="8">
        <f>Table2[[#This Row],[Unit price]]*Table2[[#This Row],[Quantity]]</f>
        <v>783.1</v>
      </c>
      <c r="K80" s="8">
        <f>Table2[[#This Row],[Unit Cost]]*Table2[[#This Row],[Quantity]]</f>
        <v>683.1</v>
      </c>
      <c r="L80" s="8">
        <f>Table2[[#This Row],[Gross Sales]]-Table2[[#This Row],[COGS]]</f>
        <v>100</v>
      </c>
      <c r="M80" s="9">
        <f t="shared" si="1"/>
        <v>0.12769761205465457</v>
      </c>
      <c r="N80" s="7">
        <v>39.155000000000001</v>
      </c>
      <c r="O80" s="7">
        <v>822.255</v>
      </c>
      <c r="P80" s="10">
        <v>43529</v>
      </c>
      <c r="Q80" s="10" t="str">
        <f>TEXT(Table2[[#This Row],[Date]],"mmm")</f>
        <v>Mar</v>
      </c>
      <c r="R80" s="11">
        <v>0.68333333333333324</v>
      </c>
      <c r="S80" s="6" t="s">
        <v>27</v>
      </c>
      <c r="T80" s="7">
        <v>6.6</v>
      </c>
      <c r="U80" s="6">
        <f>IF(_xlfn.XLOOKUP(A80,[1]Data2!$A:$A,[1]Data2!$B:$B,"no")="yes",1,0)</f>
        <v>0</v>
      </c>
    </row>
    <row r="81" spans="1:21" s="6" customFormat="1" x14ac:dyDescent="0.3">
      <c r="A81" s="6" t="s">
        <v>119</v>
      </c>
      <c r="B81" s="6" t="s">
        <v>29</v>
      </c>
      <c r="C81" s="6" t="s">
        <v>30</v>
      </c>
      <c r="D81" s="6" t="s">
        <v>31</v>
      </c>
      <c r="E81" s="6" t="s">
        <v>25</v>
      </c>
      <c r="F81" s="6" t="s">
        <v>26</v>
      </c>
      <c r="G81" s="7">
        <f>Table2[[#This Row],[Unit price]]-10</f>
        <v>10.379999999999999</v>
      </c>
      <c r="H81" s="7">
        <v>20.38</v>
      </c>
      <c r="I81" s="8">
        <v>5</v>
      </c>
      <c r="J81" s="8">
        <f>Table2[[#This Row],[Unit price]]*Table2[[#This Row],[Quantity]]</f>
        <v>101.89999999999999</v>
      </c>
      <c r="K81" s="8">
        <f>Table2[[#This Row],[Unit Cost]]*Table2[[#This Row],[Quantity]]</f>
        <v>51.899999999999991</v>
      </c>
      <c r="L81" s="8">
        <f>Table2[[#This Row],[Gross Sales]]-Table2[[#This Row],[COGS]]</f>
        <v>50</v>
      </c>
      <c r="M81" s="9">
        <f t="shared" si="1"/>
        <v>0.4906771344455349</v>
      </c>
      <c r="N81" s="7">
        <v>5.0949999999999998</v>
      </c>
      <c r="O81" s="7">
        <v>106.995</v>
      </c>
      <c r="P81" s="10">
        <v>43487</v>
      </c>
      <c r="Q81" s="10" t="str">
        <f>TEXT(Table2[[#This Row],[Date]],"mmm")</f>
        <v>Jan</v>
      </c>
      <c r="R81" s="11">
        <v>0.78888888888888886</v>
      </c>
      <c r="S81" s="6" t="s">
        <v>33</v>
      </c>
      <c r="T81" s="7">
        <v>6</v>
      </c>
      <c r="U81" s="6">
        <f>IF(_xlfn.XLOOKUP(A81,[1]Data2!$A:$A,[1]Data2!$B:$B,"no")="yes",1,0)</f>
        <v>0</v>
      </c>
    </row>
    <row r="82" spans="1:21" s="6" customFormat="1" x14ac:dyDescent="0.3">
      <c r="A82" s="6" t="s">
        <v>120</v>
      </c>
      <c r="B82" s="6" t="s">
        <v>29</v>
      </c>
      <c r="C82" s="6" t="s">
        <v>30</v>
      </c>
      <c r="D82" s="6" t="s">
        <v>31</v>
      </c>
      <c r="E82" s="6" t="s">
        <v>25</v>
      </c>
      <c r="F82" s="6" t="s">
        <v>26</v>
      </c>
      <c r="G82" s="7">
        <f>Table2[[#This Row],[Unit price]]-10</f>
        <v>89.19</v>
      </c>
      <c r="H82" s="7">
        <v>99.19</v>
      </c>
      <c r="I82" s="8">
        <v>6</v>
      </c>
      <c r="J82" s="8">
        <f>Table2[[#This Row],[Unit price]]*Table2[[#This Row],[Quantity]]</f>
        <v>595.14</v>
      </c>
      <c r="K82" s="8">
        <f>Table2[[#This Row],[Unit Cost]]*Table2[[#This Row],[Quantity]]</f>
        <v>535.14</v>
      </c>
      <c r="L82" s="8">
        <f>Table2[[#This Row],[Gross Sales]]-Table2[[#This Row],[COGS]]</f>
        <v>60</v>
      </c>
      <c r="M82" s="9">
        <f t="shared" si="1"/>
        <v>0.10081661457808247</v>
      </c>
      <c r="N82" s="7">
        <v>29.757000000000001</v>
      </c>
      <c r="O82" s="7">
        <v>624.89700000000005</v>
      </c>
      <c r="P82" s="10">
        <v>43486</v>
      </c>
      <c r="Q82" s="10" t="str">
        <f>TEXT(Table2[[#This Row],[Date]],"mmm")</f>
        <v>Jan</v>
      </c>
      <c r="R82" s="11">
        <v>0.61249999999999993</v>
      </c>
      <c r="S82" s="6" t="s">
        <v>37</v>
      </c>
      <c r="T82" s="7">
        <v>5.5</v>
      </c>
      <c r="U82" s="6">
        <f>IF(_xlfn.XLOOKUP(A82,[1]Data2!$A:$A,[1]Data2!$B:$B,"no")="yes",1,0)</f>
        <v>1</v>
      </c>
    </row>
    <row r="83" spans="1:21" s="6" customFormat="1" x14ac:dyDescent="0.3">
      <c r="A83" s="6" t="s">
        <v>121</v>
      </c>
      <c r="B83" s="6" t="s">
        <v>46</v>
      </c>
      <c r="C83" s="6" t="s">
        <v>47</v>
      </c>
      <c r="D83" s="6" t="s">
        <v>31</v>
      </c>
      <c r="E83" s="6" t="s">
        <v>25</v>
      </c>
      <c r="F83" s="6" t="s">
        <v>48</v>
      </c>
      <c r="G83" s="7">
        <f>Table2[[#This Row],[Unit price]]-10</f>
        <v>86.68</v>
      </c>
      <c r="H83" s="7">
        <v>96.68</v>
      </c>
      <c r="I83" s="8">
        <v>3</v>
      </c>
      <c r="J83" s="8">
        <f>Table2[[#This Row],[Unit price]]*Table2[[#This Row],[Quantity]]</f>
        <v>290.04000000000002</v>
      </c>
      <c r="K83" s="8">
        <f>Table2[[#This Row],[Unit Cost]]*Table2[[#This Row],[Quantity]]</f>
        <v>260.04000000000002</v>
      </c>
      <c r="L83" s="8">
        <f>Table2[[#This Row],[Gross Sales]]-Table2[[#This Row],[COGS]]</f>
        <v>30</v>
      </c>
      <c r="M83" s="9">
        <f t="shared" si="1"/>
        <v>0.10343400910219279</v>
      </c>
      <c r="N83" s="7">
        <v>14.502000000000001</v>
      </c>
      <c r="O83" s="7">
        <v>304.54199999999997</v>
      </c>
      <c r="P83" s="10">
        <v>43491</v>
      </c>
      <c r="Q83" s="10" t="str">
        <f>TEXT(Table2[[#This Row],[Date]],"mmm")</f>
        <v>Jan</v>
      </c>
      <c r="R83" s="11">
        <v>0.8305555555555556</v>
      </c>
      <c r="S83" s="6" t="s">
        <v>27</v>
      </c>
      <c r="T83" s="7">
        <v>6.4</v>
      </c>
      <c r="U83" s="6">
        <f>IF(_xlfn.XLOOKUP(A83,[1]Data2!$A:$A,[1]Data2!$B:$B,"no")="yes",1,0)</f>
        <v>0</v>
      </c>
    </row>
    <row r="84" spans="1:21" s="6" customFormat="1" x14ac:dyDescent="0.3">
      <c r="A84" s="6" t="s">
        <v>122</v>
      </c>
      <c r="B84" s="6" t="s">
        <v>29</v>
      </c>
      <c r="C84" s="6" t="s">
        <v>30</v>
      </c>
      <c r="D84" s="6" t="s">
        <v>31</v>
      </c>
      <c r="E84" s="6" t="s">
        <v>35</v>
      </c>
      <c r="F84" s="6" t="s">
        <v>48</v>
      </c>
      <c r="G84" s="7">
        <f>Table2[[#This Row],[Unit price]]-10</f>
        <v>9.25</v>
      </c>
      <c r="H84" s="7">
        <v>19.25</v>
      </c>
      <c r="I84" s="8">
        <v>8</v>
      </c>
      <c r="J84" s="8">
        <f>Table2[[#This Row],[Unit price]]*Table2[[#This Row],[Quantity]]</f>
        <v>154</v>
      </c>
      <c r="K84" s="8">
        <f>Table2[[#This Row],[Unit Cost]]*Table2[[#This Row],[Quantity]]</f>
        <v>74</v>
      </c>
      <c r="L84" s="8">
        <f>Table2[[#This Row],[Gross Sales]]-Table2[[#This Row],[COGS]]</f>
        <v>80</v>
      </c>
      <c r="M84" s="9">
        <f t="shared" si="1"/>
        <v>0.51948051948051943</v>
      </c>
      <c r="N84" s="7">
        <v>7.7</v>
      </c>
      <c r="O84" s="7">
        <v>161.69999999999999</v>
      </c>
      <c r="P84" s="10">
        <v>43488</v>
      </c>
      <c r="Q84" s="10" t="str">
        <f>TEXT(Table2[[#This Row],[Date]],"mmm")</f>
        <v>Jan</v>
      </c>
      <c r="R84" s="11">
        <v>0.77569444444444446</v>
      </c>
      <c r="S84" s="6" t="s">
        <v>27</v>
      </c>
      <c r="T84" s="7">
        <v>6.6</v>
      </c>
      <c r="U84" s="6">
        <f>IF(_xlfn.XLOOKUP(A84,[1]Data2!$A:$A,[1]Data2!$B:$B,"no")="yes",1,0)</f>
        <v>0</v>
      </c>
    </row>
    <row r="85" spans="1:21" s="6" customFormat="1" x14ac:dyDescent="0.3">
      <c r="A85" s="6" t="s">
        <v>123</v>
      </c>
      <c r="B85" s="6" t="s">
        <v>29</v>
      </c>
      <c r="C85" s="6" t="s">
        <v>30</v>
      </c>
      <c r="D85" s="6" t="s">
        <v>24</v>
      </c>
      <c r="E85" s="6" t="s">
        <v>25</v>
      </c>
      <c r="F85" s="6" t="s">
        <v>48</v>
      </c>
      <c r="G85" s="7">
        <f>Table2[[#This Row],[Unit price]]-10</f>
        <v>70.36</v>
      </c>
      <c r="H85" s="7">
        <v>80.36</v>
      </c>
      <c r="I85" s="8">
        <v>4</v>
      </c>
      <c r="J85" s="8">
        <f>Table2[[#This Row],[Unit price]]*Table2[[#This Row],[Quantity]]</f>
        <v>321.44</v>
      </c>
      <c r="K85" s="8">
        <f>Table2[[#This Row],[Unit Cost]]*Table2[[#This Row],[Quantity]]</f>
        <v>281.44</v>
      </c>
      <c r="L85" s="8">
        <f>Table2[[#This Row],[Gross Sales]]-Table2[[#This Row],[COGS]]</f>
        <v>40</v>
      </c>
      <c r="M85" s="9">
        <f t="shared" si="1"/>
        <v>0.12444001991040318</v>
      </c>
      <c r="N85" s="7">
        <v>16.071999999999999</v>
      </c>
      <c r="O85" s="7">
        <v>337.512</v>
      </c>
      <c r="P85" s="10">
        <v>43519</v>
      </c>
      <c r="Q85" s="10" t="str">
        <f>TEXT(Table2[[#This Row],[Date]],"mmm")</f>
        <v>Feb</v>
      </c>
      <c r="R85" s="11">
        <v>0.78125</v>
      </c>
      <c r="S85" s="6" t="s">
        <v>37</v>
      </c>
      <c r="T85" s="7">
        <v>8.3000000000000007</v>
      </c>
      <c r="U85" s="6">
        <f>IF(_xlfn.XLOOKUP(A85,[1]Data2!$A:$A,[1]Data2!$B:$B,"no")="yes",1,0)</f>
        <v>0</v>
      </c>
    </row>
    <row r="86" spans="1:21" s="6" customFormat="1" x14ac:dyDescent="0.3">
      <c r="A86" s="6" t="s">
        <v>124</v>
      </c>
      <c r="B86" s="6" t="s">
        <v>29</v>
      </c>
      <c r="C86" s="6" t="s">
        <v>30</v>
      </c>
      <c r="D86" s="6" t="s">
        <v>24</v>
      </c>
      <c r="E86" s="6" t="s">
        <v>35</v>
      </c>
      <c r="F86" s="6" t="s">
        <v>40</v>
      </c>
      <c r="G86" s="7">
        <f>Table2[[#This Row],[Unit price]]-10</f>
        <v>38.909999999999997</v>
      </c>
      <c r="H86" s="7">
        <v>48.91</v>
      </c>
      <c r="I86" s="8">
        <v>5</v>
      </c>
      <c r="J86" s="8">
        <f>Table2[[#This Row],[Unit price]]*Table2[[#This Row],[Quantity]]</f>
        <v>244.54999999999998</v>
      </c>
      <c r="K86" s="8">
        <f>Table2[[#This Row],[Unit Cost]]*Table2[[#This Row],[Quantity]]</f>
        <v>194.54999999999998</v>
      </c>
      <c r="L86" s="8">
        <f>Table2[[#This Row],[Gross Sales]]-Table2[[#This Row],[COGS]]</f>
        <v>50</v>
      </c>
      <c r="M86" s="9">
        <f t="shared" si="1"/>
        <v>0.20445716622367616</v>
      </c>
      <c r="N86" s="7">
        <v>12.227499999999999</v>
      </c>
      <c r="O86" s="7">
        <v>256.77749999999997</v>
      </c>
      <c r="P86" s="10">
        <v>43533</v>
      </c>
      <c r="Q86" s="10" t="str">
        <f>TEXT(Table2[[#This Row],[Date]],"mmm")</f>
        <v>Mar</v>
      </c>
      <c r="R86" s="11">
        <v>0.4284722222222222</v>
      </c>
      <c r="S86" s="6" t="s">
        <v>33</v>
      </c>
      <c r="T86" s="7">
        <v>6.6</v>
      </c>
      <c r="U86" s="6">
        <f>IF(_xlfn.XLOOKUP(A86,[1]Data2!$A:$A,[1]Data2!$B:$B,"no")="yes",1,0)</f>
        <v>1</v>
      </c>
    </row>
    <row r="87" spans="1:21" s="6" customFormat="1" x14ac:dyDescent="0.3">
      <c r="A87" s="6" t="s">
        <v>125</v>
      </c>
      <c r="B87" s="6" t="s">
        <v>29</v>
      </c>
      <c r="C87" s="6" t="s">
        <v>30</v>
      </c>
      <c r="D87" s="6" t="s">
        <v>31</v>
      </c>
      <c r="E87" s="6" t="s">
        <v>25</v>
      </c>
      <c r="F87" s="6" t="s">
        <v>40</v>
      </c>
      <c r="G87" s="7">
        <f>Table2[[#This Row],[Unit price]]-10</f>
        <v>73.06</v>
      </c>
      <c r="H87" s="7">
        <v>83.06</v>
      </c>
      <c r="I87" s="8">
        <v>7</v>
      </c>
      <c r="J87" s="8">
        <f>Table2[[#This Row],[Unit price]]*Table2[[#This Row],[Quantity]]</f>
        <v>581.42000000000007</v>
      </c>
      <c r="K87" s="8">
        <f>Table2[[#This Row],[Unit Cost]]*Table2[[#This Row],[Quantity]]</f>
        <v>511.42</v>
      </c>
      <c r="L87" s="8">
        <f>Table2[[#This Row],[Gross Sales]]-Table2[[#This Row],[COGS]]</f>
        <v>70.000000000000057</v>
      </c>
      <c r="M87" s="9">
        <f t="shared" si="1"/>
        <v>0.1203948952564412</v>
      </c>
      <c r="N87" s="7">
        <v>29.071000000000002</v>
      </c>
      <c r="O87" s="7">
        <v>610.49099999999999</v>
      </c>
      <c r="P87" s="10">
        <v>43529</v>
      </c>
      <c r="Q87" s="10" t="str">
        <f>TEXT(Table2[[#This Row],[Date]],"mmm")</f>
        <v>Mar</v>
      </c>
      <c r="R87" s="11">
        <v>0.60486111111111118</v>
      </c>
      <c r="S87" s="6" t="s">
        <v>27</v>
      </c>
      <c r="T87" s="7">
        <v>4</v>
      </c>
      <c r="U87" s="6">
        <f>IF(_xlfn.XLOOKUP(A87,[1]Data2!$A:$A,[1]Data2!$B:$B,"no")="yes",1,0)</f>
        <v>0</v>
      </c>
    </row>
    <row r="88" spans="1:21" s="6" customFormat="1" x14ac:dyDescent="0.3">
      <c r="A88" s="6" t="s">
        <v>126</v>
      </c>
      <c r="B88" s="6" t="s">
        <v>29</v>
      </c>
      <c r="C88" s="6" t="s">
        <v>30</v>
      </c>
      <c r="D88" s="6" t="s">
        <v>31</v>
      </c>
      <c r="E88" s="6" t="s">
        <v>35</v>
      </c>
      <c r="F88" s="6" t="s">
        <v>50</v>
      </c>
      <c r="G88" s="7">
        <f>Table2[[#This Row],[Unit price]]-10</f>
        <v>66.52</v>
      </c>
      <c r="H88" s="7">
        <v>76.52</v>
      </c>
      <c r="I88" s="8">
        <v>5</v>
      </c>
      <c r="J88" s="8">
        <f>Table2[[#This Row],[Unit price]]*Table2[[#This Row],[Quantity]]</f>
        <v>382.59999999999997</v>
      </c>
      <c r="K88" s="8">
        <f>Table2[[#This Row],[Unit Cost]]*Table2[[#This Row],[Quantity]]</f>
        <v>332.59999999999997</v>
      </c>
      <c r="L88" s="8">
        <f>Table2[[#This Row],[Gross Sales]]-Table2[[#This Row],[COGS]]</f>
        <v>50</v>
      </c>
      <c r="M88" s="9">
        <f t="shared" si="1"/>
        <v>0.13068478829064298</v>
      </c>
      <c r="N88" s="7">
        <v>19.13</v>
      </c>
      <c r="O88" s="7">
        <v>401.73</v>
      </c>
      <c r="P88" s="10">
        <v>43549</v>
      </c>
      <c r="Q88" s="10" t="str">
        <f>TEXT(Table2[[#This Row],[Date]],"mmm")</f>
        <v>Mar</v>
      </c>
      <c r="R88" s="11">
        <v>0.43263888888888885</v>
      </c>
      <c r="S88" s="6" t="s">
        <v>33</v>
      </c>
      <c r="T88" s="7">
        <v>9.9</v>
      </c>
      <c r="U88" s="6">
        <f>IF(_xlfn.XLOOKUP(A88,[1]Data2!$A:$A,[1]Data2!$B:$B,"no")="yes",1,0)</f>
        <v>0</v>
      </c>
    </row>
    <row r="89" spans="1:21" s="6" customFormat="1" x14ac:dyDescent="0.3">
      <c r="A89" s="6" t="s">
        <v>127</v>
      </c>
      <c r="B89" s="6" t="s">
        <v>22</v>
      </c>
      <c r="C89" s="6" t="s">
        <v>23</v>
      </c>
      <c r="D89" s="6" t="s">
        <v>24</v>
      </c>
      <c r="E89" s="6" t="s">
        <v>35</v>
      </c>
      <c r="F89" s="6" t="s">
        <v>48</v>
      </c>
      <c r="G89" s="7">
        <f>Table2[[#This Row],[Unit price]]-10</f>
        <v>39.380000000000003</v>
      </c>
      <c r="H89" s="7">
        <v>49.38</v>
      </c>
      <c r="I89" s="8">
        <v>7</v>
      </c>
      <c r="J89" s="8">
        <f>Table2[[#This Row],[Unit price]]*Table2[[#This Row],[Quantity]]</f>
        <v>345.66</v>
      </c>
      <c r="K89" s="8">
        <f>Table2[[#This Row],[Unit Cost]]*Table2[[#This Row],[Quantity]]</f>
        <v>275.66000000000003</v>
      </c>
      <c r="L89" s="8">
        <f>Table2[[#This Row],[Gross Sales]]-Table2[[#This Row],[COGS]]</f>
        <v>70</v>
      </c>
      <c r="M89" s="9">
        <f t="shared" si="1"/>
        <v>0.20251113811259619</v>
      </c>
      <c r="N89" s="7">
        <v>17.283000000000001</v>
      </c>
      <c r="O89" s="7">
        <v>362.94299999999998</v>
      </c>
      <c r="P89" s="10">
        <v>43551</v>
      </c>
      <c r="Q89" s="10" t="str">
        <f>TEXT(Table2[[#This Row],[Date]],"mmm")</f>
        <v>Mar</v>
      </c>
      <c r="R89" s="11">
        <v>0.85763888888888884</v>
      </c>
      <c r="S89" s="6" t="s">
        <v>37</v>
      </c>
      <c r="T89" s="7">
        <v>7.3</v>
      </c>
      <c r="U89" s="6">
        <f>IF(_xlfn.XLOOKUP(A89,[1]Data2!$A:$A,[1]Data2!$B:$B,"no")="yes",1,0)</f>
        <v>0</v>
      </c>
    </row>
    <row r="90" spans="1:21" s="6" customFormat="1" x14ac:dyDescent="0.3">
      <c r="A90" s="6" t="s">
        <v>128</v>
      </c>
      <c r="B90" s="6" t="s">
        <v>22</v>
      </c>
      <c r="C90" s="6" t="s">
        <v>23</v>
      </c>
      <c r="D90" s="6" t="s">
        <v>31</v>
      </c>
      <c r="E90" s="6" t="s">
        <v>35</v>
      </c>
      <c r="F90" s="6" t="s">
        <v>40</v>
      </c>
      <c r="G90" s="7">
        <f>Table2[[#This Row],[Unit price]]-10</f>
        <v>32.47</v>
      </c>
      <c r="H90" s="7">
        <v>42.47</v>
      </c>
      <c r="I90" s="8">
        <v>1</v>
      </c>
      <c r="J90" s="8">
        <f>Table2[[#This Row],[Unit price]]*Table2[[#This Row],[Quantity]]</f>
        <v>42.47</v>
      </c>
      <c r="K90" s="8">
        <f>Table2[[#This Row],[Unit Cost]]*Table2[[#This Row],[Quantity]]</f>
        <v>32.47</v>
      </c>
      <c r="L90" s="8">
        <f>Table2[[#This Row],[Gross Sales]]-Table2[[#This Row],[COGS]]</f>
        <v>10</v>
      </c>
      <c r="M90" s="9">
        <f t="shared" si="1"/>
        <v>0.23546032493524841</v>
      </c>
      <c r="N90" s="7">
        <v>2.1234999999999999</v>
      </c>
      <c r="O90" s="7">
        <v>44.593499999999999</v>
      </c>
      <c r="P90" s="10">
        <v>43467</v>
      </c>
      <c r="Q90" s="10" t="str">
        <f>TEXT(Table2[[#This Row],[Date]],"mmm")</f>
        <v>Jan</v>
      </c>
      <c r="R90" s="11">
        <v>0.70624999999999993</v>
      </c>
      <c r="S90" s="6" t="s">
        <v>33</v>
      </c>
      <c r="T90" s="7">
        <v>5.7</v>
      </c>
      <c r="U90" s="6">
        <f>IF(_xlfn.XLOOKUP(A90,[1]Data2!$A:$A,[1]Data2!$B:$B,"no")="yes",1,0)</f>
        <v>1</v>
      </c>
    </row>
    <row r="91" spans="1:21" s="6" customFormat="1" x14ac:dyDescent="0.3">
      <c r="A91" s="6" t="s">
        <v>129</v>
      </c>
      <c r="B91" s="6" t="s">
        <v>46</v>
      </c>
      <c r="C91" s="6" t="s">
        <v>47</v>
      </c>
      <c r="D91" s="6" t="s">
        <v>31</v>
      </c>
      <c r="E91" s="6" t="s">
        <v>25</v>
      </c>
      <c r="F91" s="6" t="s">
        <v>26</v>
      </c>
      <c r="G91" s="7">
        <f>Table2[[#This Row],[Unit price]]-10</f>
        <v>66.989999999999995</v>
      </c>
      <c r="H91" s="7">
        <v>76.989999999999995</v>
      </c>
      <c r="I91" s="8">
        <v>6</v>
      </c>
      <c r="J91" s="8">
        <f>Table2[[#This Row],[Unit price]]*Table2[[#This Row],[Quantity]]</f>
        <v>461.93999999999994</v>
      </c>
      <c r="K91" s="8">
        <f>Table2[[#This Row],[Unit Cost]]*Table2[[#This Row],[Quantity]]</f>
        <v>401.93999999999994</v>
      </c>
      <c r="L91" s="8">
        <f>Table2[[#This Row],[Gross Sales]]-Table2[[#This Row],[COGS]]</f>
        <v>60</v>
      </c>
      <c r="M91" s="9">
        <f t="shared" si="1"/>
        <v>0.12988699831146905</v>
      </c>
      <c r="N91" s="7">
        <v>23.097000000000001</v>
      </c>
      <c r="O91" s="7">
        <v>485.03699999999998</v>
      </c>
      <c r="P91" s="10">
        <v>43523</v>
      </c>
      <c r="Q91" s="10" t="str">
        <f>TEXT(Table2[[#This Row],[Date]],"mmm")</f>
        <v>Feb</v>
      </c>
      <c r="R91" s="11">
        <v>0.74652777777777779</v>
      </c>
      <c r="S91" s="6" t="s">
        <v>33</v>
      </c>
      <c r="T91" s="7">
        <v>6.1</v>
      </c>
      <c r="U91" s="6">
        <f>IF(_xlfn.XLOOKUP(A91,[1]Data2!$A:$A,[1]Data2!$B:$B,"no")="yes",1,0)</f>
        <v>0</v>
      </c>
    </row>
    <row r="92" spans="1:21" s="6" customFormat="1" x14ac:dyDescent="0.3">
      <c r="A92" s="6" t="s">
        <v>130</v>
      </c>
      <c r="B92" s="6" t="s">
        <v>29</v>
      </c>
      <c r="C92" s="6" t="s">
        <v>30</v>
      </c>
      <c r="D92" s="6" t="s">
        <v>24</v>
      </c>
      <c r="E92" s="6" t="s">
        <v>25</v>
      </c>
      <c r="F92" s="6" t="s">
        <v>36</v>
      </c>
      <c r="G92" s="7">
        <f>Table2[[#This Row],[Unit price]]-10</f>
        <v>37.380000000000003</v>
      </c>
      <c r="H92" s="7">
        <v>47.38</v>
      </c>
      <c r="I92" s="8">
        <v>4</v>
      </c>
      <c r="J92" s="8">
        <f>Table2[[#This Row],[Unit price]]*Table2[[#This Row],[Quantity]]</f>
        <v>189.52</v>
      </c>
      <c r="K92" s="8">
        <f>Table2[[#This Row],[Unit Cost]]*Table2[[#This Row],[Quantity]]</f>
        <v>149.52000000000001</v>
      </c>
      <c r="L92" s="8">
        <f>Table2[[#This Row],[Gross Sales]]-Table2[[#This Row],[COGS]]</f>
        <v>40</v>
      </c>
      <c r="M92" s="9">
        <f t="shared" si="1"/>
        <v>0.21105951878429716</v>
      </c>
      <c r="N92" s="7">
        <v>9.4760000000000009</v>
      </c>
      <c r="O92" s="7">
        <v>198.99600000000001</v>
      </c>
      <c r="P92" s="10">
        <v>43488</v>
      </c>
      <c r="Q92" s="10" t="str">
        <f>TEXT(Table2[[#This Row],[Date]],"mmm")</f>
        <v>Jan</v>
      </c>
      <c r="R92" s="11">
        <v>0.43402777777777773</v>
      </c>
      <c r="S92" s="6" t="s">
        <v>33</v>
      </c>
      <c r="T92" s="7">
        <v>7.1</v>
      </c>
      <c r="U92" s="6">
        <f>IF(_xlfn.XLOOKUP(A92,[1]Data2!$A:$A,[1]Data2!$B:$B,"no")="yes",1,0)</f>
        <v>0</v>
      </c>
    </row>
    <row r="93" spans="1:21" s="6" customFormat="1" x14ac:dyDescent="0.3">
      <c r="A93" s="6" t="s">
        <v>131</v>
      </c>
      <c r="B93" s="6" t="s">
        <v>29</v>
      </c>
      <c r="C93" s="6" t="s">
        <v>30</v>
      </c>
      <c r="D93" s="6" t="s">
        <v>31</v>
      </c>
      <c r="E93" s="6" t="s">
        <v>25</v>
      </c>
      <c r="F93" s="6" t="s">
        <v>40</v>
      </c>
      <c r="G93" s="7">
        <f>Table2[[#This Row],[Unit price]]-10</f>
        <v>34.86</v>
      </c>
      <c r="H93" s="7">
        <v>44.86</v>
      </c>
      <c r="I93" s="8">
        <v>10</v>
      </c>
      <c r="J93" s="8">
        <f>Table2[[#This Row],[Unit price]]*Table2[[#This Row],[Quantity]]</f>
        <v>448.6</v>
      </c>
      <c r="K93" s="8">
        <f>Table2[[#This Row],[Unit Cost]]*Table2[[#This Row],[Quantity]]</f>
        <v>348.6</v>
      </c>
      <c r="L93" s="8">
        <f>Table2[[#This Row],[Gross Sales]]-Table2[[#This Row],[COGS]]</f>
        <v>100</v>
      </c>
      <c r="M93" s="9">
        <f t="shared" si="1"/>
        <v>0.22291573785109228</v>
      </c>
      <c r="N93" s="7">
        <v>22.43</v>
      </c>
      <c r="O93" s="7">
        <v>471.03</v>
      </c>
      <c r="P93" s="10">
        <v>43491</v>
      </c>
      <c r="Q93" s="10" t="str">
        <f>TEXT(Table2[[#This Row],[Date]],"mmm")</f>
        <v>Jan</v>
      </c>
      <c r="R93" s="11">
        <v>0.82916666666666661</v>
      </c>
      <c r="S93" s="6" t="s">
        <v>27</v>
      </c>
      <c r="T93" s="7">
        <v>8.1999999999999993</v>
      </c>
      <c r="U93" s="6">
        <f>IF(_xlfn.XLOOKUP(A93,[1]Data2!$A:$A,[1]Data2!$B:$B,"no")="yes",1,0)</f>
        <v>0</v>
      </c>
    </row>
    <row r="94" spans="1:21" s="6" customFormat="1" x14ac:dyDescent="0.3">
      <c r="A94" s="6" t="s">
        <v>132</v>
      </c>
      <c r="B94" s="6" t="s">
        <v>22</v>
      </c>
      <c r="C94" s="6" t="s">
        <v>23</v>
      </c>
      <c r="D94" s="6" t="s">
        <v>24</v>
      </c>
      <c r="E94" s="6" t="s">
        <v>25</v>
      </c>
      <c r="F94" s="6" t="s">
        <v>40</v>
      </c>
      <c r="G94" s="7">
        <f>Table2[[#This Row],[Unit price]]-10</f>
        <v>11.98</v>
      </c>
      <c r="H94" s="7">
        <v>21.98</v>
      </c>
      <c r="I94" s="8">
        <v>7</v>
      </c>
      <c r="J94" s="8">
        <f>Table2[[#This Row],[Unit price]]*Table2[[#This Row],[Quantity]]</f>
        <v>153.86000000000001</v>
      </c>
      <c r="K94" s="8">
        <f>Table2[[#This Row],[Unit Cost]]*Table2[[#This Row],[Quantity]]</f>
        <v>83.86</v>
      </c>
      <c r="L94" s="8">
        <f>Table2[[#This Row],[Gross Sales]]-Table2[[#This Row],[COGS]]</f>
        <v>70.000000000000014</v>
      </c>
      <c r="M94" s="9">
        <f t="shared" si="1"/>
        <v>0.45495905368516837</v>
      </c>
      <c r="N94" s="7">
        <v>7.6929999999999996</v>
      </c>
      <c r="O94" s="7">
        <v>161.553</v>
      </c>
      <c r="P94" s="10">
        <v>43475</v>
      </c>
      <c r="Q94" s="10" t="str">
        <f>TEXT(Table2[[#This Row],[Date]],"mmm")</f>
        <v>Jan</v>
      </c>
      <c r="R94" s="11">
        <v>0.6958333333333333</v>
      </c>
      <c r="S94" s="6" t="s">
        <v>27</v>
      </c>
      <c r="T94" s="7">
        <v>5.0999999999999996</v>
      </c>
      <c r="U94" s="6">
        <f>IF(_xlfn.XLOOKUP(A94,[1]Data2!$A:$A,[1]Data2!$B:$B,"no")="yes",1,0)</f>
        <v>1</v>
      </c>
    </row>
    <row r="95" spans="1:21" s="6" customFormat="1" x14ac:dyDescent="0.3">
      <c r="A95" s="6" t="s">
        <v>133</v>
      </c>
      <c r="B95" s="6" t="s">
        <v>46</v>
      </c>
      <c r="C95" s="6" t="s">
        <v>47</v>
      </c>
      <c r="D95" s="6" t="s">
        <v>24</v>
      </c>
      <c r="E95" s="6" t="s">
        <v>35</v>
      </c>
      <c r="F95" s="6" t="s">
        <v>26</v>
      </c>
      <c r="G95" s="7">
        <f>Table2[[#This Row],[Unit price]]-10</f>
        <v>54.36</v>
      </c>
      <c r="H95" s="7">
        <v>64.36</v>
      </c>
      <c r="I95" s="8">
        <v>9</v>
      </c>
      <c r="J95" s="8">
        <f>Table2[[#This Row],[Unit price]]*Table2[[#This Row],[Quantity]]</f>
        <v>579.24</v>
      </c>
      <c r="K95" s="8">
        <f>Table2[[#This Row],[Unit Cost]]*Table2[[#This Row],[Quantity]]</f>
        <v>489.24</v>
      </c>
      <c r="L95" s="8">
        <f>Table2[[#This Row],[Gross Sales]]-Table2[[#This Row],[COGS]]</f>
        <v>90</v>
      </c>
      <c r="M95" s="9">
        <f t="shared" si="1"/>
        <v>0.15537600994406464</v>
      </c>
      <c r="N95" s="7">
        <v>28.962</v>
      </c>
      <c r="O95" s="7">
        <v>608.202</v>
      </c>
      <c r="P95" s="10">
        <v>43536</v>
      </c>
      <c r="Q95" s="10" t="str">
        <f>TEXT(Table2[[#This Row],[Date]],"mmm")</f>
        <v>Mar</v>
      </c>
      <c r="R95" s="11">
        <v>0.50624999999999998</v>
      </c>
      <c r="S95" s="6" t="s">
        <v>37</v>
      </c>
      <c r="T95" s="7">
        <v>8.6</v>
      </c>
      <c r="U95" s="6">
        <f>IF(_xlfn.XLOOKUP(A95,[1]Data2!$A:$A,[1]Data2!$B:$B,"no")="yes",1,0)</f>
        <v>0</v>
      </c>
    </row>
    <row r="96" spans="1:21" s="6" customFormat="1" x14ac:dyDescent="0.3">
      <c r="A96" s="6" t="s">
        <v>134</v>
      </c>
      <c r="B96" s="6" t="s">
        <v>29</v>
      </c>
      <c r="C96" s="6" t="s">
        <v>30</v>
      </c>
      <c r="D96" s="6" t="s">
        <v>31</v>
      </c>
      <c r="E96" s="6" t="s">
        <v>35</v>
      </c>
      <c r="F96" s="6" t="s">
        <v>26</v>
      </c>
      <c r="G96" s="7">
        <f>Table2[[#This Row],[Unit price]]-10</f>
        <v>79.75</v>
      </c>
      <c r="H96" s="7">
        <v>89.75</v>
      </c>
      <c r="I96" s="8">
        <v>1</v>
      </c>
      <c r="J96" s="8">
        <f>Table2[[#This Row],[Unit price]]*Table2[[#This Row],[Quantity]]</f>
        <v>89.75</v>
      </c>
      <c r="K96" s="8">
        <f>Table2[[#This Row],[Unit Cost]]*Table2[[#This Row],[Quantity]]</f>
        <v>79.75</v>
      </c>
      <c r="L96" s="8">
        <f>Table2[[#This Row],[Gross Sales]]-Table2[[#This Row],[COGS]]</f>
        <v>10</v>
      </c>
      <c r="M96" s="9">
        <f t="shared" si="1"/>
        <v>0.11142061281337047</v>
      </c>
      <c r="N96" s="7">
        <v>4.4874999999999998</v>
      </c>
      <c r="O96" s="7">
        <v>94.237499999999997</v>
      </c>
      <c r="P96" s="10">
        <v>43502</v>
      </c>
      <c r="Q96" s="10" t="str">
        <f>TEXT(Table2[[#This Row],[Date]],"mmm")</f>
        <v>Feb</v>
      </c>
      <c r="R96" s="11">
        <v>0.83680555555555547</v>
      </c>
      <c r="S96" s="6" t="s">
        <v>37</v>
      </c>
      <c r="T96" s="7">
        <v>6.6</v>
      </c>
      <c r="U96" s="6">
        <f>IF(_xlfn.XLOOKUP(A96,[1]Data2!$A:$A,[1]Data2!$B:$B,"no")="yes",1,0)</f>
        <v>0</v>
      </c>
    </row>
    <row r="97" spans="1:21" s="6" customFormat="1" x14ac:dyDescent="0.3">
      <c r="A97" s="6" t="s">
        <v>135</v>
      </c>
      <c r="B97" s="6" t="s">
        <v>22</v>
      </c>
      <c r="C97" s="6" t="s">
        <v>23</v>
      </c>
      <c r="D97" s="6" t="s">
        <v>31</v>
      </c>
      <c r="E97" s="6" t="s">
        <v>35</v>
      </c>
      <c r="F97" s="6" t="s">
        <v>32</v>
      </c>
      <c r="G97" s="7">
        <f>Table2[[#This Row],[Unit price]]-10</f>
        <v>87.16</v>
      </c>
      <c r="H97" s="7">
        <v>97.16</v>
      </c>
      <c r="I97" s="8">
        <v>1</v>
      </c>
      <c r="J97" s="8">
        <f>Table2[[#This Row],[Unit price]]*Table2[[#This Row],[Quantity]]</f>
        <v>97.16</v>
      </c>
      <c r="K97" s="8">
        <f>Table2[[#This Row],[Unit Cost]]*Table2[[#This Row],[Quantity]]</f>
        <v>87.16</v>
      </c>
      <c r="L97" s="8">
        <f>Table2[[#This Row],[Gross Sales]]-Table2[[#This Row],[COGS]]</f>
        <v>10</v>
      </c>
      <c r="M97" s="9">
        <f t="shared" si="1"/>
        <v>0.1029230135858378</v>
      </c>
      <c r="N97" s="7">
        <v>4.8579999999999997</v>
      </c>
      <c r="O97" s="7">
        <v>102.018</v>
      </c>
      <c r="P97" s="10">
        <v>43532</v>
      </c>
      <c r="Q97" s="10" t="str">
        <f>TEXT(Table2[[#This Row],[Date]],"mmm")</f>
        <v>Mar</v>
      </c>
      <c r="R97" s="11">
        <v>0.85972222222222217</v>
      </c>
      <c r="S97" s="6" t="s">
        <v>27</v>
      </c>
      <c r="T97" s="7">
        <v>7.2</v>
      </c>
      <c r="U97" s="6">
        <f>IF(_xlfn.XLOOKUP(A97,[1]Data2!$A:$A,[1]Data2!$B:$B,"no")="yes",1,0)</f>
        <v>0</v>
      </c>
    </row>
    <row r="98" spans="1:21" s="6" customFormat="1" x14ac:dyDescent="0.3">
      <c r="A98" s="6" t="s">
        <v>136</v>
      </c>
      <c r="B98" s="6" t="s">
        <v>46</v>
      </c>
      <c r="C98" s="6" t="s">
        <v>47</v>
      </c>
      <c r="D98" s="6" t="s">
        <v>31</v>
      </c>
      <c r="E98" s="6" t="s">
        <v>35</v>
      </c>
      <c r="F98" s="6" t="s">
        <v>26</v>
      </c>
      <c r="G98" s="7">
        <f>Table2[[#This Row],[Unit price]]-10</f>
        <v>77.87</v>
      </c>
      <c r="H98" s="7">
        <v>87.87</v>
      </c>
      <c r="I98" s="8">
        <v>10</v>
      </c>
      <c r="J98" s="8">
        <f>Table2[[#This Row],[Unit price]]*Table2[[#This Row],[Quantity]]</f>
        <v>878.7</v>
      </c>
      <c r="K98" s="8">
        <f>Table2[[#This Row],[Unit Cost]]*Table2[[#This Row],[Quantity]]</f>
        <v>778.7</v>
      </c>
      <c r="L98" s="8">
        <f>Table2[[#This Row],[Gross Sales]]-Table2[[#This Row],[COGS]]</f>
        <v>100</v>
      </c>
      <c r="M98" s="9">
        <f t="shared" si="1"/>
        <v>0.11380448389666552</v>
      </c>
      <c r="N98" s="7">
        <v>43.935000000000002</v>
      </c>
      <c r="O98" s="7">
        <v>922.63499999999999</v>
      </c>
      <c r="P98" s="10">
        <v>43553</v>
      </c>
      <c r="Q98" s="10" t="str">
        <f>TEXT(Table2[[#This Row],[Date]],"mmm")</f>
        <v>Mar</v>
      </c>
      <c r="R98" s="11">
        <v>0.43402777777777773</v>
      </c>
      <c r="S98" s="6" t="s">
        <v>27</v>
      </c>
      <c r="T98" s="7">
        <v>5.0999999999999996</v>
      </c>
      <c r="U98" s="6">
        <f>IF(_xlfn.XLOOKUP(A98,[1]Data2!$A:$A,[1]Data2!$B:$B,"no")="yes",1,0)</f>
        <v>1</v>
      </c>
    </row>
    <row r="99" spans="1:21" s="6" customFormat="1" x14ac:dyDescent="0.3">
      <c r="A99" s="6" t="s">
        <v>137</v>
      </c>
      <c r="B99" s="6" t="s">
        <v>29</v>
      </c>
      <c r="C99" s="6" t="s">
        <v>30</v>
      </c>
      <c r="D99" s="6" t="s">
        <v>31</v>
      </c>
      <c r="E99" s="6" t="s">
        <v>25</v>
      </c>
      <c r="F99" s="6" t="s">
        <v>32</v>
      </c>
      <c r="G99" s="7">
        <f>Table2[[#This Row],[Unit price]]-10</f>
        <v>2.4499999999999993</v>
      </c>
      <c r="H99" s="7">
        <v>12.45</v>
      </c>
      <c r="I99" s="8">
        <v>6</v>
      </c>
      <c r="J99" s="8">
        <f>Table2[[#This Row],[Unit price]]*Table2[[#This Row],[Quantity]]</f>
        <v>74.699999999999989</v>
      </c>
      <c r="K99" s="8">
        <f>Table2[[#This Row],[Unit Cost]]*Table2[[#This Row],[Quantity]]</f>
        <v>14.699999999999996</v>
      </c>
      <c r="L99" s="8">
        <f>Table2[[#This Row],[Gross Sales]]-Table2[[#This Row],[COGS]]</f>
        <v>59.999999999999993</v>
      </c>
      <c r="M99" s="9">
        <f t="shared" si="1"/>
        <v>0.80321285140562249</v>
      </c>
      <c r="N99" s="7">
        <v>3.7349999999999999</v>
      </c>
      <c r="O99" s="7">
        <v>78.435000000000002</v>
      </c>
      <c r="P99" s="10">
        <v>43505</v>
      </c>
      <c r="Q99" s="10" t="str">
        <f>TEXT(Table2[[#This Row],[Date]],"mmm")</f>
        <v>Feb</v>
      </c>
      <c r="R99" s="11">
        <v>0.5493055555555556</v>
      </c>
      <c r="S99" s="6" t="s">
        <v>33</v>
      </c>
      <c r="T99" s="7">
        <v>4.0999999999999996</v>
      </c>
      <c r="U99" s="6">
        <f>IF(_xlfn.XLOOKUP(A99,[1]Data2!$A:$A,[1]Data2!$B:$B,"no")="yes",1,0)</f>
        <v>0</v>
      </c>
    </row>
    <row r="100" spans="1:21" s="6" customFormat="1" x14ac:dyDescent="0.3">
      <c r="A100" s="6" t="s">
        <v>138</v>
      </c>
      <c r="B100" s="6" t="s">
        <v>22</v>
      </c>
      <c r="C100" s="6" t="s">
        <v>23</v>
      </c>
      <c r="D100" s="6" t="s">
        <v>31</v>
      </c>
      <c r="E100" s="6" t="s">
        <v>35</v>
      </c>
      <c r="F100" s="6" t="s">
        <v>48</v>
      </c>
      <c r="G100" s="7">
        <f>Table2[[#This Row],[Unit price]]-10</f>
        <v>42.75</v>
      </c>
      <c r="H100" s="7">
        <v>52.75</v>
      </c>
      <c r="I100" s="8">
        <v>3</v>
      </c>
      <c r="J100" s="8">
        <f>Table2[[#This Row],[Unit price]]*Table2[[#This Row],[Quantity]]</f>
        <v>158.25</v>
      </c>
      <c r="K100" s="8">
        <f>Table2[[#This Row],[Unit Cost]]*Table2[[#This Row],[Quantity]]</f>
        <v>128.25</v>
      </c>
      <c r="L100" s="8">
        <f>Table2[[#This Row],[Gross Sales]]-Table2[[#This Row],[COGS]]</f>
        <v>30</v>
      </c>
      <c r="M100" s="9">
        <f t="shared" si="1"/>
        <v>0.1895734597156398</v>
      </c>
      <c r="N100" s="7">
        <v>7.9124999999999996</v>
      </c>
      <c r="O100" s="7">
        <v>166.16249999999999</v>
      </c>
      <c r="P100" s="10">
        <v>43547</v>
      </c>
      <c r="Q100" s="10" t="str">
        <f>TEXT(Table2[[#This Row],[Date]],"mmm")</f>
        <v>Mar</v>
      </c>
      <c r="R100" s="11">
        <v>0.42777777777777781</v>
      </c>
      <c r="S100" s="6" t="s">
        <v>27</v>
      </c>
      <c r="T100" s="7">
        <v>9.3000000000000007</v>
      </c>
      <c r="U100" s="6">
        <f>IF(_xlfn.XLOOKUP(A100,[1]Data2!$A:$A,[1]Data2!$B:$B,"no")="yes",1,0)</f>
        <v>0</v>
      </c>
    </row>
    <row r="101" spans="1:21" s="6" customFormat="1" x14ac:dyDescent="0.3">
      <c r="A101" s="6" t="s">
        <v>139</v>
      </c>
      <c r="B101" s="6" t="s">
        <v>46</v>
      </c>
      <c r="C101" s="6" t="s">
        <v>47</v>
      </c>
      <c r="D101" s="6" t="s">
        <v>31</v>
      </c>
      <c r="E101" s="6" t="s">
        <v>35</v>
      </c>
      <c r="F101" s="6" t="s">
        <v>36</v>
      </c>
      <c r="G101" s="7">
        <f>Table2[[#This Row],[Unit price]]-10</f>
        <v>72.7</v>
      </c>
      <c r="H101" s="7">
        <v>82.7</v>
      </c>
      <c r="I101" s="8">
        <v>6</v>
      </c>
      <c r="J101" s="8">
        <f>Table2[[#This Row],[Unit price]]*Table2[[#This Row],[Quantity]]</f>
        <v>496.20000000000005</v>
      </c>
      <c r="K101" s="8">
        <f>Table2[[#This Row],[Unit Cost]]*Table2[[#This Row],[Quantity]]</f>
        <v>436.20000000000005</v>
      </c>
      <c r="L101" s="8">
        <f>Table2[[#This Row],[Gross Sales]]-Table2[[#This Row],[COGS]]</f>
        <v>60</v>
      </c>
      <c r="M101" s="9">
        <f t="shared" si="1"/>
        <v>0.12091898428053204</v>
      </c>
      <c r="N101" s="7">
        <v>24.81</v>
      </c>
      <c r="O101" s="7">
        <v>521.01</v>
      </c>
      <c r="P101" s="10">
        <v>43529</v>
      </c>
      <c r="Q101" s="10" t="str">
        <f>TEXT(Table2[[#This Row],[Date]],"mmm")</f>
        <v>Mar</v>
      </c>
      <c r="R101" s="11">
        <v>0.7597222222222223</v>
      </c>
      <c r="S101" s="6" t="s">
        <v>33</v>
      </c>
      <c r="T101" s="7">
        <v>7.4</v>
      </c>
      <c r="U101" s="6">
        <f>IF(_xlfn.XLOOKUP(A101,[1]Data2!$A:$A,[1]Data2!$B:$B,"no")="yes",1,0)</f>
        <v>0</v>
      </c>
    </row>
    <row r="102" spans="1:21" s="6" customFormat="1" x14ac:dyDescent="0.3">
      <c r="A102" s="6" t="s">
        <v>140</v>
      </c>
      <c r="B102" s="6" t="s">
        <v>29</v>
      </c>
      <c r="C102" s="6" t="s">
        <v>30</v>
      </c>
      <c r="D102" s="6" t="s">
        <v>24</v>
      </c>
      <c r="E102" s="6" t="s">
        <v>35</v>
      </c>
      <c r="F102" s="6" t="s">
        <v>50</v>
      </c>
      <c r="G102" s="7">
        <f>Table2[[#This Row],[Unit price]]-10</f>
        <v>38.71</v>
      </c>
      <c r="H102" s="7">
        <v>48.71</v>
      </c>
      <c r="I102" s="8">
        <v>1</v>
      </c>
      <c r="J102" s="8">
        <f>Table2[[#This Row],[Unit price]]*Table2[[#This Row],[Quantity]]</f>
        <v>48.71</v>
      </c>
      <c r="K102" s="8">
        <f>Table2[[#This Row],[Unit Cost]]*Table2[[#This Row],[Quantity]]</f>
        <v>38.71</v>
      </c>
      <c r="L102" s="8">
        <f>Table2[[#This Row],[Gross Sales]]-Table2[[#This Row],[COGS]]</f>
        <v>10</v>
      </c>
      <c r="M102" s="9">
        <f t="shared" si="1"/>
        <v>0.20529665366454528</v>
      </c>
      <c r="N102" s="7">
        <v>2.4355000000000002</v>
      </c>
      <c r="O102" s="7">
        <v>51.145499999999998</v>
      </c>
      <c r="P102" s="10">
        <v>43550</v>
      </c>
      <c r="Q102" s="10" t="str">
        <f>TEXT(Table2[[#This Row],[Date]],"mmm")</f>
        <v>Mar</v>
      </c>
      <c r="R102" s="11">
        <v>0.80555555555555547</v>
      </c>
      <c r="S102" s="6" t="s">
        <v>33</v>
      </c>
      <c r="T102" s="7">
        <v>4.0999999999999996</v>
      </c>
      <c r="U102" s="6">
        <f>IF(_xlfn.XLOOKUP(A102,[1]Data2!$A:$A,[1]Data2!$B:$B,"no")="yes",1,0)</f>
        <v>1</v>
      </c>
    </row>
    <row r="103" spans="1:21" s="6" customFormat="1" x14ac:dyDescent="0.3">
      <c r="A103" s="6" t="s">
        <v>141</v>
      </c>
      <c r="B103" s="6" t="s">
        <v>29</v>
      </c>
      <c r="C103" s="6" t="s">
        <v>30</v>
      </c>
      <c r="D103" s="6" t="s">
        <v>31</v>
      </c>
      <c r="E103" s="6" t="s">
        <v>35</v>
      </c>
      <c r="F103" s="6" t="s">
        <v>50</v>
      </c>
      <c r="G103" s="7">
        <f>Table2[[#This Row],[Unit price]]-10</f>
        <v>68.55</v>
      </c>
      <c r="H103" s="7">
        <v>78.55</v>
      </c>
      <c r="I103" s="8">
        <v>9</v>
      </c>
      <c r="J103" s="8">
        <f>Table2[[#This Row],[Unit price]]*Table2[[#This Row],[Quantity]]</f>
        <v>706.94999999999993</v>
      </c>
      <c r="K103" s="8">
        <f>Table2[[#This Row],[Unit Cost]]*Table2[[#This Row],[Quantity]]</f>
        <v>616.94999999999993</v>
      </c>
      <c r="L103" s="8">
        <f>Table2[[#This Row],[Gross Sales]]-Table2[[#This Row],[COGS]]</f>
        <v>90</v>
      </c>
      <c r="M103" s="9">
        <f t="shared" si="1"/>
        <v>0.12730744748567793</v>
      </c>
      <c r="N103" s="7">
        <v>35.347499999999997</v>
      </c>
      <c r="O103" s="7">
        <v>742.29750000000001</v>
      </c>
      <c r="P103" s="10">
        <v>43525</v>
      </c>
      <c r="Q103" s="10" t="str">
        <f>TEXT(Table2[[#This Row],[Date]],"mmm")</f>
        <v>Mar</v>
      </c>
      <c r="R103" s="11">
        <v>0.55694444444444446</v>
      </c>
      <c r="S103" s="6" t="s">
        <v>33</v>
      </c>
      <c r="T103" s="7">
        <v>7.2</v>
      </c>
      <c r="U103" s="6">
        <f>IF(_xlfn.XLOOKUP(A103,[1]Data2!$A:$A,[1]Data2!$B:$B,"no")="yes",1,0)</f>
        <v>0</v>
      </c>
    </row>
    <row r="104" spans="1:21" s="6" customFormat="1" x14ac:dyDescent="0.3">
      <c r="A104" s="6" t="s">
        <v>142</v>
      </c>
      <c r="B104" s="6" t="s">
        <v>29</v>
      </c>
      <c r="C104" s="6" t="s">
        <v>30</v>
      </c>
      <c r="D104" s="6" t="s">
        <v>31</v>
      </c>
      <c r="E104" s="6" t="s">
        <v>25</v>
      </c>
      <c r="F104" s="6" t="s">
        <v>32</v>
      </c>
      <c r="G104" s="7">
        <f>Table2[[#This Row],[Unit price]]-10</f>
        <v>13.07</v>
      </c>
      <c r="H104" s="7">
        <v>23.07</v>
      </c>
      <c r="I104" s="8">
        <v>9</v>
      </c>
      <c r="J104" s="8">
        <f>Table2[[#This Row],[Unit price]]*Table2[[#This Row],[Quantity]]</f>
        <v>207.63</v>
      </c>
      <c r="K104" s="8">
        <f>Table2[[#This Row],[Unit Cost]]*Table2[[#This Row],[Quantity]]</f>
        <v>117.63</v>
      </c>
      <c r="L104" s="8">
        <f>Table2[[#This Row],[Gross Sales]]-Table2[[#This Row],[COGS]]</f>
        <v>90</v>
      </c>
      <c r="M104" s="9">
        <f t="shared" si="1"/>
        <v>0.43346337234503685</v>
      </c>
      <c r="N104" s="7">
        <v>10.381500000000001</v>
      </c>
      <c r="O104" s="7">
        <v>218.01150000000001</v>
      </c>
      <c r="P104" s="10">
        <v>43497</v>
      </c>
      <c r="Q104" s="10" t="str">
        <f>TEXT(Table2[[#This Row],[Date]],"mmm")</f>
        <v>Feb</v>
      </c>
      <c r="R104" s="11">
        <v>0.4770833333333333</v>
      </c>
      <c r="S104" s="6" t="s">
        <v>33</v>
      </c>
      <c r="T104" s="7">
        <v>4.9000000000000004</v>
      </c>
      <c r="U104" s="6">
        <f>IF(_xlfn.XLOOKUP(A104,[1]Data2!$A:$A,[1]Data2!$B:$B,"no")="yes",1,0)</f>
        <v>0</v>
      </c>
    </row>
    <row r="105" spans="1:21" s="6" customFormat="1" x14ac:dyDescent="0.3">
      <c r="A105" s="6" t="s">
        <v>143</v>
      </c>
      <c r="B105" s="6" t="s">
        <v>22</v>
      </c>
      <c r="C105" s="6" t="s">
        <v>23</v>
      </c>
      <c r="D105" s="6" t="s">
        <v>31</v>
      </c>
      <c r="E105" s="6" t="s">
        <v>35</v>
      </c>
      <c r="F105" s="6" t="s">
        <v>48</v>
      </c>
      <c r="G105" s="7">
        <f>Table2[[#This Row],[Unit price]]-10</f>
        <v>48.26</v>
      </c>
      <c r="H105" s="7">
        <v>58.26</v>
      </c>
      <c r="I105" s="8">
        <v>6</v>
      </c>
      <c r="J105" s="8">
        <f>Table2[[#This Row],[Unit price]]*Table2[[#This Row],[Quantity]]</f>
        <v>349.56</v>
      </c>
      <c r="K105" s="8">
        <f>Table2[[#This Row],[Unit Cost]]*Table2[[#This Row],[Quantity]]</f>
        <v>289.56</v>
      </c>
      <c r="L105" s="8">
        <f>Table2[[#This Row],[Gross Sales]]-Table2[[#This Row],[COGS]]</f>
        <v>60</v>
      </c>
      <c r="M105" s="9">
        <f t="shared" si="1"/>
        <v>0.17164435290078955</v>
      </c>
      <c r="N105" s="7">
        <v>17.478000000000002</v>
      </c>
      <c r="O105" s="7">
        <v>367.03800000000001</v>
      </c>
      <c r="P105" s="10">
        <v>43552</v>
      </c>
      <c r="Q105" s="10" t="str">
        <f>TEXT(Table2[[#This Row],[Date]],"mmm")</f>
        <v>Mar</v>
      </c>
      <c r="R105" s="11">
        <v>0.6972222222222223</v>
      </c>
      <c r="S105" s="6" t="s">
        <v>33</v>
      </c>
      <c r="T105" s="7">
        <v>9.9</v>
      </c>
      <c r="U105" s="6">
        <f>IF(_xlfn.XLOOKUP(A105,[1]Data2!$A:$A,[1]Data2!$B:$B,"no")="yes",1,0)</f>
        <v>0</v>
      </c>
    </row>
    <row r="106" spans="1:21" s="6" customFormat="1" x14ac:dyDescent="0.3">
      <c r="A106" s="6" t="s">
        <v>144</v>
      </c>
      <c r="B106" s="6" t="s">
        <v>46</v>
      </c>
      <c r="C106" s="6" t="s">
        <v>47</v>
      </c>
      <c r="D106" s="6" t="s">
        <v>31</v>
      </c>
      <c r="E106" s="6" t="s">
        <v>35</v>
      </c>
      <c r="F106" s="6" t="s">
        <v>26</v>
      </c>
      <c r="G106" s="7">
        <f>Table2[[#This Row],[Unit price]]-10</f>
        <v>20.350000000000001</v>
      </c>
      <c r="H106" s="7">
        <v>30.35</v>
      </c>
      <c r="I106" s="8">
        <v>7</v>
      </c>
      <c r="J106" s="8">
        <f>Table2[[#This Row],[Unit price]]*Table2[[#This Row],[Quantity]]</f>
        <v>212.45000000000002</v>
      </c>
      <c r="K106" s="8">
        <f>Table2[[#This Row],[Unit Cost]]*Table2[[#This Row],[Quantity]]</f>
        <v>142.45000000000002</v>
      </c>
      <c r="L106" s="8">
        <f>Table2[[#This Row],[Gross Sales]]-Table2[[#This Row],[COGS]]</f>
        <v>70</v>
      </c>
      <c r="M106" s="9">
        <f t="shared" si="1"/>
        <v>0.32948929159802304</v>
      </c>
      <c r="N106" s="7">
        <v>10.6225</v>
      </c>
      <c r="O106" s="7">
        <v>223.07249999999999</v>
      </c>
      <c r="P106" s="10">
        <v>43543</v>
      </c>
      <c r="Q106" s="10" t="str">
        <f>TEXT(Table2[[#This Row],[Date]],"mmm")</f>
        <v>Mar</v>
      </c>
      <c r="R106" s="11">
        <v>0.7631944444444444</v>
      </c>
      <c r="S106" s="6" t="s">
        <v>33</v>
      </c>
      <c r="T106" s="7">
        <v>8</v>
      </c>
      <c r="U106" s="6">
        <f>IF(_xlfn.XLOOKUP(A106,[1]Data2!$A:$A,[1]Data2!$B:$B,"no")="yes",1,0)</f>
        <v>1</v>
      </c>
    </row>
    <row r="107" spans="1:21" s="6" customFormat="1" x14ac:dyDescent="0.3">
      <c r="A107" s="6" t="s">
        <v>145</v>
      </c>
      <c r="B107" s="6" t="s">
        <v>22</v>
      </c>
      <c r="C107" s="6" t="s">
        <v>23</v>
      </c>
      <c r="D107" s="6" t="s">
        <v>24</v>
      </c>
      <c r="E107" s="6" t="s">
        <v>35</v>
      </c>
      <c r="F107" s="6" t="s">
        <v>32</v>
      </c>
      <c r="G107" s="7">
        <f>Table2[[#This Row],[Unit price]]-10</f>
        <v>78.67</v>
      </c>
      <c r="H107" s="7">
        <v>88.67</v>
      </c>
      <c r="I107" s="8">
        <v>10</v>
      </c>
      <c r="J107" s="8">
        <f>Table2[[#This Row],[Unit price]]*Table2[[#This Row],[Quantity]]</f>
        <v>886.7</v>
      </c>
      <c r="K107" s="8">
        <f>Table2[[#This Row],[Unit Cost]]*Table2[[#This Row],[Quantity]]</f>
        <v>786.7</v>
      </c>
      <c r="L107" s="8">
        <f>Table2[[#This Row],[Gross Sales]]-Table2[[#This Row],[COGS]]</f>
        <v>100</v>
      </c>
      <c r="M107" s="9">
        <f t="shared" si="1"/>
        <v>0.11277771512349159</v>
      </c>
      <c r="N107" s="7">
        <v>44.335000000000001</v>
      </c>
      <c r="O107" s="7">
        <v>931.03499999999997</v>
      </c>
      <c r="P107" s="10">
        <v>43477</v>
      </c>
      <c r="Q107" s="10" t="str">
        <f>TEXT(Table2[[#This Row],[Date]],"mmm")</f>
        <v>Jan</v>
      </c>
      <c r="R107" s="11">
        <v>0.61805555555555558</v>
      </c>
      <c r="S107" s="6" t="s">
        <v>27</v>
      </c>
      <c r="T107" s="7">
        <v>7.3</v>
      </c>
      <c r="U107" s="6">
        <f>IF(_xlfn.XLOOKUP(A107,[1]Data2!$A:$A,[1]Data2!$B:$B,"no")="yes",1,0)</f>
        <v>0</v>
      </c>
    </row>
    <row r="108" spans="1:21" s="6" customFormat="1" x14ac:dyDescent="0.3">
      <c r="A108" s="6" t="s">
        <v>146</v>
      </c>
      <c r="B108" s="6" t="s">
        <v>29</v>
      </c>
      <c r="C108" s="6" t="s">
        <v>30</v>
      </c>
      <c r="D108" s="6" t="s">
        <v>31</v>
      </c>
      <c r="E108" s="6" t="s">
        <v>35</v>
      </c>
      <c r="F108" s="6" t="s">
        <v>50</v>
      </c>
      <c r="G108" s="7">
        <f>Table2[[#This Row],[Unit price]]-10</f>
        <v>17.38</v>
      </c>
      <c r="H108" s="7">
        <v>27.38</v>
      </c>
      <c r="I108" s="8">
        <v>6</v>
      </c>
      <c r="J108" s="8">
        <f>Table2[[#This Row],[Unit price]]*Table2[[#This Row],[Quantity]]</f>
        <v>164.28</v>
      </c>
      <c r="K108" s="8">
        <f>Table2[[#This Row],[Unit Cost]]*Table2[[#This Row],[Quantity]]</f>
        <v>104.28</v>
      </c>
      <c r="L108" s="8">
        <f>Table2[[#This Row],[Gross Sales]]-Table2[[#This Row],[COGS]]</f>
        <v>60</v>
      </c>
      <c r="M108" s="9">
        <f t="shared" si="1"/>
        <v>0.36523009495982467</v>
      </c>
      <c r="N108" s="7">
        <v>8.2140000000000004</v>
      </c>
      <c r="O108" s="7">
        <v>172.494</v>
      </c>
      <c r="P108" s="10">
        <v>43470</v>
      </c>
      <c r="Q108" s="10" t="str">
        <f>TEXT(Table2[[#This Row],[Date]],"mmm")</f>
        <v>Jan</v>
      </c>
      <c r="R108" s="11">
        <v>0.87083333333333324</v>
      </c>
      <c r="S108" s="6" t="s">
        <v>37</v>
      </c>
      <c r="T108" s="7">
        <v>7.9</v>
      </c>
      <c r="U108" s="6">
        <f>IF(_xlfn.XLOOKUP(A108,[1]Data2!$A:$A,[1]Data2!$B:$B,"no")="yes",1,0)</f>
        <v>0</v>
      </c>
    </row>
    <row r="109" spans="1:21" s="6" customFormat="1" x14ac:dyDescent="0.3">
      <c r="A109" s="6" t="s">
        <v>147</v>
      </c>
      <c r="B109" s="6" t="s">
        <v>22</v>
      </c>
      <c r="C109" s="6" t="s">
        <v>23</v>
      </c>
      <c r="D109" s="6" t="s">
        <v>31</v>
      </c>
      <c r="E109" s="6" t="s">
        <v>35</v>
      </c>
      <c r="F109" s="6" t="s">
        <v>40</v>
      </c>
      <c r="G109" s="7">
        <f>Table2[[#This Row],[Unit price]]-10</f>
        <v>52.13</v>
      </c>
      <c r="H109" s="7">
        <v>62.13</v>
      </c>
      <c r="I109" s="8">
        <v>6</v>
      </c>
      <c r="J109" s="8">
        <f>Table2[[#This Row],[Unit price]]*Table2[[#This Row],[Quantity]]</f>
        <v>372.78000000000003</v>
      </c>
      <c r="K109" s="8">
        <f>Table2[[#This Row],[Unit Cost]]*Table2[[#This Row],[Quantity]]</f>
        <v>312.78000000000003</v>
      </c>
      <c r="L109" s="8">
        <f>Table2[[#This Row],[Gross Sales]]-Table2[[#This Row],[COGS]]</f>
        <v>60</v>
      </c>
      <c r="M109" s="9">
        <f t="shared" si="1"/>
        <v>0.16095284081764041</v>
      </c>
      <c r="N109" s="7">
        <v>18.638999999999999</v>
      </c>
      <c r="O109" s="7">
        <v>391.41899999999998</v>
      </c>
      <c r="P109" s="10">
        <v>43546</v>
      </c>
      <c r="Q109" s="10" t="str">
        <f>TEXT(Table2[[#This Row],[Date]],"mmm")</f>
        <v>Mar</v>
      </c>
      <c r="R109" s="11">
        <v>0.84652777777777777</v>
      </c>
      <c r="S109" s="6" t="s">
        <v>33</v>
      </c>
      <c r="T109" s="7">
        <v>7.4</v>
      </c>
      <c r="U109" s="6">
        <f>IF(_xlfn.XLOOKUP(A109,[1]Data2!$A:$A,[1]Data2!$B:$B,"no")="yes",1,0)</f>
        <v>0</v>
      </c>
    </row>
    <row r="110" spans="1:21" s="6" customFormat="1" x14ac:dyDescent="0.3">
      <c r="A110" s="6" t="s">
        <v>148</v>
      </c>
      <c r="B110" s="6" t="s">
        <v>29</v>
      </c>
      <c r="C110" s="6" t="s">
        <v>30</v>
      </c>
      <c r="D110" s="6" t="s">
        <v>31</v>
      </c>
      <c r="E110" s="6" t="s">
        <v>25</v>
      </c>
      <c r="F110" s="6" t="s">
        <v>48</v>
      </c>
      <c r="G110" s="7">
        <f>Table2[[#This Row],[Unit price]]-10</f>
        <v>23.979999999999997</v>
      </c>
      <c r="H110" s="7">
        <v>33.979999999999997</v>
      </c>
      <c r="I110" s="8">
        <v>9</v>
      </c>
      <c r="J110" s="8">
        <f>Table2[[#This Row],[Unit price]]*Table2[[#This Row],[Quantity]]</f>
        <v>305.82</v>
      </c>
      <c r="K110" s="8">
        <f>Table2[[#This Row],[Unit Cost]]*Table2[[#This Row],[Quantity]]</f>
        <v>215.81999999999996</v>
      </c>
      <c r="L110" s="8">
        <f>Table2[[#This Row],[Gross Sales]]-Table2[[#This Row],[COGS]]</f>
        <v>90.000000000000028</v>
      </c>
      <c r="M110" s="9">
        <f t="shared" si="1"/>
        <v>0.29429075927015902</v>
      </c>
      <c r="N110" s="7">
        <v>15.291</v>
      </c>
      <c r="O110" s="7">
        <v>321.11099999999999</v>
      </c>
      <c r="P110" s="10">
        <v>43548</v>
      </c>
      <c r="Q110" s="10" t="str">
        <f>TEXT(Table2[[#This Row],[Date]],"mmm")</f>
        <v>Mar</v>
      </c>
      <c r="R110" s="11">
        <v>0.4465277777777778</v>
      </c>
      <c r="S110" s="6" t="s">
        <v>33</v>
      </c>
      <c r="T110" s="7">
        <v>4.2</v>
      </c>
      <c r="U110" s="6">
        <f>IF(_xlfn.XLOOKUP(A110,[1]Data2!$A:$A,[1]Data2!$B:$B,"no")="yes",1,0)</f>
        <v>1</v>
      </c>
    </row>
    <row r="111" spans="1:21" s="6" customFormat="1" x14ac:dyDescent="0.3">
      <c r="A111" s="6" t="s">
        <v>149</v>
      </c>
      <c r="B111" s="6" t="s">
        <v>29</v>
      </c>
      <c r="C111" s="6" t="s">
        <v>30</v>
      </c>
      <c r="D111" s="6" t="s">
        <v>24</v>
      </c>
      <c r="E111" s="6" t="s">
        <v>35</v>
      </c>
      <c r="F111" s="6" t="s">
        <v>32</v>
      </c>
      <c r="G111" s="7">
        <f>Table2[[#This Row],[Unit price]]-10</f>
        <v>71.97</v>
      </c>
      <c r="H111" s="7">
        <v>81.97</v>
      </c>
      <c r="I111" s="8">
        <v>10</v>
      </c>
      <c r="J111" s="8">
        <f>Table2[[#This Row],[Unit price]]*Table2[[#This Row],[Quantity]]</f>
        <v>819.7</v>
      </c>
      <c r="K111" s="8">
        <f>Table2[[#This Row],[Unit Cost]]*Table2[[#This Row],[Quantity]]</f>
        <v>719.7</v>
      </c>
      <c r="L111" s="8">
        <f>Table2[[#This Row],[Gross Sales]]-Table2[[#This Row],[COGS]]</f>
        <v>100</v>
      </c>
      <c r="M111" s="9">
        <f t="shared" si="1"/>
        <v>0.12199585214102719</v>
      </c>
      <c r="N111" s="7">
        <v>40.984999999999999</v>
      </c>
      <c r="O111" s="7">
        <v>860.68499999999995</v>
      </c>
      <c r="P111" s="10">
        <v>43527</v>
      </c>
      <c r="Q111" s="10" t="str">
        <f>TEXT(Table2[[#This Row],[Date]],"mmm")</f>
        <v>Mar</v>
      </c>
      <c r="R111" s="11">
        <v>0.60416666666666663</v>
      </c>
      <c r="S111" s="6" t="s">
        <v>33</v>
      </c>
      <c r="T111" s="7">
        <v>9.1999999999999993</v>
      </c>
      <c r="U111" s="6">
        <f>IF(_xlfn.XLOOKUP(A111,[1]Data2!$A:$A,[1]Data2!$B:$B,"no")="yes",1,0)</f>
        <v>0</v>
      </c>
    </row>
    <row r="112" spans="1:21" s="6" customFormat="1" x14ac:dyDescent="0.3">
      <c r="A112" s="6" t="s">
        <v>150</v>
      </c>
      <c r="B112" s="6" t="s">
        <v>46</v>
      </c>
      <c r="C112" s="6" t="s">
        <v>47</v>
      </c>
      <c r="D112" s="6" t="s">
        <v>24</v>
      </c>
      <c r="E112" s="6" t="s">
        <v>25</v>
      </c>
      <c r="F112" s="6" t="s">
        <v>40</v>
      </c>
      <c r="G112" s="7">
        <f>Table2[[#This Row],[Unit price]]-10</f>
        <v>6.4899999999999984</v>
      </c>
      <c r="H112" s="7">
        <v>16.489999999999998</v>
      </c>
      <c r="I112" s="8">
        <v>2</v>
      </c>
      <c r="J112" s="8">
        <f>Table2[[#This Row],[Unit price]]*Table2[[#This Row],[Quantity]]</f>
        <v>32.979999999999997</v>
      </c>
      <c r="K112" s="8">
        <f>Table2[[#This Row],[Unit Cost]]*Table2[[#This Row],[Quantity]]</f>
        <v>12.979999999999997</v>
      </c>
      <c r="L112" s="8">
        <f>Table2[[#This Row],[Gross Sales]]-Table2[[#This Row],[COGS]]</f>
        <v>20</v>
      </c>
      <c r="M112" s="9">
        <f t="shared" si="1"/>
        <v>0.60642813826561559</v>
      </c>
      <c r="N112" s="7">
        <v>1.649</v>
      </c>
      <c r="O112" s="7">
        <v>34.628999999999998</v>
      </c>
      <c r="P112" s="10">
        <v>43501</v>
      </c>
      <c r="Q112" s="10" t="str">
        <f>TEXT(Table2[[#This Row],[Date]],"mmm")</f>
        <v>Feb</v>
      </c>
      <c r="R112" s="11">
        <v>0.48055555555555557</v>
      </c>
      <c r="S112" s="6" t="s">
        <v>27</v>
      </c>
      <c r="T112" s="7">
        <v>4.5999999999999996</v>
      </c>
      <c r="U112" s="6">
        <f>IF(_xlfn.XLOOKUP(A112,[1]Data2!$A:$A,[1]Data2!$B:$B,"no")="yes",1,0)</f>
        <v>0</v>
      </c>
    </row>
    <row r="113" spans="1:21" s="6" customFormat="1" x14ac:dyDescent="0.3">
      <c r="A113" s="6" t="s">
        <v>151</v>
      </c>
      <c r="B113" s="6" t="s">
        <v>29</v>
      </c>
      <c r="C113" s="6" t="s">
        <v>30</v>
      </c>
      <c r="D113" s="6" t="s">
        <v>24</v>
      </c>
      <c r="E113" s="6" t="s">
        <v>25</v>
      </c>
      <c r="F113" s="6" t="s">
        <v>26</v>
      </c>
      <c r="G113" s="7">
        <f>Table2[[#This Row],[Unit price]]-10</f>
        <v>88.21</v>
      </c>
      <c r="H113" s="7">
        <v>98.21</v>
      </c>
      <c r="I113" s="8">
        <v>3</v>
      </c>
      <c r="J113" s="8">
        <f>Table2[[#This Row],[Unit price]]*Table2[[#This Row],[Quantity]]</f>
        <v>294.63</v>
      </c>
      <c r="K113" s="8">
        <f>Table2[[#This Row],[Unit Cost]]*Table2[[#This Row],[Quantity]]</f>
        <v>264.63</v>
      </c>
      <c r="L113" s="8">
        <f>Table2[[#This Row],[Gross Sales]]-Table2[[#This Row],[COGS]]</f>
        <v>30</v>
      </c>
      <c r="M113" s="9">
        <f t="shared" si="1"/>
        <v>0.10182262498727217</v>
      </c>
      <c r="N113" s="7">
        <v>14.7315</v>
      </c>
      <c r="O113" s="7">
        <v>309.36149999999998</v>
      </c>
      <c r="P113" s="10">
        <v>43501</v>
      </c>
      <c r="Q113" s="10" t="str">
        <f>TEXT(Table2[[#This Row],[Date]],"mmm")</f>
        <v>Feb</v>
      </c>
      <c r="R113" s="11">
        <v>0.44513888888888892</v>
      </c>
      <c r="S113" s="6" t="s">
        <v>37</v>
      </c>
      <c r="T113" s="7">
        <v>7.8</v>
      </c>
      <c r="U113" s="6">
        <f>IF(_xlfn.XLOOKUP(A113,[1]Data2!$A:$A,[1]Data2!$B:$B,"no")="yes",1,0)</f>
        <v>0</v>
      </c>
    </row>
    <row r="114" spans="1:21" s="6" customFormat="1" x14ac:dyDescent="0.3">
      <c r="A114" s="6" t="s">
        <v>152</v>
      </c>
      <c r="B114" s="6" t="s">
        <v>46</v>
      </c>
      <c r="C114" s="6" t="s">
        <v>47</v>
      </c>
      <c r="D114" s="6" t="s">
        <v>31</v>
      </c>
      <c r="E114" s="6" t="s">
        <v>25</v>
      </c>
      <c r="F114" s="6" t="s">
        <v>50</v>
      </c>
      <c r="G114" s="7">
        <f>Table2[[#This Row],[Unit price]]-10</f>
        <v>62.84</v>
      </c>
      <c r="H114" s="7">
        <v>72.84</v>
      </c>
      <c r="I114" s="8">
        <v>7</v>
      </c>
      <c r="J114" s="8">
        <f>Table2[[#This Row],[Unit price]]*Table2[[#This Row],[Quantity]]</f>
        <v>509.88</v>
      </c>
      <c r="K114" s="8">
        <f>Table2[[#This Row],[Unit Cost]]*Table2[[#This Row],[Quantity]]</f>
        <v>439.88</v>
      </c>
      <c r="L114" s="8">
        <f>Table2[[#This Row],[Gross Sales]]-Table2[[#This Row],[COGS]]</f>
        <v>70</v>
      </c>
      <c r="M114" s="9">
        <f t="shared" si="1"/>
        <v>0.13728720483250961</v>
      </c>
      <c r="N114" s="7">
        <v>25.494</v>
      </c>
      <c r="O114" s="7">
        <v>535.37400000000002</v>
      </c>
      <c r="P114" s="10">
        <v>43511</v>
      </c>
      <c r="Q114" s="10" t="str">
        <f>TEXT(Table2[[#This Row],[Date]],"mmm")</f>
        <v>Feb</v>
      </c>
      <c r="R114" s="11">
        <v>0.53055555555555556</v>
      </c>
      <c r="S114" s="6" t="s">
        <v>33</v>
      </c>
      <c r="T114" s="7">
        <v>8.4</v>
      </c>
      <c r="U114" s="6">
        <f>IF(_xlfn.XLOOKUP(A114,[1]Data2!$A:$A,[1]Data2!$B:$B,"no")="yes",1,0)</f>
        <v>1</v>
      </c>
    </row>
    <row r="115" spans="1:21" s="6" customFormat="1" x14ac:dyDescent="0.3">
      <c r="A115" s="6" t="s">
        <v>153</v>
      </c>
      <c r="B115" s="6" t="s">
        <v>22</v>
      </c>
      <c r="C115" s="6" t="s">
        <v>23</v>
      </c>
      <c r="D115" s="6" t="s">
        <v>24</v>
      </c>
      <c r="E115" s="6" t="s">
        <v>35</v>
      </c>
      <c r="F115" s="6" t="s">
        <v>36</v>
      </c>
      <c r="G115" s="7">
        <f>Table2[[#This Row],[Unit price]]-10</f>
        <v>48.07</v>
      </c>
      <c r="H115" s="7">
        <v>58.07</v>
      </c>
      <c r="I115" s="8">
        <v>9</v>
      </c>
      <c r="J115" s="8">
        <f>Table2[[#This Row],[Unit price]]*Table2[[#This Row],[Quantity]]</f>
        <v>522.63</v>
      </c>
      <c r="K115" s="8">
        <f>Table2[[#This Row],[Unit Cost]]*Table2[[#This Row],[Quantity]]</f>
        <v>432.63</v>
      </c>
      <c r="L115" s="8">
        <f>Table2[[#This Row],[Gross Sales]]-Table2[[#This Row],[COGS]]</f>
        <v>90</v>
      </c>
      <c r="M115" s="9">
        <f t="shared" si="1"/>
        <v>0.17220595832615809</v>
      </c>
      <c r="N115" s="7">
        <v>26.131499999999999</v>
      </c>
      <c r="O115" s="7">
        <v>548.76149999999996</v>
      </c>
      <c r="P115" s="10">
        <v>43484</v>
      </c>
      <c r="Q115" s="10" t="str">
        <f>TEXT(Table2[[#This Row],[Date]],"mmm")</f>
        <v>Jan</v>
      </c>
      <c r="R115" s="11">
        <v>0.83819444444444446</v>
      </c>
      <c r="S115" s="6" t="s">
        <v>27</v>
      </c>
      <c r="T115" s="7">
        <v>4.3</v>
      </c>
      <c r="U115" s="6">
        <f>IF(_xlfn.XLOOKUP(A115,[1]Data2!$A:$A,[1]Data2!$B:$B,"no")="yes",1,0)</f>
        <v>0</v>
      </c>
    </row>
    <row r="116" spans="1:21" s="6" customFormat="1" x14ac:dyDescent="0.3">
      <c r="A116" s="6" t="s">
        <v>154</v>
      </c>
      <c r="B116" s="6" t="s">
        <v>29</v>
      </c>
      <c r="C116" s="6" t="s">
        <v>30</v>
      </c>
      <c r="D116" s="6" t="s">
        <v>24</v>
      </c>
      <c r="E116" s="6" t="s">
        <v>25</v>
      </c>
      <c r="F116" s="6" t="s">
        <v>36</v>
      </c>
      <c r="G116" s="7">
        <f>Table2[[#This Row],[Unit price]]-10</f>
        <v>70.790000000000006</v>
      </c>
      <c r="H116" s="7">
        <v>80.790000000000006</v>
      </c>
      <c r="I116" s="8">
        <v>9</v>
      </c>
      <c r="J116" s="8">
        <f>Table2[[#This Row],[Unit price]]*Table2[[#This Row],[Quantity]]</f>
        <v>727.11</v>
      </c>
      <c r="K116" s="8">
        <f>Table2[[#This Row],[Unit Cost]]*Table2[[#This Row],[Quantity]]</f>
        <v>637.11</v>
      </c>
      <c r="L116" s="8">
        <f>Table2[[#This Row],[Gross Sales]]-Table2[[#This Row],[COGS]]</f>
        <v>90</v>
      </c>
      <c r="M116" s="9">
        <f t="shared" si="1"/>
        <v>0.12377769525931427</v>
      </c>
      <c r="N116" s="7">
        <v>36.355499999999999</v>
      </c>
      <c r="O116" s="7">
        <v>763.46550000000002</v>
      </c>
      <c r="P116" s="10">
        <v>43497</v>
      </c>
      <c r="Q116" s="10" t="str">
        <f>TEXT(Table2[[#This Row],[Date]],"mmm")</f>
        <v>Feb</v>
      </c>
      <c r="R116" s="11">
        <v>0.85486111111111107</v>
      </c>
      <c r="S116" s="6" t="s">
        <v>37</v>
      </c>
      <c r="T116" s="7">
        <v>9.5</v>
      </c>
      <c r="U116" s="6">
        <f>IF(_xlfn.XLOOKUP(A116,[1]Data2!$A:$A,[1]Data2!$B:$B,"no")="yes",1,0)</f>
        <v>0</v>
      </c>
    </row>
    <row r="117" spans="1:21" s="6" customFormat="1" x14ac:dyDescent="0.3">
      <c r="A117" s="6" t="s">
        <v>155</v>
      </c>
      <c r="B117" s="6" t="s">
        <v>29</v>
      </c>
      <c r="C117" s="6" t="s">
        <v>30</v>
      </c>
      <c r="D117" s="6" t="s">
        <v>31</v>
      </c>
      <c r="E117" s="6" t="s">
        <v>25</v>
      </c>
      <c r="F117" s="6" t="s">
        <v>50</v>
      </c>
      <c r="G117" s="7">
        <f>Table2[[#This Row],[Unit price]]-10</f>
        <v>17.02</v>
      </c>
      <c r="H117" s="7">
        <v>27.02</v>
      </c>
      <c r="I117" s="8">
        <v>3</v>
      </c>
      <c r="J117" s="8">
        <f>Table2[[#This Row],[Unit price]]*Table2[[#This Row],[Quantity]]</f>
        <v>81.06</v>
      </c>
      <c r="K117" s="8">
        <f>Table2[[#This Row],[Unit Cost]]*Table2[[#This Row],[Quantity]]</f>
        <v>51.06</v>
      </c>
      <c r="L117" s="8">
        <f>Table2[[#This Row],[Gross Sales]]-Table2[[#This Row],[COGS]]</f>
        <v>30</v>
      </c>
      <c r="M117" s="9">
        <f t="shared" si="1"/>
        <v>0.37009622501850481</v>
      </c>
      <c r="N117" s="7">
        <v>4.0529999999999999</v>
      </c>
      <c r="O117" s="7">
        <v>85.113</v>
      </c>
      <c r="P117" s="10">
        <v>43526</v>
      </c>
      <c r="Q117" s="10" t="str">
        <f>TEXT(Table2[[#This Row],[Date]],"mmm")</f>
        <v>Mar</v>
      </c>
      <c r="R117" s="11">
        <v>0.54236111111111118</v>
      </c>
      <c r="S117" s="6" t="s">
        <v>37</v>
      </c>
      <c r="T117" s="7">
        <v>7.1</v>
      </c>
      <c r="U117" s="6">
        <f>IF(_xlfn.XLOOKUP(A117,[1]Data2!$A:$A,[1]Data2!$B:$B,"no")="yes",1,0)</f>
        <v>0</v>
      </c>
    </row>
    <row r="118" spans="1:21" s="6" customFormat="1" x14ac:dyDescent="0.3">
      <c r="A118" s="6" t="s">
        <v>156</v>
      </c>
      <c r="B118" s="6" t="s">
        <v>46</v>
      </c>
      <c r="C118" s="6" t="s">
        <v>47</v>
      </c>
      <c r="D118" s="6" t="s">
        <v>24</v>
      </c>
      <c r="E118" s="6" t="s">
        <v>35</v>
      </c>
      <c r="F118" s="6" t="s">
        <v>50</v>
      </c>
      <c r="G118" s="7">
        <f>Table2[[#This Row],[Unit price]]-10</f>
        <v>11.940000000000001</v>
      </c>
      <c r="H118" s="7">
        <v>21.94</v>
      </c>
      <c r="I118" s="8">
        <v>5</v>
      </c>
      <c r="J118" s="8">
        <f>Table2[[#This Row],[Unit price]]*Table2[[#This Row],[Quantity]]</f>
        <v>109.7</v>
      </c>
      <c r="K118" s="8">
        <f>Table2[[#This Row],[Unit Cost]]*Table2[[#This Row],[Quantity]]</f>
        <v>59.7</v>
      </c>
      <c r="L118" s="8">
        <f>Table2[[#This Row],[Gross Sales]]-Table2[[#This Row],[COGS]]</f>
        <v>50</v>
      </c>
      <c r="M118" s="9">
        <f t="shared" si="1"/>
        <v>0.45578851412944393</v>
      </c>
      <c r="N118" s="7">
        <v>5.4850000000000003</v>
      </c>
      <c r="O118" s="7">
        <v>115.185</v>
      </c>
      <c r="P118" s="10">
        <v>43529</v>
      </c>
      <c r="Q118" s="10" t="str">
        <f>TEXT(Table2[[#This Row],[Date]],"mmm")</f>
        <v>Mar</v>
      </c>
      <c r="R118" s="11">
        <v>0.52013888888888882</v>
      </c>
      <c r="S118" s="6" t="s">
        <v>27</v>
      </c>
      <c r="T118" s="7">
        <v>5.3</v>
      </c>
      <c r="U118" s="6">
        <f>IF(_xlfn.XLOOKUP(A118,[1]Data2!$A:$A,[1]Data2!$B:$B,"no")="yes",1,0)</f>
        <v>1</v>
      </c>
    </row>
    <row r="119" spans="1:21" s="6" customFormat="1" x14ac:dyDescent="0.3">
      <c r="A119" s="6" t="s">
        <v>157</v>
      </c>
      <c r="B119" s="6" t="s">
        <v>46</v>
      </c>
      <c r="C119" s="6" t="s">
        <v>47</v>
      </c>
      <c r="D119" s="6" t="s">
        <v>24</v>
      </c>
      <c r="E119" s="6" t="s">
        <v>35</v>
      </c>
      <c r="F119" s="6" t="s">
        <v>50</v>
      </c>
      <c r="G119" s="7">
        <f>Table2[[#This Row],[Unit price]]-10</f>
        <v>41.36</v>
      </c>
      <c r="H119" s="7">
        <v>51.36</v>
      </c>
      <c r="I119" s="8">
        <v>1</v>
      </c>
      <c r="J119" s="8">
        <f>Table2[[#This Row],[Unit price]]*Table2[[#This Row],[Quantity]]</f>
        <v>51.36</v>
      </c>
      <c r="K119" s="8">
        <f>Table2[[#This Row],[Unit Cost]]*Table2[[#This Row],[Quantity]]</f>
        <v>41.36</v>
      </c>
      <c r="L119" s="8">
        <f>Table2[[#This Row],[Gross Sales]]-Table2[[#This Row],[COGS]]</f>
        <v>10</v>
      </c>
      <c r="M119" s="9">
        <f t="shared" si="1"/>
        <v>0.19470404984423675</v>
      </c>
      <c r="N119" s="7">
        <v>2.5680000000000001</v>
      </c>
      <c r="O119" s="7">
        <v>53.927999999999997</v>
      </c>
      <c r="P119" s="10">
        <v>43481</v>
      </c>
      <c r="Q119" s="10" t="str">
        <f>TEXT(Table2[[#This Row],[Date]],"mmm")</f>
        <v>Jan</v>
      </c>
      <c r="R119" s="11">
        <v>0.6430555555555556</v>
      </c>
      <c r="S119" s="6" t="s">
        <v>27</v>
      </c>
      <c r="T119" s="7">
        <v>5.2</v>
      </c>
      <c r="U119" s="6">
        <f>IF(_xlfn.XLOOKUP(A119,[1]Data2!$A:$A,[1]Data2!$B:$B,"no")="yes",1,0)</f>
        <v>0</v>
      </c>
    </row>
    <row r="120" spans="1:21" s="6" customFormat="1" x14ac:dyDescent="0.3">
      <c r="A120" s="6" t="s">
        <v>158</v>
      </c>
      <c r="B120" s="6" t="s">
        <v>22</v>
      </c>
      <c r="C120" s="6" t="s">
        <v>23</v>
      </c>
      <c r="D120" s="6" t="s">
        <v>31</v>
      </c>
      <c r="E120" s="6" t="s">
        <v>25</v>
      </c>
      <c r="F120" s="6" t="s">
        <v>48</v>
      </c>
      <c r="G120" s="7">
        <f>Table2[[#This Row],[Unit price]]-10</f>
        <v>0.96000000000000085</v>
      </c>
      <c r="H120" s="7">
        <v>10.96</v>
      </c>
      <c r="I120" s="8">
        <v>10</v>
      </c>
      <c r="J120" s="8">
        <f>Table2[[#This Row],[Unit price]]*Table2[[#This Row],[Quantity]]</f>
        <v>109.60000000000001</v>
      </c>
      <c r="K120" s="8">
        <f>Table2[[#This Row],[Unit Cost]]*Table2[[#This Row],[Quantity]]</f>
        <v>9.6000000000000085</v>
      </c>
      <c r="L120" s="8">
        <f>Table2[[#This Row],[Gross Sales]]-Table2[[#This Row],[COGS]]</f>
        <v>100</v>
      </c>
      <c r="M120" s="9">
        <f t="shared" si="1"/>
        <v>0.91240875912408748</v>
      </c>
      <c r="N120" s="7">
        <v>5.48</v>
      </c>
      <c r="O120" s="7">
        <v>115.08</v>
      </c>
      <c r="P120" s="10">
        <v>43498</v>
      </c>
      <c r="Q120" s="10" t="str">
        <f>TEXT(Table2[[#This Row],[Date]],"mmm")</f>
        <v>Feb</v>
      </c>
      <c r="R120" s="11">
        <v>0.8666666666666667</v>
      </c>
      <c r="S120" s="6" t="s">
        <v>27</v>
      </c>
      <c r="T120" s="7">
        <v>6</v>
      </c>
      <c r="U120" s="6">
        <f>IF(_xlfn.XLOOKUP(A120,[1]Data2!$A:$A,[1]Data2!$B:$B,"no")="yes",1,0)</f>
        <v>0</v>
      </c>
    </row>
    <row r="121" spans="1:21" s="6" customFormat="1" x14ac:dyDescent="0.3">
      <c r="A121" s="6" t="s">
        <v>159</v>
      </c>
      <c r="B121" s="6" t="s">
        <v>46</v>
      </c>
      <c r="C121" s="6" t="s">
        <v>47</v>
      </c>
      <c r="D121" s="6" t="s">
        <v>31</v>
      </c>
      <c r="E121" s="6" t="s">
        <v>35</v>
      </c>
      <c r="F121" s="6" t="s">
        <v>36</v>
      </c>
      <c r="G121" s="7">
        <f>Table2[[#This Row],[Unit price]]-10</f>
        <v>43.44</v>
      </c>
      <c r="H121" s="7">
        <v>53.44</v>
      </c>
      <c r="I121" s="8">
        <v>2</v>
      </c>
      <c r="J121" s="8">
        <f>Table2[[#This Row],[Unit price]]*Table2[[#This Row],[Quantity]]</f>
        <v>106.88</v>
      </c>
      <c r="K121" s="8">
        <f>Table2[[#This Row],[Unit Cost]]*Table2[[#This Row],[Quantity]]</f>
        <v>86.88</v>
      </c>
      <c r="L121" s="8">
        <f>Table2[[#This Row],[Gross Sales]]-Table2[[#This Row],[COGS]]</f>
        <v>20</v>
      </c>
      <c r="M121" s="9">
        <f t="shared" si="1"/>
        <v>0.18712574850299402</v>
      </c>
      <c r="N121" s="7">
        <v>5.3440000000000003</v>
      </c>
      <c r="O121" s="7">
        <v>112.224</v>
      </c>
      <c r="P121" s="10">
        <v>43485</v>
      </c>
      <c r="Q121" s="10" t="str">
        <f>TEXT(Table2[[#This Row],[Date]],"mmm")</f>
        <v>Jan</v>
      </c>
      <c r="R121" s="11">
        <v>0.85972222222222217</v>
      </c>
      <c r="S121" s="6" t="s">
        <v>27</v>
      </c>
      <c r="T121" s="7">
        <v>4.0999999999999996</v>
      </c>
      <c r="U121" s="6">
        <f>IF(_xlfn.XLOOKUP(A121,[1]Data2!$A:$A,[1]Data2!$B:$B,"no")="yes",1,0)</f>
        <v>0</v>
      </c>
    </row>
    <row r="122" spans="1:21" s="6" customFormat="1" x14ac:dyDescent="0.3">
      <c r="A122" s="6" t="s">
        <v>160</v>
      </c>
      <c r="B122" s="6" t="s">
        <v>22</v>
      </c>
      <c r="C122" s="6" t="s">
        <v>23</v>
      </c>
      <c r="D122" s="6" t="s">
        <v>31</v>
      </c>
      <c r="E122" s="6" t="s">
        <v>25</v>
      </c>
      <c r="F122" s="6" t="s">
        <v>32</v>
      </c>
      <c r="G122" s="7">
        <f>Table2[[#This Row],[Unit price]]-10</f>
        <v>89.56</v>
      </c>
      <c r="H122" s="7">
        <v>99.56</v>
      </c>
      <c r="I122" s="8">
        <v>8</v>
      </c>
      <c r="J122" s="8">
        <f>Table2[[#This Row],[Unit price]]*Table2[[#This Row],[Quantity]]</f>
        <v>796.48</v>
      </c>
      <c r="K122" s="8">
        <f>Table2[[#This Row],[Unit Cost]]*Table2[[#This Row],[Quantity]]</f>
        <v>716.48</v>
      </c>
      <c r="L122" s="8">
        <f>Table2[[#This Row],[Gross Sales]]-Table2[[#This Row],[COGS]]</f>
        <v>80</v>
      </c>
      <c r="M122" s="9">
        <f t="shared" si="1"/>
        <v>0.1004419445560466</v>
      </c>
      <c r="N122" s="7">
        <v>39.823999999999998</v>
      </c>
      <c r="O122" s="7">
        <v>836.30399999999997</v>
      </c>
      <c r="P122" s="10">
        <v>43510</v>
      </c>
      <c r="Q122" s="10" t="str">
        <f>TEXT(Table2[[#This Row],[Date]],"mmm")</f>
        <v>Feb</v>
      </c>
      <c r="R122" s="11">
        <v>0.7104166666666667</v>
      </c>
      <c r="S122" s="6" t="s">
        <v>37</v>
      </c>
      <c r="T122" s="7">
        <v>5.2</v>
      </c>
      <c r="U122" s="6">
        <f>IF(_xlfn.XLOOKUP(A122,[1]Data2!$A:$A,[1]Data2!$B:$B,"no")="yes",1,0)</f>
        <v>1</v>
      </c>
    </row>
    <row r="123" spans="1:21" s="6" customFormat="1" x14ac:dyDescent="0.3">
      <c r="A123" s="6" t="s">
        <v>161</v>
      </c>
      <c r="B123" s="6" t="s">
        <v>29</v>
      </c>
      <c r="C123" s="6" t="s">
        <v>30</v>
      </c>
      <c r="D123" s="6" t="s">
        <v>24</v>
      </c>
      <c r="E123" s="6" t="s">
        <v>35</v>
      </c>
      <c r="F123" s="6" t="s">
        <v>40</v>
      </c>
      <c r="G123" s="7">
        <f>Table2[[#This Row],[Unit price]]-10</f>
        <v>47.12</v>
      </c>
      <c r="H123" s="7">
        <v>57.12</v>
      </c>
      <c r="I123" s="8">
        <v>7</v>
      </c>
      <c r="J123" s="8">
        <f>Table2[[#This Row],[Unit price]]*Table2[[#This Row],[Quantity]]</f>
        <v>399.84</v>
      </c>
      <c r="K123" s="8">
        <f>Table2[[#This Row],[Unit Cost]]*Table2[[#This Row],[Quantity]]</f>
        <v>329.84</v>
      </c>
      <c r="L123" s="8">
        <f>Table2[[#This Row],[Gross Sales]]-Table2[[#This Row],[COGS]]</f>
        <v>70</v>
      </c>
      <c r="M123" s="9">
        <f t="shared" si="1"/>
        <v>0.1750700280112045</v>
      </c>
      <c r="N123" s="7">
        <v>19.992000000000001</v>
      </c>
      <c r="O123" s="7">
        <v>419.83199999999999</v>
      </c>
      <c r="P123" s="10">
        <v>43477</v>
      </c>
      <c r="Q123" s="10" t="str">
        <f>TEXT(Table2[[#This Row],[Date]],"mmm")</f>
        <v>Jan</v>
      </c>
      <c r="R123" s="11">
        <v>0.50138888888888888</v>
      </c>
      <c r="S123" s="6" t="s">
        <v>37</v>
      </c>
      <c r="T123" s="7">
        <v>6.5</v>
      </c>
      <c r="U123" s="6">
        <f>IF(_xlfn.XLOOKUP(A123,[1]Data2!$A:$A,[1]Data2!$B:$B,"no")="yes",1,0)</f>
        <v>0</v>
      </c>
    </row>
    <row r="124" spans="1:21" s="6" customFormat="1" x14ac:dyDescent="0.3">
      <c r="A124" s="6" t="s">
        <v>162</v>
      </c>
      <c r="B124" s="6" t="s">
        <v>46</v>
      </c>
      <c r="C124" s="6" t="s">
        <v>47</v>
      </c>
      <c r="D124" s="6" t="s">
        <v>24</v>
      </c>
      <c r="E124" s="6" t="s">
        <v>35</v>
      </c>
      <c r="F124" s="6" t="s">
        <v>40</v>
      </c>
      <c r="G124" s="7">
        <f>Table2[[#This Row],[Unit price]]-10</f>
        <v>89.96</v>
      </c>
      <c r="H124" s="7">
        <v>99.96</v>
      </c>
      <c r="I124" s="8">
        <v>9</v>
      </c>
      <c r="J124" s="8">
        <f>Table2[[#This Row],[Unit price]]*Table2[[#This Row],[Quantity]]</f>
        <v>899.64</v>
      </c>
      <c r="K124" s="8">
        <f>Table2[[#This Row],[Unit Cost]]*Table2[[#This Row],[Quantity]]</f>
        <v>809.64</v>
      </c>
      <c r="L124" s="8">
        <f>Table2[[#This Row],[Gross Sales]]-Table2[[#This Row],[COGS]]</f>
        <v>90</v>
      </c>
      <c r="M124" s="9">
        <f t="shared" si="1"/>
        <v>0.10004001600640257</v>
      </c>
      <c r="N124" s="7">
        <v>44.981999999999999</v>
      </c>
      <c r="O124" s="7">
        <v>944.62199999999996</v>
      </c>
      <c r="P124" s="10">
        <v>43533</v>
      </c>
      <c r="Q124" s="10" t="str">
        <f>TEXT(Table2[[#This Row],[Date]],"mmm")</f>
        <v>Mar</v>
      </c>
      <c r="R124" s="11">
        <v>0.72638888888888886</v>
      </c>
      <c r="S124" s="6" t="s">
        <v>37</v>
      </c>
      <c r="T124" s="7">
        <v>4.2</v>
      </c>
      <c r="U124" s="6">
        <f>IF(_xlfn.XLOOKUP(A124,[1]Data2!$A:$A,[1]Data2!$B:$B,"no")="yes",1,0)</f>
        <v>0</v>
      </c>
    </row>
    <row r="125" spans="1:21" s="6" customFormat="1" x14ac:dyDescent="0.3">
      <c r="A125" s="6" t="s">
        <v>163</v>
      </c>
      <c r="B125" s="6" t="s">
        <v>29</v>
      </c>
      <c r="C125" s="6" t="s">
        <v>30</v>
      </c>
      <c r="D125" s="6" t="s">
        <v>24</v>
      </c>
      <c r="E125" s="6" t="s">
        <v>35</v>
      </c>
      <c r="F125" s="6" t="s">
        <v>36</v>
      </c>
      <c r="G125" s="7">
        <f>Table2[[#This Row],[Unit price]]-10</f>
        <v>53.91</v>
      </c>
      <c r="H125" s="7">
        <v>63.91</v>
      </c>
      <c r="I125" s="8">
        <v>8</v>
      </c>
      <c r="J125" s="8">
        <f>Table2[[#This Row],[Unit price]]*Table2[[#This Row],[Quantity]]</f>
        <v>511.28</v>
      </c>
      <c r="K125" s="8">
        <f>Table2[[#This Row],[Unit Cost]]*Table2[[#This Row],[Quantity]]</f>
        <v>431.28</v>
      </c>
      <c r="L125" s="8">
        <f>Table2[[#This Row],[Gross Sales]]-Table2[[#This Row],[COGS]]</f>
        <v>80</v>
      </c>
      <c r="M125" s="9">
        <f t="shared" si="1"/>
        <v>0.1564700359881083</v>
      </c>
      <c r="N125" s="7">
        <v>25.564</v>
      </c>
      <c r="O125" s="7">
        <v>536.84400000000005</v>
      </c>
      <c r="P125" s="10">
        <v>43537</v>
      </c>
      <c r="Q125" s="10" t="str">
        <f>TEXT(Table2[[#This Row],[Date]],"mmm")</f>
        <v>Mar</v>
      </c>
      <c r="R125" s="11">
        <v>0.82777777777777783</v>
      </c>
      <c r="S125" s="6" t="s">
        <v>37</v>
      </c>
      <c r="T125" s="7">
        <v>4.5999999999999996</v>
      </c>
      <c r="U125" s="6">
        <f>IF(_xlfn.XLOOKUP(A125,[1]Data2!$A:$A,[1]Data2!$B:$B,"no")="yes",1,0)</f>
        <v>0</v>
      </c>
    </row>
    <row r="126" spans="1:21" s="6" customFormat="1" x14ac:dyDescent="0.3">
      <c r="A126" s="6" t="s">
        <v>164</v>
      </c>
      <c r="B126" s="6" t="s">
        <v>46</v>
      </c>
      <c r="C126" s="6" t="s">
        <v>47</v>
      </c>
      <c r="D126" s="6" t="s">
        <v>24</v>
      </c>
      <c r="E126" s="6" t="s">
        <v>25</v>
      </c>
      <c r="F126" s="6" t="s">
        <v>50</v>
      </c>
      <c r="G126" s="7">
        <f>Table2[[#This Row],[Unit price]]-10</f>
        <v>46.47</v>
      </c>
      <c r="H126" s="7">
        <v>56.47</v>
      </c>
      <c r="I126" s="8">
        <v>8</v>
      </c>
      <c r="J126" s="8">
        <f>Table2[[#This Row],[Unit price]]*Table2[[#This Row],[Quantity]]</f>
        <v>451.76</v>
      </c>
      <c r="K126" s="8">
        <f>Table2[[#This Row],[Unit Cost]]*Table2[[#This Row],[Quantity]]</f>
        <v>371.76</v>
      </c>
      <c r="L126" s="8">
        <f>Table2[[#This Row],[Gross Sales]]-Table2[[#This Row],[COGS]]</f>
        <v>80</v>
      </c>
      <c r="M126" s="9">
        <f t="shared" si="1"/>
        <v>0.17708517797060386</v>
      </c>
      <c r="N126" s="7">
        <v>22.588000000000001</v>
      </c>
      <c r="O126" s="7">
        <v>474.34800000000001</v>
      </c>
      <c r="P126" s="10">
        <v>43533</v>
      </c>
      <c r="Q126" s="10" t="str">
        <f>TEXT(Table2[[#This Row],[Date]],"mmm")</f>
        <v>Mar</v>
      </c>
      <c r="R126" s="11">
        <v>0.62291666666666667</v>
      </c>
      <c r="S126" s="6" t="s">
        <v>27</v>
      </c>
      <c r="T126" s="7">
        <v>7.3</v>
      </c>
      <c r="U126" s="6">
        <f>IF(_xlfn.XLOOKUP(A126,[1]Data2!$A:$A,[1]Data2!$B:$B,"no")="yes",1,0)</f>
        <v>1</v>
      </c>
    </row>
    <row r="127" spans="1:21" s="6" customFormat="1" x14ac:dyDescent="0.3">
      <c r="A127" s="6" t="s">
        <v>165</v>
      </c>
      <c r="B127" s="6" t="s">
        <v>22</v>
      </c>
      <c r="C127" s="6" t="s">
        <v>23</v>
      </c>
      <c r="D127" s="6" t="s">
        <v>31</v>
      </c>
      <c r="E127" s="6" t="s">
        <v>25</v>
      </c>
      <c r="F127" s="6" t="s">
        <v>36</v>
      </c>
      <c r="G127" s="7">
        <f>Table2[[#This Row],[Unit price]]-10</f>
        <v>83.69</v>
      </c>
      <c r="H127" s="7">
        <v>93.69</v>
      </c>
      <c r="I127" s="8">
        <v>7</v>
      </c>
      <c r="J127" s="8">
        <f>Table2[[#This Row],[Unit price]]*Table2[[#This Row],[Quantity]]</f>
        <v>655.82999999999993</v>
      </c>
      <c r="K127" s="8">
        <f>Table2[[#This Row],[Unit Cost]]*Table2[[#This Row],[Quantity]]</f>
        <v>585.82999999999993</v>
      </c>
      <c r="L127" s="8">
        <f>Table2[[#This Row],[Gross Sales]]-Table2[[#This Row],[COGS]]</f>
        <v>70</v>
      </c>
      <c r="M127" s="9">
        <f t="shared" si="1"/>
        <v>0.10673497705197994</v>
      </c>
      <c r="N127" s="7">
        <v>32.791499999999999</v>
      </c>
      <c r="O127" s="7">
        <v>688.62149999999997</v>
      </c>
      <c r="P127" s="10">
        <v>43534</v>
      </c>
      <c r="Q127" s="10" t="str">
        <f>TEXT(Table2[[#This Row],[Date]],"mmm")</f>
        <v>Mar</v>
      </c>
      <c r="R127" s="11">
        <v>0.78055555555555556</v>
      </c>
      <c r="S127" s="6" t="s">
        <v>37</v>
      </c>
      <c r="T127" s="7">
        <v>4.5</v>
      </c>
      <c r="U127" s="6">
        <f>IF(_xlfn.XLOOKUP(A127,[1]Data2!$A:$A,[1]Data2!$B:$B,"no")="yes",1,0)</f>
        <v>0</v>
      </c>
    </row>
    <row r="128" spans="1:21" s="6" customFormat="1" x14ac:dyDescent="0.3">
      <c r="A128" s="6" t="s">
        <v>166</v>
      </c>
      <c r="B128" s="6" t="s">
        <v>22</v>
      </c>
      <c r="C128" s="6" t="s">
        <v>23</v>
      </c>
      <c r="D128" s="6" t="s">
        <v>31</v>
      </c>
      <c r="E128" s="6" t="s">
        <v>25</v>
      </c>
      <c r="F128" s="6" t="s">
        <v>40</v>
      </c>
      <c r="G128" s="7">
        <f>Table2[[#This Row],[Unit price]]-10</f>
        <v>22.25</v>
      </c>
      <c r="H128" s="7">
        <v>32.25</v>
      </c>
      <c r="I128" s="8">
        <v>5</v>
      </c>
      <c r="J128" s="8">
        <f>Table2[[#This Row],[Unit price]]*Table2[[#This Row],[Quantity]]</f>
        <v>161.25</v>
      </c>
      <c r="K128" s="8">
        <f>Table2[[#This Row],[Unit Cost]]*Table2[[#This Row],[Quantity]]</f>
        <v>111.25</v>
      </c>
      <c r="L128" s="8">
        <f>Table2[[#This Row],[Gross Sales]]-Table2[[#This Row],[COGS]]</f>
        <v>50</v>
      </c>
      <c r="M128" s="9">
        <f t="shared" si="1"/>
        <v>0.31007751937984496</v>
      </c>
      <c r="N128" s="7">
        <v>8.0625</v>
      </c>
      <c r="O128" s="7">
        <v>169.3125</v>
      </c>
      <c r="P128" s="10">
        <v>43492</v>
      </c>
      <c r="Q128" s="10" t="str">
        <f>TEXT(Table2[[#This Row],[Date]],"mmm")</f>
        <v>Jan</v>
      </c>
      <c r="R128" s="11">
        <v>0.55972222222222223</v>
      </c>
      <c r="S128" s="6" t="s">
        <v>33</v>
      </c>
      <c r="T128" s="7">
        <v>9</v>
      </c>
      <c r="U128" s="6">
        <f>IF(_xlfn.XLOOKUP(A128,[1]Data2!$A:$A,[1]Data2!$B:$B,"no")="yes",1,0)</f>
        <v>0</v>
      </c>
    </row>
    <row r="129" spans="1:21" s="6" customFormat="1" x14ac:dyDescent="0.3">
      <c r="A129" s="6" t="s">
        <v>167</v>
      </c>
      <c r="B129" s="6" t="s">
        <v>29</v>
      </c>
      <c r="C129" s="6" t="s">
        <v>30</v>
      </c>
      <c r="D129" s="6" t="s">
        <v>31</v>
      </c>
      <c r="E129" s="6" t="s">
        <v>25</v>
      </c>
      <c r="F129" s="6" t="s">
        <v>50</v>
      </c>
      <c r="G129" s="7">
        <f>Table2[[#This Row],[Unit price]]-10</f>
        <v>21.73</v>
      </c>
      <c r="H129" s="7">
        <v>31.73</v>
      </c>
      <c r="I129" s="8">
        <v>9</v>
      </c>
      <c r="J129" s="8">
        <f>Table2[[#This Row],[Unit price]]*Table2[[#This Row],[Quantity]]</f>
        <v>285.57</v>
      </c>
      <c r="K129" s="8">
        <f>Table2[[#This Row],[Unit Cost]]*Table2[[#This Row],[Quantity]]</f>
        <v>195.57</v>
      </c>
      <c r="L129" s="8">
        <f>Table2[[#This Row],[Gross Sales]]-Table2[[#This Row],[COGS]]</f>
        <v>90</v>
      </c>
      <c r="M129" s="9">
        <f t="shared" si="1"/>
        <v>0.31515915537346362</v>
      </c>
      <c r="N129" s="7">
        <v>14.278499999999999</v>
      </c>
      <c r="O129" s="7">
        <v>299.8485</v>
      </c>
      <c r="P129" s="10">
        <v>43473</v>
      </c>
      <c r="Q129" s="10" t="str">
        <f>TEXT(Table2[[#This Row],[Date]],"mmm")</f>
        <v>Jan</v>
      </c>
      <c r="R129" s="11">
        <v>0.67847222222222225</v>
      </c>
      <c r="S129" s="6" t="s">
        <v>37</v>
      </c>
      <c r="T129" s="7">
        <v>5.9</v>
      </c>
      <c r="U129" s="6">
        <f>IF(_xlfn.XLOOKUP(A129,[1]Data2!$A:$A,[1]Data2!$B:$B,"no")="yes",1,0)</f>
        <v>0</v>
      </c>
    </row>
    <row r="130" spans="1:21" s="6" customFormat="1" x14ac:dyDescent="0.3">
      <c r="A130" s="6" t="s">
        <v>168</v>
      </c>
      <c r="B130" s="6" t="s">
        <v>29</v>
      </c>
      <c r="C130" s="6" t="s">
        <v>30</v>
      </c>
      <c r="D130" s="6" t="s">
        <v>24</v>
      </c>
      <c r="E130" s="6" t="s">
        <v>25</v>
      </c>
      <c r="F130" s="6" t="s">
        <v>48</v>
      </c>
      <c r="G130" s="7">
        <f>Table2[[#This Row],[Unit price]]-10</f>
        <v>58.540000000000006</v>
      </c>
      <c r="H130" s="7">
        <v>68.540000000000006</v>
      </c>
      <c r="I130" s="8">
        <v>8</v>
      </c>
      <c r="J130" s="8">
        <f>Table2[[#This Row],[Unit price]]*Table2[[#This Row],[Quantity]]</f>
        <v>548.32000000000005</v>
      </c>
      <c r="K130" s="8">
        <f>Table2[[#This Row],[Unit Cost]]*Table2[[#This Row],[Quantity]]</f>
        <v>468.32000000000005</v>
      </c>
      <c r="L130" s="8">
        <f>Table2[[#This Row],[Gross Sales]]-Table2[[#This Row],[COGS]]</f>
        <v>80</v>
      </c>
      <c r="M130" s="9">
        <f t="shared" si="1"/>
        <v>0.14590020426028594</v>
      </c>
      <c r="N130" s="7">
        <v>27.416</v>
      </c>
      <c r="O130" s="7">
        <v>575.73599999999999</v>
      </c>
      <c r="P130" s="10">
        <v>43473</v>
      </c>
      <c r="Q130" s="10" t="str">
        <f>TEXT(Table2[[#This Row],[Date]],"mmm")</f>
        <v>Jan</v>
      </c>
      <c r="R130" s="11">
        <v>0.6645833333333333</v>
      </c>
      <c r="S130" s="6" t="s">
        <v>27</v>
      </c>
      <c r="T130" s="7">
        <v>8.5</v>
      </c>
      <c r="U130" s="6">
        <f>IF(_xlfn.XLOOKUP(A130,[1]Data2!$A:$A,[1]Data2!$B:$B,"no")="yes",1,0)</f>
        <v>1</v>
      </c>
    </row>
    <row r="131" spans="1:21" s="6" customFormat="1" x14ac:dyDescent="0.3">
      <c r="A131" s="6" t="s">
        <v>169</v>
      </c>
      <c r="B131" s="6" t="s">
        <v>46</v>
      </c>
      <c r="C131" s="6" t="s">
        <v>47</v>
      </c>
      <c r="D131" s="6" t="s">
        <v>31</v>
      </c>
      <c r="E131" s="6" t="s">
        <v>25</v>
      </c>
      <c r="F131" s="6" t="s">
        <v>40</v>
      </c>
      <c r="G131" s="7">
        <f>Table2[[#This Row],[Unit price]]-10</f>
        <v>80.28</v>
      </c>
      <c r="H131" s="7">
        <v>90.28</v>
      </c>
      <c r="I131" s="8">
        <v>9</v>
      </c>
      <c r="J131" s="8">
        <f>Table2[[#This Row],[Unit price]]*Table2[[#This Row],[Quantity]]</f>
        <v>812.52</v>
      </c>
      <c r="K131" s="8">
        <f>Table2[[#This Row],[Unit Cost]]*Table2[[#This Row],[Quantity]]</f>
        <v>722.52</v>
      </c>
      <c r="L131" s="8">
        <f>Table2[[#This Row],[Gross Sales]]-Table2[[#This Row],[COGS]]</f>
        <v>90</v>
      </c>
      <c r="M131" s="9">
        <f t="shared" ref="M131:M194" si="2">IFERROR(L131/J131,0)</f>
        <v>0.11076650420912716</v>
      </c>
      <c r="N131" s="7">
        <v>40.625999999999998</v>
      </c>
      <c r="O131" s="7">
        <v>853.14599999999996</v>
      </c>
      <c r="P131" s="10">
        <v>43504</v>
      </c>
      <c r="Q131" s="10" t="str">
        <f>TEXT(Table2[[#This Row],[Date]],"mmm")</f>
        <v>Feb</v>
      </c>
      <c r="R131" s="11">
        <v>0.46875</v>
      </c>
      <c r="S131" s="6" t="s">
        <v>27</v>
      </c>
      <c r="T131" s="7">
        <v>7.2</v>
      </c>
      <c r="U131" s="6">
        <f>IF(_xlfn.XLOOKUP(A131,[1]Data2!$A:$A,[1]Data2!$B:$B,"no")="yes",1,0)</f>
        <v>0</v>
      </c>
    </row>
    <row r="132" spans="1:21" s="6" customFormat="1" x14ac:dyDescent="0.3">
      <c r="A132" s="6" t="s">
        <v>170</v>
      </c>
      <c r="B132" s="6" t="s">
        <v>46</v>
      </c>
      <c r="C132" s="6" t="s">
        <v>47</v>
      </c>
      <c r="D132" s="6" t="s">
        <v>31</v>
      </c>
      <c r="E132" s="6" t="s">
        <v>25</v>
      </c>
      <c r="F132" s="6" t="s">
        <v>50</v>
      </c>
      <c r="G132" s="7">
        <f>Table2[[#This Row],[Unit price]]-10</f>
        <v>29.619999999999997</v>
      </c>
      <c r="H132" s="7">
        <v>39.619999999999997</v>
      </c>
      <c r="I132" s="8">
        <v>7</v>
      </c>
      <c r="J132" s="8">
        <f>Table2[[#This Row],[Unit price]]*Table2[[#This Row],[Quantity]]</f>
        <v>277.33999999999997</v>
      </c>
      <c r="K132" s="8">
        <f>Table2[[#This Row],[Unit Cost]]*Table2[[#This Row],[Quantity]]</f>
        <v>207.33999999999997</v>
      </c>
      <c r="L132" s="8">
        <f>Table2[[#This Row],[Gross Sales]]-Table2[[#This Row],[COGS]]</f>
        <v>70</v>
      </c>
      <c r="M132" s="9">
        <f t="shared" si="2"/>
        <v>0.25239777889954573</v>
      </c>
      <c r="N132" s="7">
        <v>13.867000000000001</v>
      </c>
      <c r="O132" s="7">
        <v>291.20699999999999</v>
      </c>
      <c r="P132" s="10">
        <v>43490</v>
      </c>
      <c r="Q132" s="10" t="str">
        <f>TEXT(Table2[[#This Row],[Date]],"mmm")</f>
        <v>Jan</v>
      </c>
      <c r="R132" s="11">
        <v>0.5541666666666667</v>
      </c>
      <c r="S132" s="6" t="s">
        <v>33</v>
      </c>
      <c r="T132" s="7">
        <v>7.5</v>
      </c>
      <c r="U132" s="6">
        <f>IF(_xlfn.XLOOKUP(A132,[1]Data2!$A:$A,[1]Data2!$B:$B,"no")="yes",1,0)</f>
        <v>0</v>
      </c>
    </row>
    <row r="133" spans="1:21" s="6" customFormat="1" x14ac:dyDescent="0.3">
      <c r="A133" s="6" t="s">
        <v>171</v>
      </c>
      <c r="B133" s="6" t="s">
        <v>22</v>
      </c>
      <c r="C133" s="6" t="s">
        <v>23</v>
      </c>
      <c r="D133" s="6" t="s">
        <v>24</v>
      </c>
      <c r="E133" s="6" t="s">
        <v>25</v>
      </c>
      <c r="F133" s="6" t="s">
        <v>40</v>
      </c>
      <c r="G133" s="7">
        <f>Table2[[#This Row],[Unit price]]-10</f>
        <v>82.13</v>
      </c>
      <c r="H133" s="7">
        <v>92.13</v>
      </c>
      <c r="I133" s="8">
        <v>6</v>
      </c>
      <c r="J133" s="8">
        <f>Table2[[#This Row],[Unit price]]*Table2[[#This Row],[Quantity]]</f>
        <v>552.78</v>
      </c>
      <c r="K133" s="8">
        <f>Table2[[#This Row],[Unit Cost]]*Table2[[#This Row],[Quantity]]</f>
        <v>492.78</v>
      </c>
      <c r="L133" s="8">
        <f>Table2[[#This Row],[Gross Sales]]-Table2[[#This Row],[COGS]]</f>
        <v>60</v>
      </c>
      <c r="M133" s="9">
        <f t="shared" si="2"/>
        <v>0.10854227721697601</v>
      </c>
      <c r="N133" s="7">
        <v>27.638999999999999</v>
      </c>
      <c r="O133" s="7">
        <v>580.41899999999998</v>
      </c>
      <c r="P133" s="10">
        <v>43530</v>
      </c>
      <c r="Q133" s="10" t="str">
        <f>TEXT(Table2[[#This Row],[Date]],"mmm")</f>
        <v>Mar</v>
      </c>
      <c r="R133" s="11">
        <v>0.8569444444444444</v>
      </c>
      <c r="S133" s="6" t="s">
        <v>33</v>
      </c>
      <c r="T133" s="7">
        <v>8.3000000000000007</v>
      </c>
      <c r="U133" s="6">
        <f>IF(_xlfn.XLOOKUP(A133,[1]Data2!$A:$A,[1]Data2!$B:$B,"no")="yes",1,0)</f>
        <v>0</v>
      </c>
    </row>
    <row r="134" spans="1:21" s="6" customFormat="1" x14ac:dyDescent="0.3">
      <c r="A134" s="6" t="s">
        <v>172</v>
      </c>
      <c r="B134" s="6" t="s">
        <v>46</v>
      </c>
      <c r="C134" s="6" t="s">
        <v>47</v>
      </c>
      <c r="D134" s="6" t="s">
        <v>31</v>
      </c>
      <c r="E134" s="6" t="s">
        <v>25</v>
      </c>
      <c r="F134" s="6" t="s">
        <v>40</v>
      </c>
      <c r="G134" s="7">
        <f>Table2[[#This Row],[Unit price]]-10</f>
        <v>24.840000000000003</v>
      </c>
      <c r="H134" s="7">
        <v>34.840000000000003</v>
      </c>
      <c r="I134" s="8">
        <v>4</v>
      </c>
      <c r="J134" s="8">
        <f>Table2[[#This Row],[Unit price]]*Table2[[#This Row],[Quantity]]</f>
        <v>139.36000000000001</v>
      </c>
      <c r="K134" s="8">
        <f>Table2[[#This Row],[Unit Cost]]*Table2[[#This Row],[Quantity]]</f>
        <v>99.360000000000014</v>
      </c>
      <c r="L134" s="8">
        <f>Table2[[#This Row],[Gross Sales]]-Table2[[#This Row],[COGS]]</f>
        <v>40</v>
      </c>
      <c r="M134" s="9">
        <f t="shared" si="2"/>
        <v>0.28702640642939148</v>
      </c>
      <c r="N134" s="7">
        <v>6.968</v>
      </c>
      <c r="O134" s="7">
        <v>146.328</v>
      </c>
      <c r="P134" s="10">
        <v>43506</v>
      </c>
      <c r="Q134" s="10" t="str">
        <f>TEXT(Table2[[#This Row],[Date]],"mmm")</f>
        <v>Feb</v>
      </c>
      <c r="R134" s="11">
        <v>0.77500000000000002</v>
      </c>
      <c r="S134" s="6" t="s">
        <v>33</v>
      </c>
      <c r="T134" s="7">
        <v>7.4</v>
      </c>
      <c r="U134" s="6">
        <f>IF(_xlfn.XLOOKUP(A134,[1]Data2!$A:$A,[1]Data2!$B:$B,"no")="yes",1,0)</f>
        <v>1</v>
      </c>
    </row>
    <row r="135" spans="1:21" s="6" customFormat="1" x14ac:dyDescent="0.3">
      <c r="A135" s="6" t="s">
        <v>173</v>
      </c>
      <c r="B135" s="6" t="s">
        <v>46</v>
      </c>
      <c r="C135" s="6" t="s">
        <v>47</v>
      </c>
      <c r="D135" s="6" t="s">
        <v>24</v>
      </c>
      <c r="E135" s="6" t="s">
        <v>35</v>
      </c>
      <c r="F135" s="6" t="s">
        <v>32</v>
      </c>
      <c r="G135" s="7">
        <f>Table2[[#This Row],[Unit price]]-10</f>
        <v>77.45</v>
      </c>
      <c r="H135" s="7">
        <v>87.45</v>
      </c>
      <c r="I135" s="8">
        <v>6</v>
      </c>
      <c r="J135" s="8">
        <f>Table2[[#This Row],[Unit price]]*Table2[[#This Row],[Quantity]]</f>
        <v>524.70000000000005</v>
      </c>
      <c r="K135" s="8">
        <f>Table2[[#This Row],[Unit Cost]]*Table2[[#This Row],[Quantity]]</f>
        <v>464.70000000000005</v>
      </c>
      <c r="L135" s="8">
        <f>Table2[[#This Row],[Gross Sales]]-Table2[[#This Row],[COGS]]</f>
        <v>60</v>
      </c>
      <c r="M135" s="9">
        <f t="shared" si="2"/>
        <v>0.11435105774728416</v>
      </c>
      <c r="N135" s="7">
        <v>26.234999999999999</v>
      </c>
      <c r="O135" s="7">
        <v>550.93499999999995</v>
      </c>
      <c r="P135" s="10">
        <v>43513</v>
      </c>
      <c r="Q135" s="10" t="str">
        <f>TEXT(Table2[[#This Row],[Date]],"mmm")</f>
        <v>Feb</v>
      </c>
      <c r="R135" s="11">
        <v>0.61111111111111105</v>
      </c>
      <c r="S135" s="6" t="s">
        <v>37</v>
      </c>
      <c r="T135" s="7">
        <v>8.8000000000000007</v>
      </c>
      <c r="U135" s="6">
        <f>IF(_xlfn.XLOOKUP(A135,[1]Data2!$A:$A,[1]Data2!$B:$B,"no")="yes",1,0)</f>
        <v>0</v>
      </c>
    </row>
    <row r="136" spans="1:21" s="6" customFormat="1" x14ac:dyDescent="0.3">
      <c r="A136" s="6" t="s">
        <v>174</v>
      </c>
      <c r="B136" s="6" t="s">
        <v>29</v>
      </c>
      <c r="C136" s="6" t="s">
        <v>30</v>
      </c>
      <c r="D136" s="6" t="s">
        <v>31</v>
      </c>
      <c r="E136" s="6" t="s">
        <v>25</v>
      </c>
      <c r="F136" s="6" t="s">
        <v>26</v>
      </c>
      <c r="G136" s="7">
        <f>Table2[[#This Row],[Unit price]]-10</f>
        <v>71.3</v>
      </c>
      <c r="H136" s="7">
        <v>81.3</v>
      </c>
      <c r="I136" s="8">
        <v>6</v>
      </c>
      <c r="J136" s="8">
        <f>Table2[[#This Row],[Unit price]]*Table2[[#This Row],[Quantity]]</f>
        <v>487.79999999999995</v>
      </c>
      <c r="K136" s="8">
        <f>Table2[[#This Row],[Unit Cost]]*Table2[[#This Row],[Quantity]]</f>
        <v>427.79999999999995</v>
      </c>
      <c r="L136" s="8">
        <f>Table2[[#This Row],[Gross Sales]]-Table2[[#This Row],[COGS]]</f>
        <v>60</v>
      </c>
      <c r="M136" s="9">
        <f t="shared" si="2"/>
        <v>0.12300123001230014</v>
      </c>
      <c r="N136" s="7">
        <v>24.39</v>
      </c>
      <c r="O136" s="7">
        <v>512.19000000000005</v>
      </c>
      <c r="P136" s="10">
        <v>43532</v>
      </c>
      <c r="Q136" s="10" t="str">
        <f>TEXT(Table2[[#This Row],[Date]],"mmm")</f>
        <v>Mar</v>
      </c>
      <c r="R136" s="11">
        <v>0.69652777777777775</v>
      </c>
      <c r="S136" s="6" t="s">
        <v>27</v>
      </c>
      <c r="T136" s="7">
        <v>5.3</v>
      </c>
      <c r="U136" s="6">
        <f>IF(_xlfn.XLOOKUP(A136,[1]Data2!$A:$A,[1]Data2!$B:$B,"no")="yes",1,0)</f>
        <v>0</v>
      </c>
    </row>
    <row r="137" spans="1:21" s="6" customFormat="1" x14ac:dyDescent="0.3">
      <c r="A137" s="6" t="s">
        <v>175</v>
      </c>
      <c r="B137" s="6" t="s">
        <v>29</v>
      </c>
      <c r="C137" s="6" t="s">
        <v>30</v>
      </c>
      <c r="D137" s="6" t="s">
        <v>31</v>
      </c>
      <c r="E137" s="6" t="s">
        <v>35</v>
      </c>
      <c r="F137" s="6" t="s">
        <v>50</v>
      </c>
      <c r="G137" s="7">
        <f>Table2[[#This Row],[Unit price]]-10</f>
        <v>80.22</v>
      </c>
      <c r="H137" s="7">
        <v>90.22</v>
      </c>
      <c r="I137" s="8">
        <v>3</v>
      </c>
      <c r="J137" s="8">
        <f>Table2[[#This Row],[Unit price]]*Table2[[#This Row],[Quantity]]</f>
        <v>270.65999999999997</v>
      </c>
      <c r="K137" s="8">
        <f>Table2[[#This Row],[Unit Cost]]*Table2[[#This Row],[Quantity]]</f>
        <v>240.66</v>
      </c>
      <c r="L137" s="8">
        <f>Table2[[#This Row],[Gross Sales]]-Table2[[#This Row],[COGS]]</f>
        <v>29.999999999999972</v>
      </c>
      <c r="M137" s="9">
        <f t="shared" si="2"/>
        <v>0.11084016847705599</v>
      </c>
      <c r="N137" s="7">
        <v>13.532999999999999</v>
      </c>
      <c r="O137" s="7">
        <v>284.19299999999998</v>
      </c>
      <c r="P137" s="10">
        <v>43514</v>
      </c>
      <c r="Q137" s="10" t="str">
        <f>TEXT(Table2[[#This Row],[Date]],"mmm")</f>
        <v>Feb</v>
      </c>
      <c r="R137" s="11">
        <v>0.81874999999999998</v>
      </c>
      <c r="S137" s="6" t="s">
        <v>33</v>
      </c>
      <c r="T137" s="7">
        <v>6.2</v>
      </c>
      <c r="U137" s="6">
        <f>IF(_xlfn.XLOOKUP(A137,[1]Data2!$A:$A,[1]Data2!$B:$B,"no")="yes",1,0)</f>
        <v>0</v>
      </c>
    </row>
    <row r="138" spans="1:21" s="6" customFormat="1" x14ac:dyDescent="0.3">
      <c r="A138" s="6" t="s">
        <v>176</v>
      </c>
      <c r="B138" s="6" t="s">
        <v>22</v>
      </c>
      <c r="C138" s="6" t="s">
        <v>23</v>
      </c>
      <c r="D138" s="6" t="s">
        <v>31</v>
      </c>
      <c r="E138" s="6" t="s">
        <v>25</v>
      </c>
      <c r="F138" s="6" t="s">
        <v>32</v>
      </c>
      <c r="G138" s="7">
        <f>Table2[[#This Row],[Unit price]]-10</f>
        <v>16.309999999999999</v>
      </c>
      <c r="H138" s="7">
        <v>26.31</v>
      </c>
      <c r="I138" s="8">
        <v>5</v>
      </c>
      <c r="J138" s="8">
        <f>Table2[[#This Row],[Unit price]]*Table2[[#This Row],[Quantity]]</f>
        <v>131.54999999999998</v>
      </c>
      <c r="K138" s="8">
        <f>Table2[[#This Row],[Unit Cost]]*Table2[[#This Row],[Quantity]]</f>
        <v>81.55</v>
      </c>
      <c r="L138" s="8">
        <f>Table2[[#This Row],[Gross Sales]]-Table2[[#This Row],[COGS]]</f>
        <v>49.999999999999986</v>
      </c>
      <c r="M138" s="9">
        <f t="shared" si="2"/>
        <v>0.3800836183960471</v>
      </c>
      <c r="N138" s="7">
        <v>6.5774999999999997</v>
      </c>
      <c r="O138" s="7">
        <v>138.1275</v>
      </c>
      <c r="P138" s="10">
        <v>43483</v>
      </c>
      <c r="Q138" s="10" t="str">
        <f>TEXT(Table2[[#This Row],[Date]],"mmm")</f>
        <v>Jan</v>
      </c>
      <c r="R138" s="11">
        <v>0.87430555555555556</v>
      </c>
      <c r="S138" s="6" t="s">
        <v>37</v>
      </c>
      <c r="T138" s="7">
        <v>8.8000000000000007</v>
      </c>
      <c r="U138" s="6">
        <f>IF(_xlfn.XLOOKUP(A138,[1]Data2!$A:$A,[1]Data2!$B:$B,"no")="yes",1,0)</f>
        <v>1</v>
      </c>
    </row>
    <row r="139" spans="1:21" s="6" customFormat="1" x14ac:dyDescent="0.3">
      <c r="A139" s="6" t="s">
        <v>177</v>
      </c>
      <c r="B139" s="6" t="s">
        <v>22</v>
      </c>
      <c r="C139" s="6" t="s">
        <v>23</v>
      </c>
      <c r="D139" s="6" t="s">
        <v>24</v>
      </c>
      <c r="E139" s="6" t="s">
        <v>25</v>
      </c>
      <c r="F139" s="6" t="s">
        <v>36</v>
      </c>
      <c r="G139" s="7">
        <f>Table2[[#This Row],[Unit price]]-10</f>
        <v>24.42</v>
      </c>
      <c r="H139" s="7">
        <v>34.42</v>
      </c>
      <c r="I139" s="8">
        <v>6</v>
      </c>
      <c r="J139" s="8">
        <f>Table2[[#This Row],[Unit price]]*Table2[[#This Row],[Quantity]]</f>
        <v>206.52</v>
      </c>
      <c r="K139" s="8">
        <f>Table2[[#This Row],[Unit Cost]]*Table2[[#This Row],[Quantity]]</f>
        <v>146.52000000000001</v>
      </c>
      <c r="L139" s="8">
        <f>Table2[[#This Row],[Gross Sales]]-Table2[[#This Row],[COGS]]</f>
        <v>60</v>
      </c>
      <c r="M139" s="9">
        <f t="shared" si="2"/>
        <v>0.29052876234747238</v>
      </c>
      <c r="N139" s="7">
        <v>10.326000000000001</v>
      </c>
      <c r="O139" s="7">
        <v>216.846</v>
      </c>
      <c r="P139" s="10">
        <v>43514</v>
      </c>
      <c r="Q139" s="10" t="str">
        <f>TEXT(Table2[[#This Row],[Date]],"mmm")</f>
        <v>Feb</v>
      </c>
      <c r="R139" s="11">
        <v>0.65208333333333335</v>
      </c>
      <c r="S139" s="6" t="s">
        <v>33</v>
      </c>
      <c r="T139" s="7">
        <v>9.8000000000000007</v>
      </c>
      <c r="U139" s="6">
        <f>IF(_xlfn.XLOOKUP(A139,[1]Data2!$A:$A,[1]Data2!$B:$B,"no")="yes",1,0)</f>
        <v>0</v>
      </c>
    </row>
    <row r="140" spans="1:21" s="6" customFormat="1" x14ac:dyDescent="0.3">
      <c r="A140" s="6" t="s">
        <v>178</v>
      </c>
      <c r="B140" s="6" t="s">
        <v>46</v>
      </c>
      <c r="C140" s="6" t="s">
        <v>47</v>
      </c>
      <c r="D140" s="6" t="s">
        <v>31</v>
      </c>
      <c r="E140" s="6" t="s">
        <v>35</v>
      </c>
      <c r="F140" s="6" t="s">
        <v>40</v>
      </c>
      <c r="G140" s="7">
        <f>Table2[[#This Row],[Unit price]]-10</f>
        <v>41.91</v>
      </c>
      <c r="H140" s="7">
        <v>51.91</v>
      </c>
      <c r="I140" s="8">
        <v>10</v>
      </c>
      <c r="J140" s="8">
        <f>Table2[[#This Row],[Unit price]]*Table2[[#This Row],[Quantity]]</f>
        <v>519.09999999999991</v>
      </c>
      <c r="K140" s="8">
        <f>Table2[[#This Row],[Unit Cost]]*Table2[[#This Row],[Quantity]]</f>
        <v>419.09999999999997</v>
      </c>
      <c r="L140" s="8">
        <f>Table2[[#This Row],[Gross Sales]]-Table2[[#This Row],[COGS]]</f>
        <v>99.999999999999943</v>
      </c>
      <c r="M140" s="9">
        <f t="shared" si="2"/>
        <v>0.19264110961279129</v>
      </c>
      <c r="N140" s="7">
        <v>25.954999999999998</v>
      </c>
      <c r="O140" s="7">
        <v>545.05499999999995</v>
      </c>
      <c r="P140" s="10">
        <v>43512</v>
      </c>
      <c r="Q140" s="10" t="str">
        <f>TEXT(Table2[[#This Row],[Date]],"mmm")</f>
        <v>Feb</v>
      </c>
      <c r="R140" s="11">
        <v>0.51458333333333328</v>
      </c>
      <c r="S140" s="6" t="s">
        <v>33</v>
      </c>
      <c r="T140" s="7">
        <v>8.1999999999999993</v>
      </c>
      <c r="U140" s="6">
        <f>IF(_xlfn.XLOOKUP(A140,[1]Data2!$A:$A,[1]Data2!$B:$B,"no")="yes",1,0)</f>
        <v>0</v>
      </c>
    </row>
    <row r="141" spans="1:21" s="6" customFormat="1" x14ac:dyDescent="0.3">
      <c r="A141" s="6" t="s">
        <v>179</v>
      </c>
      <c r="B141" s="6" t="s">
        <v>22</v>
      </c>
      <c r="C141" s="6" t="s">
        <v>23</v>
      </c>
      <c r="D141" s="6" t="s">
        <v>31</v>
      </c>
      <c r="E141" s="6" t="s">
        <v>35</v>
      </c>
      <c r="F141" s="6" t="s">
        <v>40</v>
      </c>
      <c r="G141" s="7">
        <f>Table2[[#This Row],[Unit price]]-10</f>
        <v>62.5</v>
      </c>
      <c r="H141" s="7">
        <v>72.5</v>
      </c>
      <c r="I141" s="8">
        <v>8</v>
      </c>
      <c r="J141" s="8">
        <f>Table2[[#This Row],[Unit price]]*Table2[[#This Row],[Quantity]]</f>
        <v>580</v>
      </c>
      <c r="K141" s="8">
        <f>Table2[[#This Row],[Unit Cost]]*Table2[[#This Row],[Quantity]]</f>
        <v>500</v>
      </c>
      <c r="L141" s="8">
        <f>Table2[[#This Row],[Gross Sales]]-Table2[[#This Row],[COGS]]</f>
        <v>80</v>
      </c>
      <c r="M141" s="9">
        <f t="shared" si="2"/>
        <v>0.13793103448275862</v>
      </c>
      <c r="N141" s="7">
        <v>29</v>
      </c>
      <c r="O141" s="7">
        <v>609</v>
      </c>
      <c r="P141" s="10">
        <v>43540</v>
      </c>
      <c r="Q141" s="10" t="str">
        <f>TEXT(Table2[[#This Row],[Date]],"mmm")</f>
        <v>Mar</v>
      </c>
      <c r="R141" s="11">
        <v>0.80902777777777779</v>
      </c>
      <c r="S141" s="6" t="s">
        <v>27</v>
      </c>
      <c r="T141" s="7">
        <v>9.1999999999999993</v>
      </c>
      <c r="U141" s="6">
        <f>IF(_xlfn.XLOOKUP(A141,[1]Data2!$A:$A,[1]Data2!$B:$B,"no")="yes",1,0)</f>
        <v>0</v>
      </c>
    </row>
    <row r="142" spans="1:21" s="6" customFormat="1" x14ac:dyDescent="0.3">
      <c r="A142" s="6" t="s">
        <v>180</v>
      </c>
      <c r="B142" s="6" t="s">
        <v>29</v>
      </c>
      <c r="C142" s="6" t="s">
        <v>30</v>
      </c>
      <c r="D142" s="6" t="s">
        <v>24</v>
      </c>
      <c r="E142" s="6" t="s">
        <v>25</v>
      </c>
      <c r="F142" s="6" t="s">
        <v>40</v>
      </c>
      <c r="G142" s="7">
        <f>Table2[[#This Row],[Unit price]]-10</f>
        <v>79.8</v>
      </c>
      <c r="H142" s="7">
        <v>89.8</v>
      </c>
      <c r="I142" s="8">
        <v>10</v>
      </c>
      <c r="J142" s="8">
        <f>Table2[[#This Row],[Unit price]]*Table2[[#This Row],[Quantity]]</f>
        <v>898</v>
      </c>
      <c r="K142" s="8">
        <f>Table2[[#This Row],[Unit Cost]]*Table2[[#This Row],[Quantity]]</f>
        <v>798</v>
      </c>
      <c r="L142" s="8">
        <f>Table2[[#This Row],[Gross Sales]]-Table2[[#This Row],[COGS]]</f>
        <v>100</v>
      </c>
      <c r="M142" s="9">
        <f t="shared" si="2"/>
        <v>0.111358574610245</v>
      </c>
      <c r="N142" s="7">
        <v>44.9</v>
      </c>
      <c r="O142" s="7">
        <v>942.9</v>
      </c>
      <c r="P142" s="10">
        <v>43488</v>
      </c>
      <c r="Q142" s="10" t="str">
        <f>TEXT(Table2[[#This Row],[Date]],"mmm")</f>
        <v>Jan</v>
      </c>
      <c r="R142" s="11">
        <v>0.54166666666666663</v>
      </c>
      <c r="S142" s="6" t="s">
        <v>37</v>
      </c>
      <c r="T142" s="7">
        <v>5.4</v>
      </c>
      <c r="U142" s="6">
        <f>IF(_xlfn.XLOOKUP(A142,[1]Data2!$A:$A,[1]Data2!$B:$B,"no")="yes",1,0)</f>
        <v>1</v>
      </c>
    </row>
    <row r="143" spans="1:21" s="6" customFormat="1" x14ac:dyDescent="0.3">
      <c r="A143" s="6" t="s">
        <v>181</v>
      </c>
      <c r="B143" s="6" t="s">
        <v>29</v>
      </c>
      <c r="C143" s="6" t="s">
        <v>30</v>
      </c>
      <c r="D143" s="6" t="s">
        <v>24</v>
      </c>
      <c r="E143" s="6" t="s">
        <v>35</v>
      </c>
      <c r="F143" s="6" t="s">
        <v>26</v>
      </c>
      <c r="G143" s="7">
        <f>Table2[[#This Row],[Unit price]]-10</f>
        <v>80.5</v>
      </c>
      <c r="H143" s="7">
        <v>90.5</v>
      </c>
      <c r="I143" s="8">
        <v>10</v>
      </c>
      <c r="J143" s="8">
        <f>Table2[[#This Row],[Unit price]]*Table2[[#This Row],[Quantity]]</f>
        <v>905</v>
      </c>
      <c r="K143" s="8">
        <f>Table2[[#This Row],[Unit Cost]]*Table2[[#This Row],[Quantity]]</f>
        <v>805</v>
      </c>
      <c r="L143" s="8">
        <f>Table2[[#This Row],[Gross Sales]]-Table2[[#This Row],[COGS]]</f>
        <v>100</v>
      </c>
      <c r="M143" s="9">
        <f t="shared" si="2"/>
        <v>0.11049723756906077</v>
      </c>
      <c r="N143" s="7">
        <v>45.25</v>
      </c>
      <c r="O143" s="7">
        <v>950.25</v>
      </c>
      <c r="P143" s="10">
        <v>43490</v>
      </c>
      <c r="Q143" s="10" t="str">
        <f>TEXT(Table2[[#This Row],[Date]],"mmm")</f>
        <v>Jan</v>
      </c>
      <c r="R143" s="11">
        <v>0.57500000000000007</v>
      </c>
      <c r="S143" s="6" t="s">
        <v>33</v>
      </c>
      <c r="T143" s="7">
        <v>8.1</v>
      </c>
      <c r="U143" s="6">
        <f>IF(_xlfn.XLOOKUP(A143,[1]Data2!$A:$A,[1]Data2!$B:$B,"no")="yes",1,0)</f>
        <v>0</v>
      </c>
    </row>
    <row r="144" spans="1:21" s="6" customFormat="1" x14ac:dyDescent="0.3">
      <c r="A144" s="6" t="s">
        <v>182</v>
      </c>
      <c r="B144" s="6" t="s">
        <v>29</v>
      </c>
      <c r="C144" s="6" t="s">
        <v>30</v>
      </c>
      <c r="D144" s="6" t="s">
        <v>24</v>
      </c>
      <c r="E144" s="6" t="s">
        <v>25</v>
      </c>
      <c r="F144" s="6" t="s">
        <v>26</v>
      </c>
      <c r="G144" s="7">
        <f>Table2[[#This Row],[Unit price]]-10</f>
        <v>58.599999999999994</v>
      </c>
      <c r="H144" s="7">
        <v>68.599999999999994</v>
      </c>
      <c r="I144" s="8">
        <v>10</v>
      </c>
      <c r="J144" s="8">
        <f>Table2[[#This Row],[Unit price]]*Table2[[#This Row],[Quantity]]</f>
        <v>686</v>
      </c>
      <c r="K144" s="8">
        <f>Table2[[#This Row],[Unit Cost]]*Table2[[#This Row],[Quantity]]</f>
        <v>586</v>
      </c>
      <c r="L144" s="8">
        <f>Table2[[#This Row],[Gross Sales]]-Table2[[#This Row],[COGS]]</f>
        <v>100</v>
      </c>
      <c r="M144" s="9">
        <f t="shared" si="2"/>
        <v>0.1457725947521866</v>
      </c>
      <c r="N144" s="7">
        <v>34.299999999999997</v>
      </c>
      <c r="O144" s="7">
        <v>720.3</v>
      </c>
      <c r="P144" s="10">
        <v>43501</v>
      </c>
      <c r="Q144" s="10" t="str">
        <f>TEXT(Table2[[#This Row],[Date]],"mmm")</f>
        <v>Feb</v>
      </c>
      <c r="R144" s="11">
        <v>0.83124999999999993</v>
      </c>
      <c r="S144" s="6" t="s">
        <v>33</v>
      </c>
      <c r="T144" s="7">
        <v>9.1</v>
      </c>
      <c r="U144" s="6">
        <f>IF(_xlfn.XLOOKUP(A144,[1]Data2!$A:$A,[1]Data2!$B:$B,"no")="yes",1,0)</f>
        <v>0</v>
      </c>
    </row>
    <row r="145" spans="1:21" s="6" customFormat="1" x14ac:dyDescent="0.3">
      <c r="A145" s="6" t="s">
        <v>183</v>
      </c>
      <c r="B145" s="6" t="s">
        <v>29</v>
      </c>
      <c r="C145" s="6" t="s">
        <v>30</v>
      </c>
      <c r="D145" s="6" t="s">
        <v>24</v>
      </c>
      <c r="E145" s="6" t="s">
        <v>25</v>
      </c>
      <c r="F145" s="6" t="s">
        <v>48</v>
      </c>
      <c r="G145" s="7">
        <f>Table2[[#This Row],[Unit price]]-10</f>
        <v>20.41</v>
      </c>
      <c r="H145" s="7">
        <v>30.41</v>
      </c>
      <c r="I145" s="8">
        <v>1</v>
      </c>
      <c r="J145" s="8">
        <f>Table2[[#This Row],[Unit price]]*Table2[[#This Row],[Quantity]]</f>
        <v>30.41</v>
      </c>
      <c r="K145" s="8">
        <f>Table2[[#This Row],[Unit Cost]]*Table2[[#This Row],[Quantity]]</f>
        <v>20.41</v>
      </c>
      <c r="L145" s="8">
        <f>Table2[[#This Row],[Gross Sales]]-Table2[[#This Row],[COGS]]</f>
        <v>10</v>
      </c>
      <c r="M145" s="9">
        <f t="shared" si="2"/>
        <v>0.32883919763235775</v>
      </c>
      <c r="N145" s="7">
        <v>1.5205</v>
      </c>
      <c r="O145" s="7">
        <v>31.930499999999999</v>
      </c>
      <c r="P145" s="10">
        <v>43518</v>
      </c>
      <c r="Q145" s="10" t="str">
        <f>TEXT(Table2[[#This Row],[Date]],"mmm")</f>
        <v>Feb</v>
      </c>
      <c r="R145" s="11">
        <v>0.44166666666666665</v>
      </c>
      <c r="S145" s="6" t="s">
        <v>37</v>
      </c>
      <c r="T145" s="7">
        <v>8.4</v>
      </c>
      <c r="U145" s="6">
        <f>IF(_xlfn.XLOOKUP(A145,[1]Data2!$A:$A,[1]Data2!$B:$B,"no")="yes",1,0)</f>
        <v>0</v>
      </c>
    </row>
    <row r="146" spans="1:21" s="6" customFormat="1" x14ac:dyDescent="0.3">
      <c r="A146" s="6" t="s">
        <v>184</v>
      </c>
      <c r="B146" s="6" t="s">
        <v>22</v>
      </c>
      <c r="C146" s="6" t="s">
        <v>23</v>
      </c>
      <c r="D146" s="6" t="s">
        <v>31</v>
      </c>
      <c r="E146" s="6" t="s">
        <v>25</v>
      </c>
      <c r="F146" s="6" t="s">
        <v>36</v>
      </c>
      <c r="G146" s="7">
        <f>Table2[[#This Row],[Unit price]]-10</f>
        <v>67.95</v>
      </c>
      <c r="H146" s="7">
        <v>77.95</v>
      </c>
      <c r="I146" s="8">
        <v>6</v>
      </c>
      <c r="J146" s="8">
        <f>Table2[[#This Row],[Unit price]]*Table2[[#This Row],[Quantity]]</f>
        <v>467.70000000000005</v>
      </c>
      <c r="K146" s="8">
        <f>Table2[[#This Row],[Unit Cost]]*Table2[[#This Row],[Quantity]]</f>
        <v>407.70000000000005</v>
      </c>
      <c r="L146" s="8">
        <f>Table2[[#This Row],[Gross Sales]]-Table2[[#This Row],[COGS]]</f>
        <v>60</v>
      </c>
      <c r="M146" s="9">
        <f t="shared" si="2"/>
        <v>0.12828736369467605</v>
      </c>
      <c r="N146" s="7">
        <v>23.385000000000002</v>
      </c>
      <c r="O146" s="7">
        <v>491.08499999999998</v>
      </c>
      <c r="P146" s="10">
        <v>43486</v>
      </c>
      <c r="Q146" s="10" t="str">
        <f>TEXT(Table2[[#This Row],[Date]],"mmm")</f>
        <v>Jan</v>
      </c>
      <c r="R146" s="11">
        <v>0.69236111111111109</v>
      </c>
      <c r="S146" s="6" t="s">
        <v>27</v>
      </c>
      <c r="T146" s="7">
        <v>8</v>
      </c>
      <c r="U146" s="6">
        <f>IF(_xlfn.XLOOKUP(A146,[1]Data2!$A:$A,[1]Data2!$B:$B,"no")="yes",1,0)</f>
        <v>1</v>
      </c>
    </row>
    <row r="147" spans="1:21" s="6" customFormat="1" x14ac:dyDescent="0.3">
      <c r="A147" s="6" t="s">
        <v>185</v>
      </c>
      <c r="B147" s="6" t="s">
        <v>29</v>
      </c>
      <c r="C147" s="6" t="s">
        <v>30</v>
      </c>
      <c r="D147" s="6" t="s">
        <v>31</v>
      </c>
      <c r="E147" s="6" t="s">
        <v>25</v>
      </c>
      <c r="F147" s="6" t="s">
        <v>26</v>
      </c>
      <c r="G147" s="7">
        <f>Table2[[#This Row],[Unit price]]-10</f>
        <v>36.26</v>
      </c>
      <c r="H147" s="7">
        <v>46.26</v>
      </c>
      <c r="I147" s="8">
        <v>6</v>
      </c>
      <c r="J147" s="8">
        <f>Table2[[#This Row],[Unit price]]*Table2[[#This Row],[Quantity]]</f>
        <v>277.56</v>
      </c>
      <c r="K147" s="8">
        <f>Table2[[#This Row],[Unit Cost]]*Table2[[#This Row],[Quantity]]</f>
        <v>217.56</v>
      </c>
      <c r="L147" s="8">
        <f>Table2[[#This Row],[Gross Sales]]-Table2[[#This Row],[COGS]]</f>
        <v>60</v>
      </c>
      <c r="M147" s="9">
        <f t="shared" si="2"/>
        <v>0.21616947686986598</v>
      </c>
      <c r="N147" s="7">
        <v>13.878</v>
      </c>
      <c r="O147" s="7">
        <v>291.43799999999999</v>
      </c>
      <c r="P147" s="10">
        <v>43532</v>
      </c>
      <c r="Q147" s="10" t="str">
        <f>TEXT(Table2[[#This Row],[Date]],"mmm")</f>
        <v>Mar</v>
      </c>
      <c r="R147" s="11">
        <v>0.71597222222222223</v>
      </c>
      <c r="S147" s="6" t="s">
        <v>37</v>
      </c>
      <c r="T147" s="7">
        <v>9.5</v>
      </c>
      <c r="U147" s="6">
        <f>IF(_xlfn.XLOOKUP(A147,[1]Data2!$A:$A,[1]Data2!$B:$B,"no")="yes",1,0)</f>
        <v>0</v>
      </c>
    </row>
    <row r="148" spans="1:21" s="6" customFormat="1" x14ac:dyDescent="0.3">
      <c r="A148" s="6" t="s">
        <v>186</v>
      </c>
      <c r="B148" s="6" t="s">
        <v>22</v>
      </c>
      <c r="C148" s="6" t="s">
        <v>23</v>
      </c>
      <c r="D148" s="6" t="s">
        <v>24</v>
      </c>
      <c r="E148" s="6" t="s">
        <v>25</v>
      </c>
      <c r="F148" s="6" t="s">
        <v>50</v>
      </c>
      <c r="G148" s="7">
        <f>Table2[[#This Row],[Unit price]]-10</f>
        <v>20.14</v>
      </c>
      <c r="H148" s="7">
        <v>30.14</v>
      </c>
      <c r="I148" s="8">
        <v>10</v>
      </c>
      <c r="J148" s="8">
        <f>Table2[[#This Row],[Unit price]]*Table2[[#This Row],[Quantity]]</f>
        <v>301.39999999999998</v>
      </c>
      <c r="K148" s="8">
        <f>Table2[[#This Row],[Unit Cost]]*Table2[[#This Row],[Quantity]]</f>
        <v>201.4</v>
      </c>
      <c r="L148" s="8">
        <f>Table2[[#This Row],[Gross Sales]]-Table2[[#This Row],[COGS]]</f>
        <v>99.999999999999972</v>
      </c>
      <c r="M148" s="9">
        <f t="shared" si="2"/>
        <v>0.33178500331784999</v>
      </c>
      <c r="N148" s="7">
        <v>15.07</v>
      </c>
      <c r="O148" s="7">
        <v>316.47000000000003</v>
      </c>
      <c r="P148" s="10">
        <v>43506</v>
      </c>
      <c r="Q148" s="10" t="str">
        <f>TEXT(Table2[[#This Row],[Date]],"mmm")</f>
        <v>Feb</v>
      </c>
      <c r="R148" s="11">
        <v>0.51944444444444449</v>
      </c>
      <c r="S148" s="6" t="s">
        <v>27</v>
      </c>
      <c r="T148" s="7">
        <v>9.1999999999999993</v>
      </c>
      <c r="U148" s="6">
        <f>IF(_xlfn.XLOOKUP(A148,[1]Data2!$A:$A,[1]Data2!$B:$B,"no")="yes",1,0)</f>
        <v>0</v>
      </c>
    </row>
    <row r="149" spans="1:21" s="6" customFormat="1" x14ac:dyDescent="0.3">
      <c r="A149" s="6" t="s">
        <v>187</v>
      </c>
      <c r="B149" s="6" t="s">
        <v>29</v>
      </c>
      <c r="C149" s="6" t="s">
        <v>30</v>
      </c>
      <c r="D149" s="6" t="s">
        <v>31</v>
      </c>
      <c r="E149" s="6" t="s">
        <v>35</v>
      </c>
      <c r="F149" s="6" t="s">
        <v>26</v>
      </c>
      <c r="G149" s="7">
        <f>Table2[[#This Row],[Unit price]]-10</f>
        <v>56.14</v>
      </c>
      <c r="H149" s="7">
        <v>66.14</v>
      </c>
      <c r="I149" s="8">
        <v>4</v>
      </c>
      <c r="J149" s="8">
        <f>Table2[[#This Row],[Unit price]]*Table2[[#This Row],[Quantity]]</f>
        <v>264.56</v>
      </c>
      <c r="K149" s="8">
        <f>Table2[[#This Row],[Unit Cost]]*Table2[[#This Row],[Quantity]]</f>
        <v>224.56</v>
      </c>
      <c r="L149" s="8">
        <f>Table2[[#This Row],[Gross Sales]]-Table2[[#This Row],[COGS]]</f>
        <v>40</v>
      </c>
      <c r="M149" s="9">
        <f t="shared" si="2"/>
        <v>0.15119443604475355</v>
      </c>
      <c r="N149" s="7">
        <v>13.228</v>
      </c>
      <c r="O149" s="7">
        <v>277.78800000000001</v>
      </c>
      <c r="P149" s="10">
        <v>43543</v>
      </c>
      <c r="Q149" s="10" t="str">
        <f>TEXT(Table2[[#This Row],[Date]],"mmm")</f>
        <v>Mar</v>
      </c>
      <c r="R149" s="11">
        <v>0.53194444444444444</v>
      </c>
      <c r="S149" s="6" t="s">
        <v>37</v>
      </c>
      <c r="T149" s="7">
        <v>5.6</v>
      </c>
      <c r="U149" s="6">
        <f>IF(_xlfn.XLOOKUP(A149,[1]Data2!$A:$A,[1]Data2!$B:$B,"no")="yes",1,0)</f>
        <v>0</v>
      </c>
    </row>
    <row r="150" spans="1:21" s="6" customFormat="1" x14ac:dyDescent="0.3">
      <c r="A150" s="6" t="s">
        <v>188</v>
      </c>
      <c r="B150" s="6" t="s">
        <v>46</v>
      </c>
      <c r="C150" s="6" t="s">
        <v>47</v>
      </c>
      <c r="D150" s="6" t="s">
        <v>24</v>
      </c>
      <c r="E150" s="6" t="s">
        <v>35</v>
      </c>
      <c r="F150" s="6" t="s">
        <v>36</v>
      </c>
      <c r="G150" s="7">
        <f>Table2[[#This Row],[Unit price]]-10</f>
        <v>61.86</v>
      </c>
      <c r="H150" s="7">
        <v>71.86</v>
      </c>
      <c r="I150" s="8">
        <v>8</v>
      </c>
      <c r="J150" s="8">
        <f>Table2[[#This Row],[Unit price]]*Table2[[#This Row],[Quantity]]</f>
        <v>574.88</v>
      </c>
      <c r="K150" s="8">
        <f>Table2[[#This Row],[Unit Cost]]*Table2[[#This Row],[Quantity]]</f>
        <v>494.88</v>
      </c>
      <c r="L150" s="8">
        <f>Table2[[#This Row],[Gross Sales]]-Table2[[#This Row],[COGS]]</f>
        <v>80</v>
      </c>
      <c r="M150" s="9">
        <f t="shared" si="2"/>
        <v>0.13915947676036738</v>
      </c>
      <c r="N150" s="7">
        <v>28.744</v>
      </c>
      <c r="O150" s="7">
        <v>603.62400000000002</v>
      </c>
      <c r="P150" s="10">
        <v>43530</v>
      </c>
      <c r="Q150" s="10" t="str">
        <f>TEXT(Table2[[#This Row],[Date]],"mmm")</f>
        <v>Mar</v>
      </c>
      <c r="R150" s="11">
        <v>0.62986111111111109</v>
      </c>
      <c r="S150" s="6" t="s">
        <v>37</v>
      </c>
      <c r="T150" s="7">
        <v>6.2</v>
      </c>
      <c r="U150" s="6">
        <f>IF(_xlfn.XLOOKUP(A150,[1]Data2!$A:$A,[1]Data2!$B:$B,"no")="yes",1,0)</f>
        <v>1</v>
      </c>
    </row>
    <row r="151" spans="1:21" s="6" customFormat="1" x14ac:dyDescent="0.3">
      <c r="A151" s="6" t="s">
        <v>189</v>
      </c>
      <c r="B151" s="6" t="s">
        <v>22</v>
      </c>
      <c r="C151" s="6" t="s">
        <v>23</v>
      </c>
      <c r="D151" s="6" t="s">
        <v>31</v>
      </c>
      <c r="E151" s="6" t="s">
        <v>35</v>
      </c>
      <c r="F151" s="6" t="s">
        <v>26</v>
      </c>
      <c r="G151" s="7">
        <f>Table2[[#This Row],[Unit price]]-10</f>
        <v>22.46</v>
      </c>
      <c r="H151" s="7">
        <v>32.46</v>
      </c>
      <c r="I151" s="8">
        <v>8</v>
      </c>
      <c r="J151" s="8">
        <f>Table2[[#This Row],[Unit price]]*Table2[[#This Row],[Quantity]]</f>
        <v>259.68</v>
      </c>
      <c r="K151" s="8">
        <f>Table2[[#This Row],[Unit Cost]]*Table2[[#This Row],[Quantity]]</f>
        <v>179.68</v>
      </c>
      <c r="L151" s="8">
        <f>Table2[[#This Row],[Gross Sales]]-Table2[[#This Row],[COGS]]</f>
        <v>80</v>
      </c>
      <c r="M151" s="9">
        <f t="shared" si="2"/>
        <v>0.30807147258163892</v>
      </c>
      <c r="N151" s="7">
        <v>12.984</v>
      </c>
      <c r="O151" s="7">
        <v>272.66399999999999</v>
      </c>
      <c r="P151" s="10">
        <v>43551</v>
      </c>
      <c r="Q151" s="10" t="str">
        <f>TEXT(Table2[[#This Row],[Date]],"mmm")</f>
        <v>Mar</v>
      </c>
      <c r="R151" s="11">
        <v>0.57500000000000007</v>
      </c>
      <c r="S151" s="6" t="s">
        <v>37</v>
      </c>
      <c r="T151" s="7">
        <v>4.9000000000000004</v>
      </c>
      <c r="U151" s="6">
        <f>IF(_xlfn.XLOOKUP(A151,[1]Data2!$A:$A,[1]Data2!$B:$B,"no")="yes",1,0)</f>
        <v>0</v>
      </c>
    </row>
    <row r="152" spans="1:21" s="6" customFormat="1" x14ac:dyDescent="0.3">
      <c r="A152" s="6" t="s">
        <v>190</v>
      </c>
      <c r="B152" s="6" t="s">
        <v>46</v>
      </c>
      <c r="C152" s="6" t="s">
        <v>47</v>
      </c>
      <c r="D152" s="6" t="s">
        <v>24</v>
      </c>
      <c r="E152" s="6" t="s">
        <v>25</v>
      </c>
      <c r="F152" s="6" t="s">
        <v>50</v>
      </c>
      <c r="G152" s="7">
        <f>Table2[[#This Row],[Unit price]]-10</f>
        <v>81.540000000000006</v>
      </c>
      <c r="H152" s="7">
        <v>91.54</v>
      </c>
      <c r="I152" s="8">
        <v>4</v>
      </c>
      <c r="J152" s="8">
        <f>Table2[[#This Row],[Unit price]]*Table2[[#This Row],[Quantity]]</f>
        <v>366.16</v>
      </c>
      <c r="K152" s="8">
        <f>Table2[[#This Row],[Unit Cost]]*Table2[[#This Row],[Quantity]]</f>
        <v>326.16000000000003</v>
      </c>
      <c r="L152" s="8">
        <f>Table2[[#This Row],[Gross Sales]]-Table2[[#This Row],[COGS]]</f>
        <v>40</v>
      </c>
      <c r="M152" s="9">
        <f t="shared" si="2"/>
        <v>0.10924186148131963</v>
      </c>
      <c r="N152" s="7">
        <v>18.308</v>
      </c>
      <c r="O152" s="7">
        <v>384.46800000000002</v>
      </c>
      <c r="P152" s="10">
        <v>43547</v>
      </c>
      <c r="Q152" s="10" t="str">
        <f>TEXT(Table2[[#This Row],[Date]],"mmm")</f>
        <v>Mar</v>
      </c>
      <c r="R152" s="11">
        <v>0.80555555555555547</v>
      </c>
      <c r="S152" s="6" t="s">
        <v>37</v>
      </c>
      <c r="T152" s="7">
        <v>4.8</v>
      </c>
      <c r="U152" s="6">
        <f>IF(_xlfn.XLOOKUP(A152,[1]Data2!$A:$A,[1]Data2!$B:$B,"no")="yes",1,0)</f>
        <v>0</v>
      </c>
    </row>
    <row r="153" spans="1:21" s="6" customFormat="1" x14ac:dyDescent="0.3">
      <c r="A153" s="6" t="s">
        <v>191</v>
      </c>
      <c r="B153" s="6" t="s">
        <v>29</v>
      </c>
      <c r="C153" s="6" t="s">
        <v>30</v>
      </c>
      <c r="D153" s="6" t="s">
        <v>24</v>
      </c>
      <c r="E153" s="6" t="s">
        <v>35</v>
      </c>
      <c r="F153" s="6" t="s">
        <v>40</v>
      </c>
      <c r="G153" s="7">
        <f>Table2[[#This Row],[Unit price]]-10</f>
        <v>24.560000000000002</v>
      </c>
      <c r="H153" s="7">
        <v>34.56</v>
      </c>
      <c r="I153" s="8">
        <v>7</v>
      </c>
      <c r="J153" s="8">
        <f>Table2[[#This Row],[Unit price]]*Table2[[#This Row],[Quantity]]</f>
        <v>241.92000000000002</v>
      </c>
      <c r="K153" s="8">
        <f>Table2[[#This Row],[Unit Cost]]*Table2[[#This Row],[Quantity]]</f>
        <v>171.92000000000002</v>
      </c>
      <c r="L153" s="8">
        <f>Table2[[#This Row],[Gross Sales]]-Table2[[#This Row],[COGS]]</f>
        <v>70</v>
      </c>
      <c r="M153" s="9">
        <f t="shared" si="2"/>
        <v>0.28935185185185186</v>
      </c>
      <c r="N153" s="7">
        <v>12.096</v>
      </c>
      <c r="O153" s="7">
        <v>254.01599999999999</v>
      </c>
      <c r="P153" s="10">
        <v>43535</v>
      </c>
      <c r="Q153" s="10" t="str">
        <f>TEXT(Table2[[#This Row],[Date]],"mmm")</f>
        <v>Mar</v>
      </c>
      <c r="R153" s="11">
        <v>0.67152777777777783</v>
      </c>
      <c r="S153" s="6" t="s">
        <v>37</v>
      </c>
      <c r="T153" s="7">
        <v>7.3</v>
      </c>
      <c r="U153" s="6">
        <f>IF(_xlfn.XLOOKUP(A153,[1]Data2!$A:$A,[1]Data2!$B:$B,"no")="yes",1,0)</f>
        <v>0</v>
      </c>
    </row>
    <row r="154" spans="1:21" s="6" customFormat="1" x14ac:dyDescent="0.3">
      <c r="A154" s="6" t="s">
        <v>192</v>
      </c>
      <c r="B154" s="6" t="s">
        <v>22</v>
      </c>
      <c r="C154" s="6" t="s">
        <v>23</v>
      </c>
      <c r="D154" s="6" t="s">
        <v>31</v>
      </c>
      <c r="E154" s="6" t="s">
        <v>35</v>
      </c>
      <c r="F154" s="6" t="s">
        <v>50</v>
      </c>
      <c r="G154" s="7">
        <f>Table2[[#This Row],[Unit price]]-10</f>
        <v>73.239999999999995</v>
      </c>
      <c r="H154" s="7">
        <v>83.24</v>
      </c>
      <c r="I154" s="8">
        <v>9</v>
      </c>
      <c r="J154" s="8">
        <f>Table2[[#This Row],[Unit price]]*Table2[[#This Row],[Quantity]]</f>
        <v>749.16</v>
      </c>
      <c r="K154" s="8">
        <f>Table2[[#This Row],[Unit Cost]]*Table2[[#This Row],[Quantity]]</f>
        <v>659.16</v>
      </c>
      <c r="L154" s="8">
        <f>Table2[[#This Row],[Gross Sales]]-Table2[[#This Row],[COGS]]</f>
        <v>90</v>
      </c>
      <c r="M154" s="9">
        <f t="shared" si="2"/>
        <v>0.1201345506967804</v>
      </c>
      <c r="N154" s="7">
        <v>37.457999999999998</v>
      </c>
      <c r="O154" s="7">
        <v>786.61800000000005</v>
      </c>
      <c r="P154" s="10">
        <v>43494</v>
      </c>
      <c r="Q154" s="10" t="str">
        <f>TEXT(Table2[[#This Row],[Date]],"mmm")</f>
        <v>Jan</v>
      </c>
      <c r="R154" s="11">
        <v>0.49722222222222223</v>
      </c>
      <c r="S154" s="6" t="s">
        <v>37</v>
      </c>
      <c r="T154" s="7">
        <v>7.4</v>
      </c>
      <c r="U154" s="6">
        <f>IF(_xlfn.XLOOKUP(A154,[1]Data2!$A:$A,[1]Data2!$B:$B,"no")="yes",1,0)</f>
        <v>1</v>
      </c>
    </row>
    <row r="155" spans="1:21" s="6" customFormat="1" x14ac:dyDescent="0.3">
      <c r="A155" s="6" t="s">
        <v>193</v>
      </c>
      <c r="B155" s="6" t="s">
        <v>29</v>
      </c>
      <c r="C155" s="6" t="s">
        <v>30</v>
      </c>
      <c r="D155" s="6" t="s">
        <v>31</v>
      </c>
      <c r="E155" s="6" t="s">
        <v>25</v>
      </c>
      <c r="F155" s="6" t="s">
        <v>48</v>
      </c>
      <c r="G155" s="7">
        <f>Table2[[#This Row],[Unit price]]-10</f>
        <v>6.48</v>
      </c>
      <c r="H155" s="7">
        <v>16.48</v>
      </c>
      <c r="I155" s="8">
        <v>6</v>
      </c>
      <c r="J155" s="8">
        <f>Table2[[#This Row],[Unit price]]*Table2[[#This Row],[Quantity]]</f>
        <v>98.88</v>
      </c>
      <c r="K155" s="8">
        <f>Table2[[#This Row],[Unit Cost]]*Table2[[#This Row],[Quantity]]</f>
        <v>38.880000000000003</v>
      </c>
      <c r="L155" s="8">
        <f>Table2[[#This Row],[Gross Sales]]-Table2[[#This Row],[COGS]]</f>
        <v>59.999999999999993</v>
      </c>
      <c r="M155" s="9">
        <f t="shared" si="2"/>
        <v>0.60679611650485432</v>
      </c>
      <c r="N155" s="7">
        <v>4.944</v>
      </c>
      <c r="O155" s="7">
        <v>103.824</v>
      </c>
      <c r="P155" s="10">
        <v>43503</v>
      </c>
      <c r="Q155" s="10" t="str">
        <f>TEXT(Table2[[#This Row],[Date]],"mmm")</f>
        <v>Feb</v>
      </c>
      <c r="R155" s="11">
        <v>0.76597222222222217</v>
      </c>
      <c r="S155" s="6" t="s">
        <v>27</v>
      </c>
      <c r="T155" s="7">
        <v>9.9</v>
      </c>
      <c r="U155" s="6">
        <f>IF(_xlfn.XLOOKUP(A155,[1]Data2!$A:$A,[1]Data2!$B:$B,"no")="yes",1,0)</f>
        <v>0</v>
      </c>
    </row>
    <row r="156" spans="1:21" s="6" customFormat="1" x14ac:dyDescent="0.3">
      <c r="A156" s="6" t="s">
        <v>194</v>
      </c>
      <c r="B156" s="6" t="s">
        <v>29</v>
      </c>
      <c r="C156" s="6" t="s">
        <v>30</v>
      </c>
      <c r="D156" s="6" t="s">
        <v>31</v>
      </c>
      <c r="E156" s="6" t="s">
        <v>25</v>
      </c>
      <c r="F156" s="6" t="s">
        <v>40</v>
      </c>
      <c r="G156" s="7">
        <f>Table2[[#This Row],[Unit price]]-10</f>
        <v>70.97</v>
      </c>
      <c r="H156" s="7">
        <v>80.97</v>
      </c>
      <c r="I156" s="8">
        <v>8</v>
      </c>
      <c r="J156" s="8">
        <f>Table2[[#This Row],[Unit price]]*Table2[[#This Row],[Quantity]]</f>
        <v>647.76</v>
      </c>
      <c r="K156" s="8">
        <f>Table2[[#This Row],[Unit Cost]]*Table2[[#This Row],[Quantity]]</f>
        <v>567.76</v>
      </c>
      <c r="L156" s="8">
        <f>Table2[[#This Row],[Gross Sales]]-Table2[[#This Row],[COGS]]</f>
        <v>80</v>
      </c>
      <c r="M156" s="9">
        <f t="shared" si="2"/>
        <v>0.12350253180190195</v>
      </c>
      <c r="N156" s="7">
        <v>32.387999999999998</v>
      </c>
      <c r="O156" s="7">
        <v>680.14800000000002</v>
      </c>
      <c r="P156" s="10">
        <v>43493</v>
      </c>
      <c r="Q156" s="10" t="str">
        <f>TEXT(Table2[[#This Row],[Date]],"mmm")</f>
        <v>Jan</v>
      </c>
      <c r="R156" s="11">
        <v>0.54513888888888895</v>
      </c>
      <c r="S156" s="6" t="s">
        <v>33</v>
      </c>
      <c r="T156" s="7">
        <v>9.3000000000000007</v>
      </c>
      <c r="U156" s="6">
        <f>IF(_xlfn.XLOOKUP(A156,[1]Data2!$A:$A,[1]Data2!$B:$B,"no")="yes",1,0)</f>
        <v>0</v>
      </c>
    </row>
    <row r="157" spans="1:21" s="6" customFormat="1" x14ac:dyDescent="0.3">
      <c r="A157" s="6" t="s">
        <v>195</v>
      </c>
      <c r="B157" s="6" t="s">
        <v>22</v>
      </c>
      <c r="C157" s="6" t="s">
        <v>23</v>
      </c>
      <c r="D157" s="6" t="s">
        <v>24</v>
      </c>
      <c r="E157" s="6" t="s">
        <v>35</v>
      </c>
      <c r="F157" s="6" t="s">
        <v>48</v>
      </c>
      <c r="G157" s="7">
        <f>Table2[[#This Row],[Unit price]]-10</f>
        <v>82.29</v>
      </c>
      <c r="H157" s="7">
        <v>92.29</v>
      </c>
      <c r="I157" s="8">
        <v>5</v>
      </c>
      <c r="J157" s="8">
        <f>Table2[[#This Row],[Unit price]]*Table2[[#This Row],[Quantity]]</f>
        <v>461.45000000000005</v>
      </c>
      <c r="K157" s="8">
        <f>Table2[[#This Row],[Unit Cost]]*Table2[[#This Row],[Quantity]]</f>
        <v>411.45000000000005</v>
      </c>
      <c r="L157" s="8">
        <f>Table2[[#This Row],[Gross Sales]]-Table2[[#This Row],[COGS]]</f>
        <v>50</v>
      </c>
      <c r="M157" s="9">
        <f t="shared" si="2"/>
        <v>0.10835410120273051</v>
      </c>
      <c r="N157" s="7">
        <v>23.072500000000002</v>
      </c>
      <c r="O157" s="7">
        <v>484.52249999999998</v>
      </c>
      <c r="P157" s="10">
        <v>43516</v>
      </c>
      <c r="Q157" s="10" t="str">
        <f>TEXT(Table2[[#This Row],[Date]],"mmm")</f>
        <v>Feb</v>
      </c>
      <c r="R157" s="11">
        <v>0.66319444444444442</v>
      </c>
      <c r="S157" s="6" t="s">
        <v>37</v>
      </c>
      <c r="T157" s="7">
        <v>9</v>
      </c>
      <c r="U157" s="6">
        <f>IF(_xlfn.XLOOKUP(A157,[1]Data2!$A:$A,[1]Data2!$B:$B,"no")="yes",1,0)</f>
        <v>0</v>
      </c>
    </row>
    <row r="158" spans="1:21" s="6" customFormat="1" x14ac:dyDescent="0.3">
      <c r="A158" s="6" t="s">
        <v>196</v>
      </c>
      <c r="B158" s="6" t="s">
        <v>46</v>
      </c>
      <c r="C158" s="6" t="s">
        <v>47</v>
      </c>
      <c r="D158" s="6" t="s">
        <v>24</v>
      </c>
      <c r="E158" s="6" t="s">
        <v>35</v>
      </c>
      <c r="F158" s="6" t="s">
        <v>32</v>
      </c>
      <c r="G158" s="7">
        <f>Table2[[#This Row],[Unit price]]-10</f>
        <v>62.17</v>
      </c>
      <c r="H158" s="7">
        <v>72.17</v>
      </c>
      <c r="I158" s="8">
        <v>1</v>
      </c>
      <c r="J158" s="8">
        <f>Table2[[#This Row],[Unit price]]*Table2[[#This Row],[Quantity]]</f>
        <v>72.17</v>
      </c>
      <c r="K158" s="8">
        <f>Table2[[#This Row],[Unit Cost]]*Table2[[#This Row],[Quantity]]</f>
        <v>62.17</v>
      </c>
      <c r="L158" s="8">
        <f>Table2[[#This Row],[Gross Sales]]-Table2[[#This Row],[COGS]]</f>
        <v>10</v>
      </c>
      <c r="M158" s="9">
        <f t="shared" si="2"/>
        <v>0.13856172925038104</v>
      </c>
      <c r="N158" s="7">
        <v>3.6084999999999998</v>
      </c>
      <c r="O158" s="7">
        <v>75.778499999999994</v>
      </c>
      <c r="P158" s="10">
        <v>43469</v>
      </c>
      <c r="Q158" s="10" t="str">
        <f>TEXT(Table2[[#This Row],[Date]],"mmm")</f>
        <v>Jan</v>
      </c>
      <c r="R158" s="11">
        <v>0.81944444444444453</v>
      </c>
      <c r="S158" s="6" t="s">
        <v>33</v>
      </c>
      <c r="T158" s="7">
        <v>6.1</v>
      </c>
      <c r="U158" s="6">
        <f>IF(_xlfn.XLOOKUP(A158,[1]Data2!$A:$A,[1]Data2!$B:$B,"no")="yes",1,0)</f>
        <v>1</v>
      </c>
    </row>
    <row r="159" spans="1:21" s="6" customFormat="1" x14ac:dyDescent="0.3">
      <c r="A159" s="6" t="s">
        <v>197</v>
      </c>
      <c r="B159" s="6" t="s">
        <v>46</v>
      </c>
      <c r="C159" s="6" t="s">
        <v>47</v>
      </c>
      <c r="D159" s="6" t="s">
        <v>31</v>
      </c>
      <c r="E159" s="6" t="s">
        <v>35</v>
      </c>
      <c r="F159" s="6" t="s">
        <v>36</v>
      </c>
      <c r="G159" s="7">
        <f>Table2[[#This Row],[Unit price]]-10</f>
        <v>40.28</v>
      </c>
      <c r="H159" s="7">
        <v>50.28</v>
      </c>
      <c r="I159" s="8">
        <v>5</v>
      </c>
      <c r="J159" s="8">
        <f>Table2[[#This Row],[Unit price]]*Table2[[#This Row],[Quantity]]</f>
        <v>251.4</v>
      </c>
      <c r="K159" s="8">
        <f>Table2[[#This Row],[Unit Cost]]*Table2[[#This Row],[Quantity]]</f>
        <v>201.4</v>
      </c>
      <c r="L159" s="8">
        <f>Table2[[#This Row],[Gross Sales]]-Table2[[#This Row],[COGS]]</f>
        <v>50</v>
      </c>
      <c r="M159" s="9">
        <f t="shared" si="2"/>
        <v>0.19888623707239458</v>
      </c>
      <c r="N159" s="7">
        <v>12.57</v>
      </c>
      <c r="O159" s="7">
        <v>263.97000000000003</v>
      </c>
      <c r="P159" s="10">
        <v>43531</v>
      </c>
      <c r="Q159" s="10" t="str">
        <f>TEXT(Table2[[#This Row],[Date]],"mmm")</f>
        <v>Mar</v>
      </c>
      <c r="R159" s="11">
        <v>0.58194444444444449</v>
      </c>
      <c r="S159" s="6" t="s">
        <v>27</v>
      </c>
      <c r="T159" s="7">
        <v>9.6999999999999993</v>
      </c>
      <c r="U159" s="6">
        <f>IF(_xlfn.XLOOKUP(A159,[1]Data2!$A:$A,[1]Data2!$B:$B,"no")="yes",1,0)</f>
        <v>0</v>
      </c>
    </row>
    <row r="160" spans="1:21" s="6" customFormat="1" x14ac:dyDescent="0.3">
      <c r="A160" s="6" t="s">
        <v>198</v>
      </c>
      <c r="B160" s="6" t="s">
        <v>46</v>
      </c>
      <c r="C160" s="6" t="s">
        <v>47</v>
      </c>
      <c r="D160" s="6" t="s">
        <v>24</v>
      </c>
      <c r="E160" s="6" t="s">
        <v>35</v>
      </c>
      <c r="F160" s="6" t="s">
        <v>26</v>
      </c>
      <c r="G160" s="7">
        <f>Table2[[#This Row],[Unit price]]-10</f>
        <v>87.22</v>
      </c>
      <c r="H160" s="7">
        <v>97.22</v>
      </c>
      <c r="I160" s="8">
        <v>9</v>
      </c>
      <c r="J160" s="8">
        <f>Table2[[#This Row],[Unit price]]*Table2[[#This Row],[Quantity]]</f>
        <v>874.98</v>
      </c>
      <c r="K160" s="8">
        <f>Table2[[#This Row],[Unit Cost]]*Table2[[#This Row],[Quantity]]</f>
        <v>784.98</v>
      </c>
      <c r="L160" s="8">
        <f>Table2[[#This Row],[Gross Sales]]-Table2[[#This Row],[COGS]]</f>
        <v>90</v>
      </c>
      <c r="M160" s="9">
        <f t="shared" si="2"/>
        <v>0.10285949393128986</v>
      </c>
      <c r="N160" s="7">
        <v>43.749000000000002</v>
      </c>
      <c r="O160" s="7">
        <v>918.72900000000004</v>
      </c>
      <c r="P160" s="10">
        <v>43554</v>
      </c>
      <c r="Q160" s="10" t="str">
        <f>TEXT(Table2[[#This Row],[Date]],"mmm")</f>
        <v>Mar</v>
      </c>
      <c r="R160" s="11">
        <v>0.61319444444444449</v>
      </c>
      <c r="S160" s="6" t="s">
        <v>27</v>
      </c>
      <c r="T160" s="7">
        <v>6</v>
      </c>
      <c r="U160" s="6">
        <f>IF(_xlfn.XLOOKUP(A160,[1]Data2!$A:$A,[1]Data2!$B:$B,"no")="yes",1,0)</f>
        <v>0</v>
      </c>
    </row>
    <row r="161" spans="1:21" s="6" customFormat="1" x14ac:dyDescent="0.3">
      <c r="A161" s="6" t="s">
        <v>199</v>
      </c>
      <c r="B161" s="6" t="s">
        <v>46</v>
      </c>
      <c r="C161" s="6" t="s">
        <v>47</v>
      </c>
      <c r="D161" s="6" t="s">
        <v>31</v>
      </c>
      <c r="E161" s="6" t="s">
        <v>35</v>
      </c>
      <c r="F161" s="6" t="s">
        <v>40</v>
      </c>
      <c r="G161" s="7">
        <f>Table2[[#This Row],[Unit price]]-10</f>
        <v>83.39</v>
      </c>
      <c r="H161" s="7">
        <v>93.39</v>
      </c>
      <c r="I161" s="8">
        <v>6</v>
      </c>
      <c r="J161" s="8">
        <f>Table2[[#This Row],[Unit price]]*Table2[[#This Row],[Quantity]]</f>
        <v>560.34</v>
      </c>
      <c r="K161" s="8">
        <f>Table2[[#This Row],[Unit Cost]]*Table2[[#This Row],[Quantity]]</f>
        <v>500.34000000000003</v>
      </c>
      <c r="L161" s="8">
        <f>Table2[[#This Row],[Gross Sales]]-Table2[[#This Row],[COGS]]</f>
        <v>60</v>
      </c>
      <c r="M161" s="9">
        <f t="shared" si="2"/>
        <v>0.10707784559374665</v>
      </c>
      <c r="N161" s="7">
        <v>28.016999999999999</v>
      </c>
      <c r="O161" s="7">
        <v>588.35699999999997</v>
      </c>
      <c r="P161" s="10">
        <v>43551</v>
      </c>
      <c r="Q161" s="10" t="str">
        <f>TEXT(Table2[[#This Row],[Date]],"mmm")</f>
        <v>Mar</v>
      </c>
      <c r="R161" s="11">
        <v>0.8041666666666667</v>
      </c>
      <c r="S161" s="6" t="s">
        <v>27</v>
      </c>
      <c r="T161" s="7">
        <v>10</v>
      </c>
      <c r="U161" s="6">
        <f>IF(_xlfn.XLOOKUP(A161,[1]Data2!$A:$A,[1]Data2!$B:$B,"no")="yes",1,0)</f>
        <v>0</v>
      </c>
    </row>
    <row r="162" spans="1:21" s="6" customFormat="1" x14ac:dyDescent="0.3">
      <c r="A162" s="6" t="s">
        <v>200</v>
      </c>
      <c r="B162" s="6" t="s">
        <v>29</v>
      </c>
      <c r="C162" s="6" t="s">
        <v>30</v>
      </c>
      <c r="D162" s="6" t="s">
        <v>31</v>
      </c>
      <c r="E162" s="6" t="s">
        <v>25</v>
      </c>
      <c r="F162" s="6" t="s">
        <v>48</v>
      </c>
      <c r="G162" s="7">
        <f>Table2[[#This Row],[Unit price]]-10</f>
        <v>33.18</v>
      </c>
      <c r="H162" s="7">
        <v>43.18</v>
      </c>
      <c r="I162" s="8">
        <v>8</v>
      </c>
      <c r="J162" s="8">
        <f>Table2[[#This Row],[Unit price]]*Table2[[#This Row],[Quantity]]</f>
        <v>345.44</v>
      </c>
      <c r="K162" s="8">
        <f>Table2[[#This Row],[Unit Cost]]*Table2[[#This Row],[Quantity]]</f>
        <v>265.44</v>
      </c>
      <c r="L162" s="8">
        <f>Table2[[#This Row],[Gross Sales]]-Table2[[#This Row],[COGS]]</f>
        <v>80</v>
      </c>
      <c r="M162" s="9">
        <f t="shared" si="2"/>
        <v>0.23158869847151459</v>
      </c>
      <c r="N162" s="7">
        <v>17.271999999999998</v>
      </c>
      <c r="O162" s="7">
        <v>362.71199999999999</v>
      </c>
      <c r="P162" s="10">
        <v>43484</v>
      </c>
      <c r="Q162" s="10" t="str">
        <f>TEXT(Table2[[#This Row],[Date]],"mmm")</f>
        <v>Jan</v>
      </c>
      <c r="R162" s="11">
        <v>0.81874999999999998</v>
      </c>
      <c r="S162" s="6" t="s">
        <v>37</v>
      </c>
      <c r="T162" s="7">
        <v>8.3000000000000007</v>
      </c>
      <c r="U162" s="6">
        <f>IF(_xlfn.XLOOKUP(A162,[1]Data2!$A:$A,[1]Data2!$B:$B,"no")="yes",1,0)</f>
        <v>1</v>
      </c>
    </row>
    <row r="163" spans="1:21" s="6" customFormat="1" x14ac:dyDescent="0.3">
      <c r="A163" s="6" t="s">
        <v>201</v>
      </c>
      <c r="B163" s="6" t="s">
        <v>22</v>
      </c>
      <c r="C163" s="6" t="s">
        <v>23</v>
      </c>
      <c r="D163" s="6" t="s">
        <v>31</v>
      </c>
      <c r="E163" s="6" t="s">
        <v>35</v>
      </c>
      <c r="F163" s="6" t="s">
        <v>40</v>
      </c>
      <c r="G163" s="7">
        <f>Table2[[#This Row],[Unit price]]-10</f>
        <v>53.69</v>
      </c>
      <c r="H163" s="7">
        <v>63.69</v>
      </c>
      <c r="I163" s="8">
        <v>1</v>
      </c>
      <c r="J163" s="8">
        <f>Table2[[#This Row],[Unit price]]*Table2[[#This Row],[Quantity]]</f>
        <v>63.69</v>
      </c>
      <c r="K163" s="8">
        <f>Table2[[#This Row],[Unit Cost]]*Table2[[#This Row],[Quantity]]</f>
        <v>53.69</v>
      </c>
      <c r="L163" s="8">
        <f>Table2[[#This Row],[Gross Sales]]-Table2[[#This Row],[COGS]]</f>
        <v>10</v>
      </c>
      <c r="M163" s="9">
        <f t="shared" si="2"/>
        <v>0.15701051970482022</v>
      </c>
      <c r="N163" s="7">
        <v>3.1844999999999999</v>
      </c>
      <c r="O163" s="7">
        <v>66.874499999999998</v>
      </c>
      <c r="P163" s="10">
        <v>43521</v>
      </c>
      <c r="Q163" s="10" t="str">
        <f>TEXT(Table2[[#This Row],[Date]],"mmm")</f>
        <v>Feb</v>
      </c>
      <c r="R163" s="11">
        <v>0.68125000000000002</v>
      </c>
      <c r="S163" s="6" t="s">
        <v>33</v>
      </c>
      <c r="T163" s="7">
        <v>6</v>
      </c>
      <c r="U163" s="6">
        <f>IF(_xlfn.XLOOKUP(A163,[1]Data2!$A:$A,[1]Data2!$B:$B,"no")="yes",1,0)</f>
        <v>0</v>
      </c>
    </row>
    <row r="164" spans="1:21" s="6" customFormat="1" x14ac:dyDescent="0.3">
      <c r="A164" s="6" t="s">
        <v>202</v>
      </c>
      <c r="B164" s="6" t="s">
        <v>22</v>
      </c>
      <c r="C164" s="6" t="s">
        <v>23</v>
      </c>
      <c r="D164" s="6" t="s">
        <v>31</v>
      </c>
      <c r="E164" s="6" t="s">
        <v>35</v>
      </c>
      <c r="F164" s="6" t="s">
        <v>48</v>
      </c>
      <c r="G164" s="7">
        <f>Table2[[#This Row],[Unit price]]-10</f>
        <v>35.79</v>
      </c>
      <c r="H164" s="7">
        <v>45.79</v>
      </c>
      <c r="I164" s="8">
        <v>7</v>
      </c>
      <c r="J164" s="8">
        <f>Table2[[#This Row],[Unit price]]*Table2[[#This Row],[Quantity]]</f>
        <v>320.52999999999997</v>
      </c>
      <c r="K164" s="8">
        <f>Table2[[#This Row],[Unit Cost]]*Table2[[#This Row],[Quantity]]</f>
        <v>250.53</v>
      </c>
      <c r="L164" s="8">
        <f>Table2[[#This Row],[Gross Sales]]-Table2[[#This Row],[COGS]]</f>
        <v>69.999999999999972</v>
      </c>
      <c r="M164" s="9">
        <f t="shared" si="2"/>
        <v>0.21838829438742077</v>
      </c>
      <c r="N164" s="7">
        <v>16.026499999999999</v>
      </c>
      <c r="O164" s="7">
        <v>336.55650000000003</v>
      </c>
      <c r="P164" s="10">
        <v>43537</v>
      </c>
      <c r="Q164" s="10" t="str">
        <f>TEXT(Table2[[#This Row],[Date]],"mmm")</f>
        <v>Mar</v>
      </c>
      <c r="R164" s="11">
        <v>0.8222222222222223</v>
      </c>
      <c r="S164" s="6" t="s">
        <v>37</v>
      </c>
      <c r="T164" s="7">
        <v>7</v>
      </c>
      <c r="U164" s="6">
        <f>IF(_xlfn.XLOOKUP(A164,[1]Data2!$A:$A,[1]Data2!$B:$B,"no")="yes",1,0)</f>
        <v>0</v>
      </c>
    </row>
    <row r="165" spans="1:21" s="6" customFormat="1" x14ac:dyDescent="0.3">
      <c r="A165" s="6" t="s">
        <v>203</v>
      </c>
      <c r="B165" s="6" t="s">
        <v>29</v>
      </c>
      <c r="C165" s="6" t="s">
        <v>30</v>
      </c>
      <c r="D165" s="6" t="s">
        <v>31</v>
      </c>
      <c r="E165" s="6" t="s">
        <v>35</v>
      </c>
      <c r="F165" s="6" t="s">
        <v>40</v>
      </c>
      <c r="G165" s="7">
        <f>Table2[[#This Row],[Unit price]]-10</f>
        <v>66.400000000000006</v>
      </c>
      <c r="H165" s="7">
        <v>76.400000000000006</v>
      </c>
      <c r="I165" s="8">
        <v>2</v>
      </c>
      <c r="J165" s="8">
        <f>Table2[[#This Row],[Unit price]]*Table2[[#This Row],[Quantity]]</f>
        <v>152.80000000000001</v>
      </c>
      <c r="K165" s="8">
        <f>Table2[[#This Row],[Unit Cost]]*Table2[[#This Row],[Quantity]]</f>
        <v>132.80000000000001</v>
      </c>
      <c r="L165" s="8">
        <f>Table2[[#This Row],[Gross Sales]]-Table2[[#This Row],[COGS]]</f>
        <v>20</v>
      </c>
      <c r="M165" s="9">
        <f t="shared" si="2"/>
        <v>0.13089005235602094</v>
      </c>
      <c r="N165" s="7">
        <v>7.64</v>
      </c>
      <c r="O165" s="7">
        <v>160.44</v>
      </c>
      <c r="P165" s="10">
        <v>43495</v>
      </c>
      <c r="Q165" s="10" t="str">
        <f>TEXT(Table2[[#This Row],[Date]],"mmm")</f>
        <v>Jan</v>
      </c>
      <c r="R165" s="11">
        <v>0.8208333333333333</v>
      </c>
      <c r="S165" s="6" t="s">
        <v>27</v>
      </c>
      <c r="T165" s="7">
        <v>6.5</v>
      </c>
      <c r="U165" s="6">
        <f>IF(_xlfn.XLOOKUP(A165,[1]Data2!$A:$A,[1]Data2!$B:$B,"no")="yes",1,0)</f>
        <v>0</v>
      </c>
    </row>
    <row r="166" spans="1:21" s="6" customFormat="1" x14ac:dyDescent="0.3">
      <c r="A166" s="6" t="s">
        <v>204</v>
      </c>
      <c r="B166" s="6" t="s">
        <v>46</v>
      </c>
      <c r="C166" s="6" t="s">
        <v>47</v>
      </c>
      <c r="D166" s="6" t="s">
        <v>31</v>
      </c>
      <c r="E166" s="6" t="s">
        <v>35</v>
      </c>
      <c r="F166" s="6" t="s">
        <v>48</v>
      </c>
      <c r="G166" s="7">
        <f>Table2[[#This Row],[Unit price]]-10</f>
        <v>29.9</v>
      </c>
      <c r="H166" s="7">
        <v>39.9</v>
      </c>
      <c r="I166" s="8">
        <v>10</v>
      </c>
      <c r="J166" s="8">
        <f>Table2[[#This Row],[Unit price]]*Table2[[#This Row],[Quantity]]</f>
        <v>399</v>
      </c>
      <c r="K166" s="8">
        <f>Table2[[#This Row],[Unit Cost]]*Table2[[#This Row],[Quantity]]</f>
        <v>299</v>
      </c>
      <c r="L166" s="8">
        <f>Table2[[#This Row],[Gross Sales]]-Table2[[#This Row],[COGS]]</f>
        <v>100</v>
      </c>
      <c r="M166" s="9">
        <f t="shared" si="2"/>
        <v>0.25062656641604009</v>
      </c>
      <c r="N166" s="7">
        <v>19.95</v>
      </c>
      <c r="O166" s="7">
        <v>418.95</v>
      </c>
      <c r="P166" s="10">
        <v>43516</v>
      </c>
      <c r="Q166" s="10" t="str">
        <f>TEXT(Table2[[#This Row],[Date]],"mmm")</f>
        <v>Feb</v>
      </c>
      <c r="R166" s="11">
        <v>0.64166666666666672</v>
      </c>
      <c r="S166" s="6" t="s">
        <v>37</v>
      </c>
      <c r="T166" s="7">
        <v>5.9</v>
      </c>
      <c r="U166" s="6">
        <f>IF(_xlfn.XLOOKUP(A166,[1]Data2!$A:$A,[1]Data2!$B:$B,"no")="yes",1,0)</f>
        <v>1</v>
      </c>
    </row>
    <row r="167" spans="1:21" s="6" customFormat="1" x14ac:dyDescent="0.3">
      <c r="A167" s="6" t="s">
        <v>205</v>
      </c>
      <c r="B167" s="6" t="s">
        <v>46</v>
      </c>
      <c r="C167" s="6" t="s">
        <v>47</v>
      </c>
      <c r="D167" s="6" t="s">
        <v>24</v>
      </c>
      <c r="E167" s="6" t="s">
        <v>35</v>
      </c>
      <c r="F167" s="6" t="s">
        <v>26</v>
      </c>
      <c r="G167" s="7">
        <f>Table2[[#This Row],[Unit price]]-10</f>
        <v>32.57</v>
      </c>
      <c r="H167" s="7">
        <v>42.57</v>
      </c>
      <c r="I167" s="8">
        <v>8</v>
      </c>
      <c r="J167" s="8">
        <f>Table2[[#This Row],[Unit price]]*Table2[[#This Row],[Quantity]]</f>
        <v>340.56</v>
      </c>
      <c r="K167" s="8">
        <f>Table2[[#This Row],[Unit Cost]]*Table2[[#This Row],[Quantity]]</f>
        <v>260.56</v>
      </c>
      <c r="L167" s="8">
        <f>Table2[[#This Row],[Gross Sales]]-Table2[[#This Row],[COGS]]</f>
        <v>80</v>
      </c>
      <c r="M167" s="9">
        <f t="shared" si="2"/>
        <v>0.23490721165139769</v>
      </c>
      <c r="N167" s="7">
        <v>17.027999999999999</v>
      </c>
      <c r="O167" s="7">
        <v>357.58800000000002</v>
      </c>
      <c r="P167" s="10">
        <v>43521</v>
      </c>
      <c r="Q167" s="10" t="str">
        <f>TEXT(Table2[[#This Row],[Date]],"mmm")</f>
        <v>Feb</v>
      </c>
      <c r="R167" s="11">
        <v>0.59166666666666667</v>
      </c>
      <c r="S167" s="6" t="s">
        <v>27</v>
      </c>
      <c r="T167" s="7">
        <v>5.6</v>
      </c>
      <c r="U167" s="6">
        <f>IF(_xlfn.XLOOKUP(A167,[1]Data2!$A:$A,[1]Data2!$B:$B,"no")="yes",1,0)</f>
        <v>0</v>
      </c>
    </row>
    <row r="168" spans="1:21" s="6" customFormat="1" x14ac:dyDescent="0.3">
      <c r="A168" s="6" t="s">
        <v>206</v>
      </c>
      <c r="B168" s="6" t="s">
        <v>29</v>
      </c>
      <c r="C168" s="6" t="s">
        <v>30</v>
      </c>
      <c r="D168" s="6" t="s">
        <v>31</v>
      </c>
      <c r="E168" s="6" t="s">
        <v>35</v>
      </c>
      <c r="F168" s="6" t="s">
        <v>36</v>
      </c>
      <c r="G168" s="7">
        <f>Table2[[#This Row],[Unit price]]-10</f>
        <v>85.58</v>
      </c>
      <c r="H168" s="7">
        <v>95.58</v>
      </c>
      <c r="I168" s="8">
        <v>10</v>
      </c>
      <c r="J168" s="8">
        <f>Table2[[#This Row],[Unit price]]*Table2[[#This Row],[Quantity]]</f>
        <v>955.8</v>
      </c>
      <c r="K168" s="8">
        <f>Table2[[#This Row],[Unit Cost]]*Table2[[#This Row],[Quantity]]</f>
        <v>855.8</v>
      </c>
      <c r="L168" s="8">
        <f>Table2[[#This Row],[Gross Sales]]-Table2[[#This Row],[COGS]]</f>
        <v>100</v>
      </c>
      <c r="M168" s="9">
        <f t="shared" si="2"/>
        <v>0.10462439840970915</v>
      </c>
      <c r="N168" s="7">
        <v>47.79</v>
      </c>
      <c r="O168" s="7">
        <v>1003.59</v>
      </c>
      <c r="P168" s="10">
        <v>43481</v>
      </c>
      <c r="Q168" s="10" t="str">
        <f>TEXT(Table2[[#This Row],[Date]],"mmm")</f>
        <v>Jan</v>
      </c>
      <c r="R168" s="11">
        <v>0.56388888888888888</v>
      </c>
      <c r="S168" s="6" t="s">
        <v>33</v>
      </c>
      <c r="T168" s="7">
        <v>4.8</v>
      </c>
      <c r="U168" s="6">
        <f>IF(_xlfn.XLOOKUP(A168,[1]Data2!$A:$A,[1]Data2!$B:$B,"no")="yes",1,0)</f>
        <v>0</v>
      </c>
    </row>
    <row r="169" spans="1:21" s="6" customFormat="1" x14ac:dyDescent="0.3">
      <c r="A169" s="6" t="s">
        <v>207</v>
      </c>
      <c r="B169" s="6" t="s">
        <v>22</v>
      </c>
      <c r="C169" s="6" t="s">
        <v>23</v>
      </c>
      <c r="D169" s="6" t="s">
        <v>31</v>
      </c>
      <c r="E169" s="6" t="s">
        <v>35</v>
      </c>
      <c r="F169" s="6" t="s">
        <v>50</v>
      </c>
      <c r="G169" s="7">
        <f>Table2[[#This Row],[Unit price]]-10</f>
        <v>88.98</v>
      </c>
      <c r="H169" s="7">
        <v>98.98</v>
      </c>
      <c r="I169" s="8">
        <v>10</v>
      </c>
      <c r="J169" s="8">
        <f>Table2[[#This Row],[Unit price]]*Table2[[#This Row],[Quantity]]</f>
        <v>989.80000000000007</v>
      </c>
      <c r="K169" s="8">
        <f>Table2[[#This Row],[Unit Cost]]*Table2[[#This Row],[Quantity]]</f>
        <v>889.80000000000007</v>
      </c>
      <c r="L169" s="8">
        <f>Table2[[#This Row],[Gross Sales]]-Table2[[#This Row],[COGS]]</f>
        <v>100</v>
      </c>
      <c r="M169" s="9">
        <f t="shared" si="2"/>
        <v>0.10103051121438673</v>
      </c>
      <c r="N169" s="7">
        <v>49.49</v>
      </c>
      <c r="O169" s="7">
        <v>1039.29</v>
      </c>
      <c r="P169" s="10">
        <v>43504</v>
      </c>
      <c r="Q169" s="10" t="str">
        <f>TEXT(Table2[[#This Row],[Date]],"mmm")</f>
        <v>Feb</v>
      </c>
      <c r="R169" s="11">
        <v>0.68055555555555547</v>
      </c>
      <c r="S169" s="6" t="s">
        <v>37</v>
      </c>
      <c r="T169" s="7">
        <v>8.6999999999999993</v>
      </c>
      <c r="U169" s="6">
        <f>IF(_xlfn.XLOOKUP(A169,[1]Data2!$A:$A,[1]Data2!$B:$B,"no")="yes",1,0)</f>
        <v>0</v>
      </c>
    </row>
    <row r="170" spans="1:21" s="6" customFormat="1" x14ac:dyDescent="0.3">
      <c r="A170" s="6" t="s">
        <v>208</v>
      </c>
      <c r="B170" s="6" t="s">
        <v>22</v>
      </c>
      <c r="C170" s="6" t="s">
        <v>23</v>
      </c>
      <c r="D170" s="6" t="s">
        <v>31</v>
      </c>
      <c r="E170" s="6" t="s">
        <v>35</v>
      </c>
      <c r="F170" s="6" t="s">
        <v>48</v>
      </c>
      <c r="G170" s="7">
        <f>Table2[[#This Row],[Unit price]]-10</f>
        <v>41.28</v>
      </c>
      <c r="H170" s="7">
        <v>51.28</v>
      </c>
      <c r="I170" s="8">
        <v>6</v>
      </c>
      <c r="J170" s="8">
        <f>Table2[[#This Row],[Unit price]]*Table2[[#This Row],[Quantity]]</f>
        <v>307.68</v>
      </c>
      <c r="K170" s="8">
        <f>Table2[[#This Row],[Unit Cost]]*Table2[[#This Row],[Quantity]]</f>
        <v>247.68</v>
      </c>
      <c r="L170" s="8">
        <f>Table2[[#This Row],[Gross Sales]]-Table2[[#This Row],[COGS]]</f>
        <v>60</v>
      </c>
      <c r="M170" s="9">
        <f t="shared" si="2"/>
        <v>0.19500780031201248</v>
      </c>
      <c r="N170" s="7">
        <v>15.384</v>
      </c>
      <c r="O170" s="7">
        <v>323.06400000000002</v>
      </c>
      <c r="P170" s="10">
        <v>43484</v>
      </c>
      <c r="Q170" s="10" t="str">
        <f>TEXT(Table2[[#This Row],[Date]],"mmm")</f>
        <v>Jan</v>
      </c>
      <c r="R170" s="11">
        <v>0.68819444444444444</v>
      </c>
      <c r="S170" s="6" t="s">
        <v>33</v>
      </c>
      <c r="T170" s="7">
        <v>6.5</v>
      </c>
      <c r="U170" s="6">
        <f>IF(_xlfn.XLOOKUP(A170,[1]Data2!$A:$A,[1]Data2!$B:$B,"no")="yes",1,0)</f>
        <v>1</v>
      </c>
    </row>
    <row r="171" spans="1:21" s="6" customFormat="1" x14ac:dyDescent="0.3">
      <c r="A171" s="6" t="s">
        <v>209</v>
      </c>
      <c r="B171" s="6" t="s">
        <v>22</v>
      </c>
      <c r="C171" s="6" t="s">
        <v>23</v>
      </c>
      <c r="D171" s="6" t="s">
        <v>24</v>
      </c>
      <c r="E171" s="6" t="s">
        <v>35</v>
      </c>
      <c r="F171" s="6" t="s">
        <v>40</v>
      </c>
      <c r="G171" s="7">
        <f>Table2[[#This Row],[Unit price]]-10</f>
        <v>59.519999999999996</v>
      </c>
      <c r="H171" s="7">
        <v>69.52</v>
      </c>
      <c r="I171" s="8">
        <v>7</v>
      </c>
      <c r="J171" s="8">
        <f>Table2[[#This Row],[Unit price]]*Table2[[#This Row],[Quantity]]</f>
        <v>486.64</v>
      </c>
      <c r="K171" s="8">
        <f>Table2[[#This Row],[Unit Cost]]*Table2[[#This Row],[Quantity]]</f>
        <v>416.64</v>
      </c>
      <c r="L171" s="8">
        <f>Table2[[#This Row],[Gross Sales]]-Table2[[#This Row],[COGS]]</f>
        <v>70</v>
      </c>
      <c r="M171" s="9">
        <f t="shared" si="2"/>
        <v>0.14384349827387802</v>
      </c>
      <c r="N171" s="7">
        <v>24.332000000000001</v>
      </c>
      <c r="O171" s="7">
        <v>510.97199999999998</v>
      </c>
      <c r="P171" s="10">
        <v>43497</v>
      </c>
      <c r="Q171" s="10" t="str">
        <f>TEXT(Table2[[#This Row],[Date]],"mmm")</f>
        <v>Feb</v>
      </c>
      <c r="R171" s="11">
        <v>0.63194444444444442</v>
      </c>
      <c r="S171" s="6" t="s">
        <v>37</v>
      </c>
      <c r="T171" s="7">
        <v>8.5</v>
      </c>
      <c r="U171" s="6">
        <f>IF(_xlfn.XLOOKUP(A171,[1]Data2!$A:$A,[1]Data2!$B:$B,"no")="yes",1,0)</f>
        <v>0</v>
      </c>
    </row>
    <row r="172" spans="1:21" s="6" customFormat="1" x14ac:dyDescent="0.3">
      <c r="A172" s="6" t="s">
        <v>210</v>
      </c>
      <c r="B172" s="6" t="s">
        <v>22</v>
      </c>
      <c r="C172" s="6" t="s">
        <v>23</v>
      </c>
      <c r="D172" s="6" t="s">
        <v>31</v>
      </c>
      <c r="E172" s="6" t="s">
        <v>35</v>
      </c>
      <c r="F172" s="6" t="s">
        <v>26</v>
      </c>
      <c r="G172" s="7">
        <f>Table2[[#This Row],[Unit price]]-10</f>
        <v>60.010000000000005</v>
      </c>
      <c r="H172" s="7">
        <v>70.010000000000005</v>
      </c>
      <c r="I172" s="8">
        <v>5</v>
      </c>
      <c r="J172" s="8">
        <f>Table2[[#This Row],[Unit price]]*Table2[[#This Row],[Quantity]]</f>
        <v>350.05</v>
      </c>
      <c r="K172" s="8">
        <f>Table2[[#This Row],[Unit Cost]]*Table2[[#This Row],[Quantity]]</f>
        <v>300.05</v>
      </c>
      <c r="L172" s="8">
        <f>Table2[[#This Row],[Gross Sales]]-Table2[[#This Row],[COGS]]</f>
        <v>50</v>
      </c>
      <c r="M172" s="9">
        <f t="shared" si="2"/>
        <v>0.14283673760891299</v>
      </c>
      <c r="N172" s="7">
        <v>17.502500000000001</v>
      </c>
      <c r="O172" s="7">
        <v>367.55250000000001</v>
      </c>
      <c r="P172" s="10">
        <v>43468</v>
      </c>
      <c r="Q172" s="10" t="str">
        <f>TEXT(Table2[[#This Row],[Date]],"mmm")</f>
        <v>Jan</v>
      </c>
      <c r="R172" s="11">
        <v>0.48333333333333334</v>
      </c>
      <c r="S172" s="6" t="s">
        <v>27</v>
      </c>
      <c r="T172" s="7">
        <v>5.5</v>
      </c>
      <c r="U172" s="6">
        <f>IF(_xlfn.XLOOKUP(A172,[1]Data2!$A:$A,[1]Data2!$B:$B,"no")="yes",1,0)</f>
        <v>0</v>
      </c>
    </row>
    <row r="173" spans="1:21" s="6" customFormat="1" x14ac:dyDescent="0.3">
      <c r="A173" s="6" t="s">
        <v>211</v>
      </c>
      <c r="B173" s="6" t="s">
        <v>46</v>
      </c>
      <c r="C173" s="6" t="s">
        <v>47</v>
      </c>
      <c r="D173" s="6" t="s">
        <v>24</v>
      </c>
      <c r="E173" s="6" t="s">
        <v>35</v>
      </c>
      <c r="F173" s="6" t="s">
        <v>48</v>
      </c>
      <c r="G173" s="7">
        <f>Table2[[#This Row],[Unit price]]-10</f>
        <v>70.05</v>
      </c>
      <c r="H173" s="7">
        <v>80.05</v>
      </c>
      <c r="I173" s="8">
        <v>5</v>
      </c>
      <c r="J173" s="8">
        <f>Table2[[#This Row],[Unit price]]*Table2[[#This Row],[Quantity]]</f>
        <v>400.25</v>
      </c>
      <c r="K173" s="8">
        <f>Table2[[#This Row],[Unit Cost]]*Table2[[#This Row],[Quantity]]</f>
        <v>350.25</v>
      </c>
      <c r="L173" s="8">
        <f>Table2[[#This Row],[Gross Sales]]-Table2[[#This Row],[COGS]]</f>
        <v>50</v>
      </c>
      <c r="M173" s="9">
        <f t="shared" si="2"/>
        <v>0.12492192379762648</v>
      </c>
      <c r="N173" s="7">
        <v>20.012499999999999</v>
      </c>
      <c r="O173" s="7">
        <v>420.26249999999999</v>
      </c>
      <c r="P173" s="10">
        <v>43491</v>
      </c>
      <c r="Q173" s="10" t="str">
        <f>TEXT(Table2[[#This Row],[Date]],"mmm")</f>
        <v>Jan</v>
      </c>
      <c r="R173" s="11">
        <v>0.53125</v>
      </c>
      <c r="S173" s="6" t="s">
        <v>37</v>
      </c>
      <c r="T173" s="7">
        <v>9.4</v>
      </c>
      <c r="U173" s="6">
        <f>IF(_xlfn.XLOOKUP(A173,[1]Data2!$A:$A,[1]Data2!$B:$B,"no")="yes",1,0)</f>
        <v>0</v>
      </c>
    </row>
    <row r="174" spans="1:21" s="6" customFormat="1" x14ac:dyDescent="0.3">
      <c r="A174" s="6" t="s">
        <v>212</v>
      </c>
      <c r="B174" s="6" t="s">
        <v>29</v>
      </c>
      <c r="C174" s="6" t="s">
        <v>30</v>
      </c>
      <c r="D174" s="6" t="s">
        <v>31</v>
      </c>
      <c r="E174" s="6" t="s">
        <v>35</v>
      </c>
      <c r="F174" s="6" t="s">
        <v>32</v>
      </c>
      <c r="G174" s="7">
        <f>Table2[[#This Row],[Unit price]]-10</f>
        <v>10.850000000000001</v>
      </c>
      <c r="H174" s="7">
        <v>20.85</v>
      </c>
      <c r="I174" s="8">
        <v>8</v>
      </c>
      <c r="J174" s="8">
        <f>Table2[[#This Row],[Unit price]]*Table2[[#This Row],[Quantity]]</f>
        <v>166.8</v>
      </c>
      <c r="K174" s="8">
        <f>Table2[[#This Row],[Unit Cost]]*Table2[[#This Row],[Quantity]]</f>
        <v>86.800000000000011</v>
      </c>
      <c r="L174" s="8">
        <f>Table2[[#This Row],[Gross Sales]]-Table2[[#This Row],[COGS]]</f>
        <v>80</v>
      </c>
      <c r="M174" s="9">
        <f t="shared" si="2"/>
        <v>0.47961630695443641</v>
      </c>
      <c r="N174" s="7">
        <v>8.34</v>
      </c>
      <c r="O174" s="7">
        <v>175.14</v>
      </c>
      <c r="P174" s="10">
        <v>43527</v>
      </c>
      <c r="Q174" s="10" t="str">
        <f>TEXT(Table2[[#This Row],[Date]],"mmm")</f>
        <v>Mar</v>
      </c>
      <c r="R174" s="11">
        <v>0.80347222222222225</v>
      </c>
      <c r="S174" s="6" t="s">
        <v>33</v>
      </c>
      <c r="T174" s="7">
        <v>6.3</v>
      </c>
      <c r="U174" s="6">
        <f>IF(_xlfn.XLOOKUP(A174,[1]Data2!$A:$A,[1]Data2!$B:$B,"no")="yes",1,0)</f>
        <v>1</v>
      </c>
    </row>
    <row r="175" spans="1:21" s="6" customFormat="1" x14ac:dyDescent="0.3">
      <c r="A175" s="6" t="s">
        <v>213</v>
      </c>
      <c r="B175" s="6" t="s">
        <v>46</v>
      </c>
      <c r="C175" s="6" t="s">
        <v>47</v>
      </c>
      <c r="D175" s="6" t="s">
        <v>24</v>
      </c>
      <c r="E175" s="6" t="s">
        <v>35</v>
      </c>
      <c r="F175" s="6" t="s">
        <v>32</v>
      </c>
      <c r="G175" s="7">
        <f>Table2[[#This Row],[Unit price]]-10</f>
        <v>42.89</v>
      </c>
      <c r="H175" s="7">
        <v>52.89</v>
      </c>
      <c r="I175" s="8">
        <v>6</v>
      </c>
      <c r="J175" s="8">
        <f>Table2[[#This Row],[Unit price]]*Table2[[#This Row],[Quantity]]</f>
        <v>317.34000000000003</v>
      </c>
      <c r="K175" s="8">
        <f>Table2[[#This Row],[Unit Cost]]*Table2[[#This Row],[Quantity]]</f>
        <v>257.34000000000003</v>
      </c>
      <c r="L175" s="8">
        <f>Table2[[#This Row],[Gross Sales]]-Table2[[#This Row],[COGS]]</f>
        <v>60</v>
      </c>
      <c r="M175" s="9">
        <f t="shared" si="2"/>
        <v>0.18907165815844204</v>
      </c>
      <c r="N175" s="7">
        <v>15.867000000000001</v>
      </c>
      <c r="O175" s="7">
        <v>333.20699999999999</v>
      </c>
      <c r="P175" s="10">
        <v>43484</v>
      </c>
      <c r="Q175" s="10" t="str">
        <f>TEXT(Table2[[#This Row],[Date]],"mmm")</f>
        <v>Jan</v>
      </c>
      <c r="R175" s="11">
        <v>0.7319444444444444</v>
      </c>
      <c r="S175" s="6" t="s">
        <v>37</v>
      </c>
      <c r="T175" s="7">
        <v>9.8000000000000007</v>
      </c>
      <c r="U175" s="6">
        <f>IF(_xlfn.XLOOKUP(A175,[1]Data2!$A:$A,[1]Data2!$B:$B,"no")="yes",1,0)</f>
        <v>0</v>
      </c>
    </row>
    <row r="176" spans="1:21" s="6" customFormat="1" x14ac:dyDescent="0.3">
      <c r="A176" s="6" t="s">
        <v>214</v>
      </c>
      <c r="B176" s="6" t="s">
        <v>46</v>
      </c>
      <c r="C176" s="6" t="s">
        <v>47</v>
      </c>
      <c r="D176" s="6" t="s">
        <v>31</v>
      </c>
      <c r="E176" s="6" t="s">
        <v>35</v>
      </c>
      <c r="F176" s="6" t="s">
        <v>48</v>
      </c>
      <c r="G176" s="7">
        <f>Table2[[#This Row],[Unit price]]-10</f>
        <v>9.7899999999999991</v>
      </c>
      <c r="H176" s="7">
        <v>19.79</v>
      </c>
      <c r="I176" s="8">
        <v>8</v>
      </c>
      <c r="J176" s="8">
        <f>Table2[[#This Row],[Unit price]]*Table2[[#This Row],[Quantity]]</f>
        <v>158.32</v>
      </c>
      <c r="K176" s="8">
        <f>Table2[[#This Row],[Unit Cost]]*Table2[[#This Row],[Quantity]]</f>
        <v>78.319999999999993</v>
      </c>
      <c r="L176" s="8">
        <f>Table2[[#This Row],[Gross Sales]]-Table2[[#This Row],[COGS]]</f>
        <v>80</v>
      </c>
      <c r="M176" s="9">
        <f t="shared" si="2"/>
        <v>0.50530570995452251</v>
      </c>
      <c r="N176" s="7">
        <v>7.9160000000000004</v>
      </c>
      <c r="O176" s="7">
        <v>166.23599999999999</v>
      </c>
      <c r="P176" s="10">
        <v>43483</v>
      </c>
      <c r="Q176" s="10" t="str">
        <f>TEXT(Table2[[#This Row],[Date]],"mmm")</f>
        <v>Jan</v>
      </c>
      <c r="R176" s="11">
        <v>0.50277777777777777</v>
      </c>
      <c r="S176" s="6" t="s">
        <v>27</v>
      </c>
      <c r="T176" s="7">
        <v>8.6999999999999993</v>
      </c>
      <c r="U176" s="6">
        <f>IF(_xlfn.XLOOKUP(A176,[1]Data2!$A:$A,[1]Data2!$B:$B,"no")="yes",1,0)</f>
        <v>0</v>
      </c>
    </row>
    <row r="177" spans="1:21" s="6" customFormat="1" x14ac:dyDescent="0.3">
      <c r="A177" s="6" t="s">
        <v>215</v>
      </c>
      <c r="B177" s="6" t="s">
        <v>22</v>
      </c>
      <c r="C177" s="6" t="s">
        <v>23</v>
      </c>
      <c r="D177" s="6" t="s">
        <v>24</v>
      </c>
      <c r="E177" s="6" t="s">
        <v>35</v>
      </c>
      <c r="F177" s="6" t="s">
        <v>36</v>
      </c>
      <c r="G177" s="7">
        <f>Table2[[#This Row],[Unit price]]-10</f>
        <v>23.840000000000003</v>
      </c>
      <c r="H177" s="7">
        <v>33.840000000000003</v>
      </c>
      <c r="I177" s="8">
        <v>9</v>
      </c>
      <c r="J177" s="8">
        <f>Table2[[#This Row],[Unit price]]*Table2[[#This Row],[Quantity]]</f>
        <v>304.56000000000006</v>
      </c>
      <c r="K177" s="8">
        <f>Table2[[#This Row],[Unit Cost]]*Table2[[#This Row],[Quantity]]</f>
        <v>214.56000000000003</v>
      </c>
      <c r="L177" s="8">
        <f>Table2[[#This Row],[Gross Sales]]-Table2[[#This Row],[COGS]]</f>
        <v>90.000000000000028</v>
      </c>
      <c r="M177" s="9">
        <f t="shared" si="2"/>
        <v>0.29550827423167852</v>
      </c>
      <c r="N177" s="7">
        <v>15.228</v>
      </c>
      <c r="O177" s="7">
        <v>319.78800000000001</v>
      </c>
      <c r="P177" s="10">
        <v>43545</v>
      </c>
      <c r="Q177" s="10" t="str">
        <f>TEXT(Table2[[#This Row],[Date]],"mmm")</f>
        <v>Mar</v>
      </c>
      <c r="R177" s="11">
        <v>0.68125000000000002</v>
      </c>
      <c r="S177" s="6" t="s">
        <v>27</v>
      </c>
      <c r="T177" s="7">
        <v>8.8000000000000007</v>
      </c>
      <c r="U177" s="6">
        <f>IF(_xlfn.XLOOKUP(A177,[1]Data2!$A:$A,[1]Data2!$B:$B,"no")="yes",1,0)</f>
        <v>0</v>
      </c>
    </row>
    <row r="178" spans="1:21" s="6" customFormat="1" x14ac:dyDescent="0.3">
      <c r="A178" s="6" t="s">
        <v>216</v>
      </c>
      <c r="B178" s="6" t="s">
        <v>22</v>
      </c>
      <c r="C178" s="6" t="s">
        <v>23</v>
      </c>
      <c r="D178" s="6" t="s">
        <v>24</v>
      </c>
      <c r="E178" s="6" t="s">
        <v>35</v>
      </c>
      <c r="F178" s="6" t="s">
        <v>48</v>
      </c>
      <c r="G178" s="7">
        <f>Table2[[#This Row],[Unit price]]-10</f>
        <v>12.170000000000002</v>
      </c>
      <c r="H178" s="7">
        <v>22.17</v>
      </c>
      <c r="I178" s="8">
        <v>8</v>
      </c>
      <c r="J178" s="8">
        <f>Table2[[#This Row],[Unit price]]*Table2[[#This Row],[Quantity]]</f>
        <v>177.36</v>
      </c>
      <c r="K178" s="8">
        <f>Table2[[#This Row],[Unit Cost]]*Table2[[#This Row],[Quantity]]</f>
        <v>97.360000000000014</v>
      </c>
      <c r="L178" s="8">
        <f>Table2[[#This Row],[Gross Sales]]-Table2[[#This Row],[COGS]]</f>
        <v>80</v>
      </c>
      <c r="M178" s="9">
        <f t="shared" si="2"/>
        <v>0.45105999097880012</v>
      </c>
      <c r="N178" s="7">
        <v>8.8680000000000003</v>
      </c>
      <c r="O178" s="7">
        <v>186.22800000000001</v>
      </c>
      <c r="P178" s="10">
        <v>43527</v>
      </c>
      <c r="Q178" s="10" t="str">
        <f>TEXT(Table2[[#This Row],[Date]],"mmm")</f>
        <v>Mar</v>
      </c>
      <c r="R178" s="11">
        <v>0.7090277777777777</v>
      </c>
      <c r="S178" s="6" t="s">
        <v>37</v>
      </c>
      <c r="T178" s="7">
        <v>9.6</v>
      </c>
      <c r="U178" s="6">
        <f>IF(_xlfn.XLOOKUP(A178,[1]Data2!$A:$A,[1]Data2!$B:$B,"no")="yes",1,0)</f>
        <v>1</v>
      </c>
    </row>
    <row r="179" spans="1:21" s="6" customFormat="1" x14ac:dyDescent="0.3">
      <c r="A179" s="6" t="s">
        <v>217</v>
      </c>
      <c r="B179" s="6" t="s">
        <v>29</v>
      </c>
      <c r="C179" s="6" t="s">
        <v>30</v>
      </c>
      <c r="D179" s="6" t="s">
        <v>31</v>
      </c>
      <c r="E179" s="6" t="s">
        <v>25</v>
      </c>
      <c r="F179" s="6" t="s">
        <v>50</v>
      </c>
      <c r="G179" s="7">
        <f>Table2[[#This Row],[Unit price]]-10</f>
        <v>12.510000000000002</v>
      </c>
      <c r="H179" s="7">
        <v>22.51</v>
      </c>
      <c r="I179" s="8">
        <v>7</v>
      </c>
      <c r="J179" s="8">
        <f>Table2[[#This Row],[Unit price]]*Table2[[#This Row],[Quantity]]</f>
        <v>157.57000000000002</v>
      </c>
      <c r="K179" s="8">
        <f>Table2[[#This Row],[Unit Cost]]*Table2[[#This Row],[Quantity]]</f>
        <v>87.570000000000007</v>
      </c>
      <c r="L179" s="8">
        <f>Table2[[#This Row],[Gross Sales]]-Table2[[#This Row],[COGS]]</f>
        <v>70.000000000000014</v>
      </c>
      <c r="M179" s="9">
        <f t="shared" si="2"/>
        <v>0.44424700133274103</v>
      </c>
      <c r="N179" s="7">
        <v>7.8784999999999998</v>
      </c>
      <c r="O179" s="7">
        <v>165.4485</v>
      </c>
      <c r="P179" s="10">
        <v>43509</v>
      </c>
      <c r="Q179" s="10" t="str">
        <f>TEXT(Table2[[#This Row],[Date]],"mmm")</f>
        <v>Feb</v>
      </c>
      <c r="R179" s="11">
        <v>0.4513888888888889</v>
      </c>
      <c r="S179" s="6" t="s">
        <v>37</v>
      </c>
      <c r="T179" s="7">
        <v>4.8</v>
      </c>
      <c r="U179" s="6">
        <f>IF(_xlfn.XLOOKUP(A179,[1]Data2!$A:$A,[1]Data2!$B:$B,"no")="yes",1,0)</f>
        <v>0</v>
      </c>
    </row>
    <row r="180" spans="1:21" s="6" customFormat="1" x14ac:dyDescent="0.3">
      <c r="A180" s="6" t="s">
        <v>218</v>
      </c>
      <c r="B180" s="6" t="s">
        <v>22</v>
      </c>
      <c r="C180" s="6" t="s">
        <v>23</v>
      </c>
      <c r="D180" s="6" t="s">
        <v>31</v>
      </c>
      <c r="E180" s="6" t="s">
        <v>35</v>
      </c>
      <c r="F180" s="6" t="s">
        <v>48</v>
      </c>
      <c r="G180" s="7">
        <f>Table2[[#This Row],[Unit price]]-10</f>
        <v>63.879999999999995</v>
      </c>
      <c r="H180" s="7">
        <v>73.88</v>
      </c>
      <c r="I180" s="8">
        <v>6</v>
      </c>
      <c r="J180" s="8">
        <f>Table2[[#This Row],[Unit price]]*Table2[[#This Row],[Quantity]]</f>
        <v>443.28</v>
      </c>
      <c r="K180" s="8">
        <f>Table2[[#This Row],[Unit Cost]]*Table2[[#This Row],[Quantity]]</f>
        <v>383.28</v>
      </c>
      <c r="L180" s="8">
        <f>Table2[[#This Row],[Gross Sales]]-Table2[[#This Row],[COGS]]</f>
        <v>60</v>
      </c>
      <c r="M180" s="9">
        <f t="shared" si="2"/>
        <v>0.1353546291283162</v>
      </c>
      <c r="N180" s="7">
        <v>22.164000000000001</v>
      </c>
      <c r="O180" s="7">
        <v>465.44400000000002</v>
      </c>
      <c r="P180" s="10">
        <v>43547</v>
      </c>
      <c r="Q180" s="10" t="str">
        <f>TEXT(Table2[[#This Row],[Date]],"mmm")</f>
        <v>Mar</v>
      </c>
      <c r="R180" s="11">
        <v>0.8027777777777777</v>
      </c>
      <c r="S180" s="6" t="s">
        <v>27</v>
      </c>
      <c r="T180" s="7">
        <v>4.4000000000000004</v>
      </c>
      <c r="U180" s="6">
        <f>IF(_xlfn.XLOOKUP(A180,[1]Data2!$A:$A,[1]Data2!$B:$B,"no")="yes",1,0)</f>
        <v>0</v>
      </c>
    </row>
    <row r="181" spans="1:21" s="6" customFormat="1" x14ac:dyDescent="0.3">
      <c r="A181" s="6" t="s">
        <v>219</v>
      </c>
      <c r="B181" s="6" t="s">
        <v>29</v>
      </c>
      <c r="C181" s="6" t="s">
        <v>30</v>
      </c>
      <c r="D181" s="6" t="s">
        <v>24</v>
      </c>
      <c r="E181" s="6" t="s">
        <v>35</v>
      </c>
      <c r="F181" s="6" t="s">
        <v>26</v>
      </c>
      <c r="G181" s="7">
        <f>Table2[[#This Row],[Unit price]]-10</f>
        <v>76.8</v>
      </c>
      <c r="H181" s="7">
        <v>86.8</v>
      </c>
      <c r="I181" s="8">
        <v>3</v>
      </c>
      <c r="J181" s="8">
        <f>Table2[[#This Row],[Unit price]]*Table2[[#This Row],[Quantity]]</f>
        <v>260.39999999999998</v>
      </c>
      <c r="K181" s="8">
        <f>Table2[[#This Row],[Unit Cost]]*Table2[[#This Row],[Quantity]]</f>
        <v>230.39999999999998</v>
      </c>
      <c r="L181" s="8">
        <f>Table2[[#This Row],[Gross Sales]]-Table2[[#This Row],[COGS]]</f>
        <v>30</v>
      </c>
      <c r="M181" s="9">
        <f t="shared" si="2"/>
        <v>0.11520737327188942</v>
      </c>
      <c r="N181" s="7">
        <v>13.02</v>
      </c>
      <c r="O181" s="7">
        <v>273.42</v>
      </c>
      <c r="P181" s="10">
        <v>43493</v>
      </c>
      <c r="Q181" s="10" t="str">
        <f>TEXT(Table2[[#This Row],[Date]],"mmm")</f>
        <v>Jan</v>
      </c>
      <c r="R181" s="11">
        <v>0.69930555555555562</v>
      </c>
      <c r="S181" s="6" t="s">
        <v>27</v>
      </c>
      <c r="T181" s="7">
        <v>9.9</v>
      </c>
      <c r="U181" s="6">
        <f>IF(_xlfn.XLOOKUP(A181,[1]Data2!$A:$A,[1]Data2!$B:$B,"no")="yes",1,0)</f>
        <v>0</v>
      </c>
    </row>
    <row r="182" spans="1:21" s="6" customFormat="1" x14ac:dyDescent="0.3">
      <c r="A182" s="6" t="s">
        <v>220</v>
      </c>
      <c r="B182" s="6" t="s">
        <v>29</v>
      </c>
      <c r="C182" s="6" t="s">
        <v>30</v>
      </c>
      <c r="D182" s="6" t="s">
        <v>31</v>
      </c>
      <c r="E182" s="6" t="s">
        <v>35</v>
      </c>
      <c r="F182" s="6" t="s">
        <v>50</v>
      </c>
      <c r="G182" s="7">
        <f>Table2[[#This Row],[Unit price]]-10</f>
        <v>54.260000000000005</v>
      </c>
      <c r="H182" s="7">
        <v>64.260000000000005</v>
      </c>
      <c r="I182" s="8">
        <v>7</v>
      </c>
      <c r="J182" s="8">
        <f>Table2[[#This Row],[Unit price]]*Table2[[#This Row],[Quantity]]</f>
        <v>449.82000000000005</v>
      </c>
      <c r="K182" s="8">
        <f>Table2[[#This Row],[Unit Cost]]*Table2[[#This Row],[Quantity]]</f>
        <v>379.82000000000005</v>
      </c>
      <c r="L182" s="8">
        <f>Table2[[#This Row],[Gross Sales]]-Table2[[#This Row],[COGS]]</f>
        <v>70</v>
      </c>
      <c r="M182" s="9">
        <f t="shared" si="2"/>
        <v>0.1556178026766262</v>
      </c>
      <c r="N182" s="7">
        <v>22.491</v>
      </c>
      <c r="O182" s="7">
        <v>472.31099999999998</v>
      </c>
      <c r="P182" s="10">
        <v>43505</v>
      </c>
      <c r="Q182" s="10" t="str">
        <f>TEXT(Table2[[#This Row],[Date]],"mmm")</f>
        <v>Feb</v>
      </c>
      <c r="R182" s="11">
        <v>0.41666666666666669</v>
      </c>
      <c r="S182" s="6" t="s">
        <v>33</v>
      </c>
      <c r="T182" s="7">
        <v>5.7</v>
      </c>
      <c r="U182" s="6">
        <f>IF(_xlfn.XLOOKUP(A182,[1]Data2!$A:$A,[1]Data2!$B:$B,"no")="yes",1,0)</f>
        <v>1</v>
      </c>
    </row>
    <row r="183" spans="1:21" s="6" customFormat="1" x14ac:dyDescent="0.3">
      <c r="A183" s="6" t="s">
        <v>221</v>
      </c>
      <c r="B183" s="6" t="s">
        <v>29</v>
      </c>
      <c r="C183" s="6" t="s">
        <v>30</v>
      </c>
      <c r="D183" s="6" t="s">
        <v>24</v>
      </c>
      <c r="E183" s="6" t="s">
        <v>35</v>
      </c>
      <c r="F183" s="6" t="s">
        <v>48</v>
      </c>
      <c r="G183" s="7">
        <f>Table2[[#This Row],[Unit price]]-10</f>
        <v>28.47</v>
      </c>
      <c r="H183" s="7">
        <v>38.47</v>
      </c>
      <c r="I183" s="8">
        <v>8</v>
      </c>
      <c r="J183" s="8">
        <f>Table2[[#This Row],[Unit price]]*Table2[[#This Row],[Quantity]]</f>
        <v>307.76</v>
      </c>
      <c r="K183" s="8">
        <f>Table2[[#This Row],[Unit Cost]]*Table2[[#This Row],[Quantity]]</f>
        <v>227.76</v>
      </c>
      <c r="L183" s="8">
        <f>Table2[[#This Row],[Gross Sales]]-Table2[[#This Row],[COGS]]</f>
        <v>80</v>
      </c>
      <c r="M183" s="9">
        <f t="shared" si="2"/>
        <v>0.25994281258123214</v>
      </c>
      <c r="N183" s="7">
        <v>15.388</v>
      </c>
      <c r="O183" s="7">
        <v>323.14800000000002</v>
      </c>
      <c r="P183" s="10">
        <v>43488</v>
      </c>
      <c r="Q183" s="10" t="str">
        <f>TEXT(Table2[[#This Row],[Date]],"mmm")</f>
        <v>Jan</v>
      </c>
      <c r="R183" s="11">
        <v>0.49374999999999997</v>
      </c>
      <c r="S183" s="6" t="s">
        <v>33</v>
      </c>
      <c r="T183" s="7">
        <v>7.7</v>
      </c>
      <c r="U183" s="6">
        <f>IF(_xlfn.XLOOKUP(A183,[1]Data2!$A:$A,[1]Data2!$B:$B,"no")="yes",1,0)</f>
        <v>0</v>
      </c>
    </row>
    <row r="184" spans="1:21" s="6" customFormat="1" x14ac:dyDescent="0.3">
      <c r="A184" s="6" t="s">
        <v>222</v>
      </c>
      <c r="B184" s="6" t="s">
        <v>22</v>
      </c>
      <c r="C184" s="6" t="s">
        <v>23</v>
      </c>
      <c r="D184" s="6" t="s">
        <v>24</v>
      </c>
      <c r="E184" s="6" t="s">
        <v>35</v>
      </c>
      <c r="F184" s="6" t="s">
        <v>40</v>
      </c>
      <c r="G184" s="7">
        <f>Table2[[#This Row],[Unit price]]-10</f>
        <v>5.5</v>
      </c>
      <c r="H184" s="7">
        <v>15.5</v>
      </c>
      <c r="I184" s="8">
        <v>10</v>
      </c>
      <c r="J184" s="8">
        <f>Table2[[#This Row],[Unit price]]*Table2[[#This Row],[Quantity]]</f>
        <v>155</v>
      </c>
      <c r="K184" s="8">
        <f>Table2[[#This Row],[Unit Cost]]*Table2[[#This Row],[Quantity]]</f>
        <v>55</v>
      </c>
      <c r="L184" s="8">
        <f>Table2[[#This Row],[Gross Sales]]-Table2[[#This Row],[COGS]]</f>
        <v>100</v>
      </c>
      <c r="M184" s="9">
        <f t="shared" si="2"/>
        <v>0.64516129032258063</v>
      </c>
      <c r="N184" s="7">
        <v>7.75</v>
      </c>
      <c r="O184" s="7">
        <v>162.75</v>
      </c>
      <c r="P184" s="10">
        <v>43547</v>
      </c>
      <c r="Q184" s="10" t="str">
        <f>TEXT(Table2[[#This Row],[Date]],"mmm")</f>
        <v>Mar</v>
      </c>
      <c r="R184" s="11">
        <v>0.4548611111111111</v>
      </c>
      <c r="S184" s="6" t="s">
        <v>27</v>
      </c>
      <c r="T184" s="7">
        <v>8</v>
      </c>
      <c r="U184" s="6">
        <f>IF(_xlfn.XLOOKUP(A184,[1]Data2!$A:$A,[1]Data2!$B:$B,"no")="yes",1,0)</f>
        <v>0</v>
      </c>
    </row>
    <row r="185" spans="1:21" s="6" customFormat="1" x14ac:dyDescent="0.3">
      <c r="A185" s="6" t="s">
        <v>223</v>
      </c>
      <c r="B185" s="6" t="s">
        <v>29</v>
      </c>
      <c r="C185" s="6" t="s">
        <v>30</v>
      </c>
      <c r="D185" s="6" t="s">
        <v>31</v>
      </c>
      <c r="E185" s="6" t="s">
        <v>35</v>
      </c>
      <c r="F185" s="6" t="s">
        <v>26</v>
      </c>
      <c r="G185" s="7">
        <f>Table2[[#This Row],[Unit price]]-10</f>
        <v>24.310000000000002</v>
      </c>
      <c r="H185" s="7">
        <v>34.31</v>
      </c>
      <c r="I185" s="8">
        <v>8</v>
      </c>
      <c r="J185" s="8">
        <f>Table2[[#This Row],[Unit price]]*Table2[[#This Row],[Quantity]]</f>
        <v>274.48</v>
      </c>
      <c r="K185" s="8">
        <f>Table2[[#This Row],[Unit Cost]]*Table2[[#This Row],[Quantity]]</f>
        <v>194.48000000000002</v>
      </c>
      <c r="L185" s="8">
        <f>Table2[[#This Row],[Gross Sales]]-Table2[[#This Row],[COGS]]</f>
        <v>80</v>
      </c>
      <c r="M185" s="9">
        <f t="shared" si="2"/>
        <v>0.29146021568055958</v>
      </c>
      <c r="N185" s="7">
        <v>13.724</v>
      </c>
      <c r="O185" s="7">
        <v>288.20400000000001</v>
      </c>
      <c r="P185" s="10">
        <v>43490</v>
      </c>
      <c r="Q185" s="10" t="str">
        <f>TEXT(Table2[[#This Row],[Date]],"mmm")</f>
        <v>Jan</v>
      </c>
      <c r="R185" s="11">
        <v>0.625</v>
      </c>
      <c r="S185" s="6" t="s">
        <v>27</v>
      </c>
      <c r="T185" s="7">
        <v>5.7</v>
      </c>
      <c r="U185" s="6">
        <f>IF(_xlfn.XLOOKUP(A185,[1]Data2!$A:$A,[1]Data2!$B:$B,"no")="yes",1,0)</f>
        <v>0</v>
      </c>
    </row>
    <row r="186" spans="1:21" s="6" customFormat="1" x14ac:dyDescent="0.3">
      <c r="A186" s="6" t="s">
        <v>224</v>
      </c>
      <c r="B186" s="6" t="s">
        <v>22</v>
      </c>
      <c r="C186" s="6" t="s">
        <v>23</v>
      </c>
      <c r="D186" s="6" t="s">
        <v>31</v>
      </c>
      <c r="E186" s="6" t="s">
        <v>25</v>
      </c>
      <c r="F186" s="6" t="s">
        <v>40</v>
      </c>
      <c r="G186" s="7">
        <f>Table2[[#This Row],[Unit price]]-10</f>
        <v>2.34</v>
      </c>
      <c r="H186" s="7">
        <v>12.34</v>
      </c>
      <c r="I186" s="8">
        <v>7</v>
      </c>
      <c r="J186" s="8">
        <f>Table2[[#This Row],[Unit price]]*Table2[[#This Row],[Quantity]]</f>
        <v>86.38</v>
      </c>
      <c r="K186" s="8">
        <f>Table2[[#This Row],[Unit Cost]]*Table2[[#This Row],[Quantity]]</f>
        <v>16.38</v>
      </c>
      <c r="L186" s="8">
        <f>Table2[[#This Row],[Gross Sales]]-Table2[[#This Row],[COGS]]</f>
        <v>70</v>
      </c>
      <c r="M186" s="9">
        <f t="shared" si="2"/>
        <v>0.81037277147487852</v>
      </c>
      <c r="N186" s="7">
        <v>4.319</v>
      </c>
      <c r="O186" s="7">
        <v>90.698999999999998</v>
      </c>
      <c r="P186" s="10">
        <v>43528</v>
      </c>
      <c r="Q186" s="10" t="str">
        <f>TEXT(Table2[[#This Row],[Date]],"mmm")</f>
        <v>Mar</v>
      </c>
      <c r="R186" s="11">
        <v>0.47152777777777777</v>
      </c>
      <c r="S186" s="6" t="s">
        <v>37</v>
      </c>
      <c r="T186" s="7">
        <v>6.7</v>
      </c>
      <c r="U186" s="6">
        <f>IF(_xlfn.XLOOKUP(A186,[1]Data2!$A:$A,[1]Data2!$B:$B,"no")="yes",1,0)</f>
        <v>1</v>
      </c>
    </row>
    <row r="187" spans="1:21" s="6" customFormat="1" x14ac:dyDescent="0.3">
      <c r="A187" s="6" t="s">
        <v>225</v>
      </c>
      <c r="B187" s="6" t="s">
        <v>46</v>
      </c>
      <c r="C187" s="6" t="s">
        <v>47</v>
      </c>
      <c r="D187" s="6" t="s">
        <v>24</v>
      </c>
      <c r="E187" s="6" t="s">
        <v>35</v>
      </c>
      <c r="F187" s="6" t="s">
        <v>48</v>
      </c>
      <c r="G187" s="7">
        <f>Table2[[#This Row],[Unit price]]-10</f>
        <v>8.0799999999999983</v>
      </c>
      <c r="H187" s="7">
        <v>18.079999999999998</v>
      </c>
      <c r="I187" s="8">
        <v>3</v>
      </c>
      <c r="J187" s="8">
        <f>Table2[[#This Row],[Unit price]]*Table2[[#This Row],[Quantity]]</f>
        <v>54.239999999999995</v>
      </c>
      <c r="K187" s="8">
        <f>Table2[[#This Row],[Unit Cost]]*Table2[[#This Row],[Quantity]]</f>
        <v>24.239999999999995</v>
      </c>
      <c r="L187" s="8">
        <f>Table2[[#This Row],[Gross Sales]]-Table2[[#This Row],[COGS]]</f>
        <v>30</v>
      </c>
      <c r="M187" s="9">
        <f t="shared" si="2"/>
        <v>0.55309734513274345</v>
      </c>
      <c r="N187" s="7">
        <v>2.7120000000000002</v>
      </c>
      <c r="O187" s="7">
        <v>56.951999999999998</v>
      </c>
      <c r="P187" s="10">
        <v>43529</v>
      </c>
      <c r="Q187" s="10" t="str">
        <f>TEXT(Table2[[#This Row],[Date]],"mmm")</f>
        <v>Mar</v>
      </c>
      <c r="R187" s="11">
        <v>0.82361111111111107</v>
      </c>
      <c r="S187" s="6" t="s">
        <v>27</v>
      </c>
      <c r="T187" s="7">
        <v>8</v>
      </c>
      <c r="U187" s="6">
        <f>IF(_xlfn.XLOOKUP(A187,[1]Data2!$A:$A,[1]Data2!$B:$B,"no")="yes",1,0)</f>
        <v>0</v>
      </c>
    </row>
    <row r="188" spans="1:21" s="6" customFormat="1" x14ac:dyDescent="0.3">
      <c r="A188" s="6" t="s">
        <v>226</v>
      </c>
      <c r="B188" s="6" t="s">
        <v>46</v>
      </c>
      <c r="C188" s="6" t="s">
        <v>47</v>
      </c>
      <c r="D188" s="6" t="s">
        <v>24</v>
      </c>
      <c r="E188" s="6" t="s">
        <v>25</v>
      </c>
      <c r="F188" s="6" t="s">
        <v>36</v>
      </c>
      <c r="G188" s="7">
        <f>Table2[[#This Row],[Unit price]]-10</f>
        <v>84.49</v>
      </c>
      <c r="H188" s="7">
        <v>94.49</v>
      </c>
      <c r="I188" s="8">
        <v>8</v>
      </c>
      <c r="J188" s="8">
        <f>Table2[[#This Row],[Unit price]]*Table2[[#This Row],[Quantity]]</f>
        <v>755.92</v>
      </c>
      <c r="K188" s="8">
        <f>Table2[[#This Row],[Unit Cost]]*Table2[[#This Row],[Quantity]]</f>
        <v>675.92</v>
      </c>
      <c r="L188" s="8">
        <f>Table2[[#This Row],[Gross Sales]]-Table2[[#This Row],[COGS]]</f>
        <v>80</v>
      </c>
      <c r="M188" s="9">
        <f t="shared" si="2"/>
        <v>0.10583130489998942</v>
      </c>
      <c r="N188" s="7">
        <v>37.795999999999999</v>
      </c>
      <c r="O188" s="7">
        <v>793.71600000000001</v>
      </c>
      <c r="P188" s="10">
        <v>43527</v>
      </c>
      <c r="Q188" s="10" t="str">
        <f>TEXT(Table2[[#This Row],[Date]],"mmm")</f>
        <v>Mar</v>
      </c>
      <c r="R188" s="11">
        <v>0.79166666666666663</v>
      </c>
      <c r="S188" s="6" t="s">
        <v>27</v>
      </c>
      <c r="T188" s="7">
        <v>7.5</v>
      </c>
      <c r="U188" s="6">
        <f>IF(_xlfn.XLOOKUP(A188,[1]Data2!$A:$A,[1]Data2!$B:$B,"no")="yes",1,0)</f>
        <v>0</v>
      </c>
    </row>
    <row r="189" spans="1:21" s="6" customFormat="1" x14ac:dyDescent="0.3">
      <c r="A189" s="6" t="s">
        <v>227</v>
      </c>
      <c r="B189" s="6" t="s">
        <v>46</v>
      </c>
      <c r="C189" s="6" t="s">
        <v>47</v>
      </c>
      <c r="D189" s="6" t="s">
        <v>24</v>
      </c>
      <c r="E189" s="6" t="s">
        <v>35</v>
      </c>
      <c r="F189" s="6" t="s">
        <v>36</v>
      </c>
      <c r="G189" s="7">
        <f>Table2[[#This Row],[Unit price]]-10</f>
        <v>36.47</v>
      </c>
      <c r="H189" s="7">
        <v>46.47</v>
      </c>
      <c r="I189" s="8">
        <v>4</v>
      </c>
      <c r="J189" s="8">
        <f>Table2[[#This Row],[Unit price]]*Table2[[#This Row],[Quantity]]</f>
        <v>185.88</v>
      </c>
      <c r="K189" s="8">
        <f>Table2[[#This Row],[Unit Cost]]*Table2[[#This Row],[Quantity]]</f>
        <v>145.88</v>
      </c>
      <c r="L189" s="8">
        <f>Table2[[#This Row],[Gross Sales]]-Table2[[#This Row],[COGS]]</f>
        <v>40</v>
      </c>
      <c r="M189" s="9">
        <f t="shared" si="2"/>
        <v>0.21519259737465032</v>
      </c>
      <c r="N189" s="7">
        <v>9.2940000000000005</v>
      </c>
      <c r="O189" s="7">
        <v>195.17400000000001</v>
      </c>
      <c r="P189" s="10">
        <v>43504</v>
      </c>
      <c r="Q189" s="10" t="str">
        <f>TEXT(Table2[[#This Row],[Date]],"mmm")</f>
        <v>Feb</v>
      </c>
      <c r="R189" s="11">
        <v>0.45347222222222222</v>
      </c>
      <c r="S189" s="6" t="s">
        <v>33</v>
      </c>
      <c r="T189" s="7">
        <v>7</v>
      </c>
      <c r="U189" s="6">
        <f>IF(_xlfn.XLOOKUP(A189,[1]Data2!$A:$A,[1]Data2!$B:$B,"no")="yes",1,0)</f>
        <v>0</v>
      </c>
    </row>
    <row r="190" spans="1:21" s="6" customFormat="1" x14ac:dyDescent="0.3">
      <c r="A190" s="6" t="s">
        <v>228</v>
      </c>
      <c r="B190" s="6" t="s">
        <v>22</v>
      </c>
      <c r="C190" s="6" t="s">
        <v>23</v>
      </c>
      <c r="D190" s="6" t="s">
        <v>31</v>
      </c>
      <c r="E190" s="6" t="s">
        <v>35</v>
      </c>
      <c r="F190" s="6" t="s">
        <v>36</v>
      </c>
      <c r="G190" s="7">
        <f>Table2[[#This Row],[Unit price]]-10</f>
        <v>64.069999999999993</v>
      </c>
      <c r="H190" s="7">
        <v>74.069999999999993</v>
      </c>
      <c r="I190" s="8">
        <v>1</v>
      </c>
      <c r="J190" s="8">
        <f>Table2[[#This Row],[Unit price]]*Table2[[#This Row],[Quantity]]</f>
        <v>74.069999999999993</v>
      </c>
      <c r="K190" s="8">
        <f>Table2[[#This Row],[Unit Cost]]*Table2[[#This Row],[Quantity]]</f>
        <v>64.069999999999993</v>
      </c>
      <c r="L190" s="8">
        <f>Table2[[#This Row],[Gross Sales]]-Table2[[#This Row],[COGS]]</f>
        <v>10</v>
      </c>
      <c r="M190" s="9">
        <f t="shared" si="2"/>
        <v>0.13500742540839747</v>
      </c>
      <c r="N190" s="7">
        <v>3.7035</v>
      </c>
      <c r="O190" s="7">
        <v>77.773499999999999</v>
      </c>
      <c r="P190" s="10">
        <v>43506</v>
      </c>
      <c r="Q190" s="10" t="str">
        <f>TEXT(Table2[[#This Row],[Date]],"mmm")</f>
        <v>Feb</v>
      </c>
      <c r="R190" s="11">
        <v>0.53472222222222221</v>
      </c>
      <c r="S190" s="6" t="s">
        <v>27</v>
      </c>
      <c r="T190" s="7">
        <v>9.9</v>
      </c>
      <c r="U190" s="6">
        <f>IF(_xlfn.XLOOKUP(A190,[1]Data2!$A:$A,[1]Data2!$B:$B,"no")="yes",1,0)</f>
        <v>1</v>
      </c>
    </row>
    <row r="191" spans="1:21" s="6" customFormat="1" x14ac:dyDescent="0.3">
      <c r="A191" s="6" t="s">
        <v>229</v>
      </c>
      <c r="B191" s="6" t="s">
        <v>29</v>
      </c>
      <c r="C191" s="6" t="s">
        <v>30</v>
      </c>
      <c r="D191" s="6" t="s">
        <v>31</v>
      </c>
      <c r="E191" s="6" t="s">
        <v>25</v>
      </c>
      <c r="F191" s="6" t="s">
        <v>36</v>
      </c>
      <c r="G191" s="7">
        <f>Table2[[#This Row],[Unit price]]-10</f>
        <v>59.81</v>
      </c>
      <c r="H191" s="7">
        <v>69.81</v>
      </c>
      <c r="I191" s="8">
        <v>4</v>
      </c>
      <c r="J191" s="8">
        <f>Table2[[#This Row],[Unit price]]*Table2[[#This Row],[Quantity]]</f>
        <v>279.24</v>
      </c>
      <c r="K191" s="8">
        <f>Table2[[#This Row],[Unit Cost]]*Table2[[#This Row],[Quantity]]</f>
        <v>239.24</v>
      </c>
      <c r="L191" s="8">
        <f>Table2[[#This Row],[Gross Sales]]-Table2[[#This Row],[COGS]]</f>
        <v>40</v>
      </c>
      <c r="M191" s="9">
        <f t="shared" si="2"/>
        <v>0.14324595330181922</v>
      </c>
      <c r="N191" s="7">
        <v>13.962</v>
      </c>
      <c r="O191" s="7">
        <v>293.202</v>
      </c>
      <c r="P191" s="10">
        <v>43493</v>
      </c>
      <c r="Q191" s="10" t="str">
        <f>TEXT(Table2[[#This Row],[Date]],"mmm")</f>
        <v>Jan</v>
      </c>
      <c r="R191" s="11">
        <v>0.86805555555555547</v>
      </c>
      <c r="S191" s="6" t="s">
        <v>37</v>
      </c>
      <c r="T191" s="7">
        <v>5.9</v>
      </c>
      <c r="U191" s="6">
        <f>IF(_xlfn.XLOOKUP(A191,[1]Data2!$A:$A,[1]Data2!$B:$B,"no")="yes",1,0)</f>
        <v>0</v>
      </c>
    </row>
    <row r="192" spans="1:21" s="6" customFormat="1" x14ac:dyDescent="0.3">
      <c r="A192" s="6" t="s">
        <v>230</v>
      </c>
      <c r="B192" s="6" t="s">
        <v>46</v>
      </c>
      <c r="C192" s="6" t="s">
        <v>47</v>
      </c>
      <c r="D192" s="6" t="s">
        <v>31</v>
      </c>
      <c r="E192" s="6" t="s">
        <v>25</v>
      </c>
      <c r="F192" s="6" t="s">
        <v>36</v>
      </c>
      <c r="G192" s="7">
        <f>Table2[[#This Row],[Unit price]]-10</f>
        <v>67.040000000000006</v>
      </c>
      <c r="H192" s="7">
        <v>77.040000000000006</v>
      </c>
      <c r="I192" s="8">
        <v>3</v>
      </c>
      <c r="J192" s="8">
        <f>Table2[[#This Row],[Unit price]]*Table2[[#This Row],[Quantity]]</f>
        <v>231.12</v>
      </c>
      <c r="K192" s="8">
        <f>Table2[[#This Row],[Unit Cost]]*Table2[[#This Row],[Quantity]]</f>
        <v>201.12</v>
      </c>
      <c r="L192" s="8">
        <f>Table2[[#This Row],[Gross Sales]]-Table2[[#This Row],[COGS]]</f>
        <v>30</v>
      </c>
      <c r="M192" s="9">
        <f t="shared" si="2"/>
        <v>0.12980269989615784</v>
      </c>
      <c r="N192" s="7">
        <v>11.555999999999999</v>
      </c>
      <c r="O192" s="7">
        <v>242.67599999999999</v>
      </c>
      <c r="P192" s="10">
        <v>43507</v>
      </c>
      <c r="Q192" s="10" t="str">
        <f>TEXT(Table2[[#This Row],[Date]],"mmm")</f>
        <v>Feb</v>
      </c>
      <c r="R192" s="11">
        <v>0.44375000000000003</v>
      </c>
      <c r="S192" s="6" t="s">
        <v>37</v>
      </c>
      <c r="T192" s="7">
        <v>7.2</v>
      </c>
      <c r="U192" s="6">
        <f>IF(_xlfn.XLOOKUP(A192,[1]Data2!$A:$A,[1]Data2!$B:$B,"no")="yes",1,0)</f>
        <v>0</v>
      </c>
    </row>
    <row r="193" spans="1:21" s="6" customFormat="1" x14ac:dyDescent="0.3">
      <c r="A193" s="6" t="s">
        <v>231</v>
      </c>
      <c r="B193" s="6" t="s">
        <v>46</v>
      </c>
      <c r="C193" s="6" t="s">
        <v>47</v>
      </c>
      <c r="D193" s="6" t="s">
        <v>31</v>
      </c>
      <c r="E193" s="6" t="s">
        <v>25</v>
      </c>
      <c r="F193" s="6" t="s">
        <v>50</v>
      </c>
      <c r="G193" s="7">
        <f>Table2[[#This Row],[Unit price]]-10</f>
        <v>63.519999999999996</v>
      </c>
      <c r="H193" s="7">
        <v>73.52</v>
      </c>
      <c r="I193" s="8">
        <v>2</v>
      </c>
      <c r="J193" s="8">
        <f>Table2[[#This Row],[Unit price]]*Table2[[#This Row],[Quantity]]</f>
        <v>147.04</v>
      </c>
      <c r="K193" s="8">
        <f>Table2[[#This Row],[Unit Cost]]*Table2[[#This Row],[Quantity]]</f>
        <v>127.03999999999999</v>
      </c>
      <c r="L193" s="8">
        <f>Table2[[#This Row],[Gross Sales]]-Table2[[#This Row],[COGS]]</f>
        <v>20</v>
      </c>
      <c r="M193" s="9">
        <f t="shared" si="2"/>
        <v>0.13601741022850924</v>
      </c>
      <c r="N193" s="7">
        <v>7.3520000000000003</v>
      </c>
      <c r="O193" s="7">
        <v>154.392</v>
      </c>
      <c r="P193" s="10">
        <v>43480</v>
      </c>
      <c r="Q193" s="10" t="str">
        <f>TEXT(Table2[[#This Row],[Date]],"mmm")</f>
        <v>Jan</v>
      </c>
      <c r="R193" s="11">
        <v>0.57013888888888886</v>
      </c>
      <c r="S193" s="6" t="s">
        <v>27</v>
      </c>
      <c r="T193" s="7">
        <v>4.5999999999999996</v>
      </c>
      <c r="U193" s="6">
        <f>IF(_xlfn.XLOOKUP(A193,[1]Data2!$A:$A,[1]Data2!$B:$B,"no")="yes",1,0)</f>
        <v>0</v>
      </c>
    </row>
    <row r="194" spans="1:21" s="6" customFormat="1" x14ac:dyDescent="0.3">
      <c r="A194" s="6" t="s">
        <v>232</v>
      </c>
      <c r="B194" s="6" t="s">
        <v>29</v>
      </c>
      <c r="C194" s="6" t="s">
        <v>30</v>
      </c>
      <c r="D194" s="6" t="s">
        <v>31</v>
      </c>
      <c r="E194" s="6" t="s">
        <v>25</v>
      </c>
      <c r="F194" s="6" t="s">
        <v>48</v>
      </c>
      <c r="G194" s="7">
        <f>Table2[[#This Row],[Unit price]]-10</f>
        <v>77.8</v>
      </c>
      <c r="H194" s="7">
        <v>87.8</v>
      </c>
      <c r="I194" s="8">
        <v>9</v>
      </c>
      <c r="J194" s="8">
        <f>Table2[[#This Row],[Unit price]]*Table2[[#This Row],[Quantity]]</f>
        <v>790.19999999999993</v>
      </c>
      <c r="K194" s="8">
        <f>Table2[[#This Row],[Unit Cost]]*Table2[[#This Row],[Quantity]]</f>
        <v>700.19999999999993</v>
      </c>
      <c r="L194" s="8">
        <f>Table2[[#This Row],[Gross Sales]]-Table2[[#This Row],[COGS]]</f>
        <v>90</v>
      </c>
      <c r="M194" s="9">
        <f t="shared" si="2"/>
        <v>0.11389521640091117</v>
      </c>
      <c r="N194" s="7">
        <v>39.51</v>
      </c>
      <c r="O194" s="7">
        <v>829.71</v>
      </c>
      <c r="P194" s="10">
        <v>43540</v>
      </c>
      <c r="Q194" s="10" t="str">
        <f>TEXT(Table2[[#This Row],[Date]],"mmm")</f>
        <v>Mar</v>
      </c>
      <c r="R194" s="11">
        <v>0.79722222222222217</v>
      </c>
      <c r="S194" s="6" t="s">
        <v>33</v>
      </c>
      <c r="T194" s="7">
        <v>9.1999999999999993</v>
      </c>
      <c r="U194" s="6">
        <f>IF(_xlfn.XLOOKUP(A194,[1]Data2!$A:$A,[1]Data2!$B:$B,"no")="yes",1,0)</f>
        <v>1</v>
      </c>
    </row>
    <row r="195" spans="1:21" s="6" customFormat="1" x14ac:dyDescent="0.3">
      <c r="A195" s="6" t="s">
        <v>233</v>
      </c>
      <c r="B195" s="6" t="s">
        <v>46</v>
      </c>
      <c r="C195" s="6" t="s">
        <v>47</v>
      </c>
      <c r="D195" s="6" t="s">
        <v>31</v>
      </c>
      <c r="E195" s="6" t="s">
        <v>35</v>
      </c>
      <c r="F195" s="6" t="s">
        <v>36</v>
      </c>
      <c r="G195" s="7">
        <f>Table2[[#This Row],[Unit price]]-10</f>
        <v>15.55</v>
      </c>
      <c r="H195" s="7">
        <v>25.55</v>
      </c>
      <c r="I195" s="8">
        <v>4</v>
      </c>
      <c r="J195" s="8">
        <f>Table2[[#This Row],[Unit price]]*Table2[[#This Row],[Quantity]]</f>
        <v>102.2</v>
      </c>
      <c r="K195" s="8">
        <f>Table2[[#This Row],[Unit Cost]]*Table2[[#This Row],[Quantity]]</f>
        <v>62.2</v>
      </c>
      <c r="L195" s="8">
        <f>Table2[[#This Row],[Gross Sales]]-Table2[[#This Row],[COGS]]</f>
        <v>40</v>
      </c>
      <c r="M195" s="9">
        <f t="shared" ref="M195:M258" si="3">IFERROR(L195/J195,0)</f>
        <v>0.39138943248532287</v>
      </c>
      <c r="N195" s="7">
        <v>5.1100000000000003</v>
      </c>
      <c r="O195" s="7">
        <v>107.31</v>
      </c>
      <c r="P195" s="10">
        <v>43491</v>
      </c>
      <c r="Q195" s="10" t="str">
        <f>TEXT(Table2[[#This Row],[Date]],"mmm")</f>
        <v>Jan</v>
      </c>
      <c r="R195" s="11">
        <v>0.84930555555555554</v>
      </c>
      <c r="S195" s="6" t="s">
        <v>27</v>
      </c>
      <c r="T195" s="7">
        <v>5.7</v>
      </c>
      <c r="U195" s="6">
        <f>IF(_xlfn.XLOOKUP(A195,[1]Data2!$A:$A,[1]Data2!$B:$B,"no")="yes",1,0)</f>
        <v>0</v>
      </c>
    </row>
    <row r="196" spans="1:21" s="6" customFormat="1" x14ac:dyDescent="0.3">
      <c r="A196" s="6" t="s">
        <v>234</v>
      </c>
      <c r="B196" s="6" t="s">
        <v>22</v>
      </c>
      <c r="C196" s="6" t="s">
        <v>23</v>
      </c>
      <c r="D196" s="6" t="s">
        <v>31</v>
      </c>
      <c r="E196" s="6" t="s">
        <v>35</v>
      </c>
      <c r="F196" s="6" t="s">
        <v>32</v>
      </c>
      <c r="G196" s="7">
        <f>Table2[[#This Row],[Unit price]]-10</f>
        <v>22.71</v>
      </c>
      <c r="H196" s="7">
        <v>32.71</v>
      </c>
      <c r="I196" s="8">
        <v>5</v>
      </c>
      <c r="J196" s="8">
        <f>Table2[[#This Row],[Unit price]]*Table2[[#This Row],[Quantity]]</f>
        <v>163.55000000000001</v>
      </c>
      <c r="K196" s="8">
        <f>Table2[[#This Row],[Unit Cost]]*Table2[[#This Row],[Quantity]]</f>
        <v>113.55000000000001</v>
      </c>
      <c r="L196" s="8">
        <f>Table2[[#This Row],[Gross Sales]]-Table2[[#This Row],[COGS]]</f>
        <v>50</v>
      </c>
      <c r="M196" s="9">
        <f t="shared" si="3"/>
        <v>0.30571690614490982</v>
      </c>
      <c r="N196" s="7">
        <v>8.1775000000000002</v>
      </c>
      <c r="O196" s="7">
        <v>171.72749999999999</v>
      </c>
      <c r="P196" s="10">
        <v>43543</v>
      </c>
      <c r="Q196" s="10" t="str">
        <f>TEXT(Table2[[#This Row],[Date]],"mmm")</f>
        <v>Mar</v>
      </c>
      <c r="R196" s="11">
        <v>0.47916666666666669</v>
      </c>
      <c r="S196" s="6" t="s">
        <v>37</v>
      </c>
      <c r="T196" s="7">
        <v>9.9</v>
      </c>
      <c r="U196" s="6">
        <f>IF(_xlfn.XLOOKUP(A196,[1]Data2!$A:$A,[1]Data2!$B:$B,"no")="yes",1,0)</f>
        <v>0</v>
      </c>
    </row>
    <row r="197" spans="1:21" s="6" customFormat="1" x14ac:dyDescent="0.3">
      <c r="A197" s="6" t="s">
        <v>235</v>
      </c>
      <c r="B197" s="6" t="s">
        <v>29</v>
      </c>
      <c r="C197" s="6" t="s">
        <v>30</v>
      </c>
      <c r="D197" s="6" t="s">
        <v>24</v>
      </c>
      <c r="E197" s="6" t="s">
        <v>25</v>
      </c>
      <c r="F197" s="6" t="s">
        <v>50</v>
      </c>
      <c r="G197" s="7">
        <f>Table2[[#This Row],[Unit price]]-10</f>
        <v>64.290000000000006</v>
      </c>
      <c r="H197" s="7">
        <v>74.290000000000006</v>
      </c>
      <c r="I197" s="8">
        <v>1</v>
      </c>
      <c r="J197" s="8">
        <f>Table2[[#This Row],[Unit price]]*Table2[[#This Row],[Quantity]]</f>
        <v>74.290000000000006</v>
      </c>
      <c r="K197" s="8">
        <f>Table2[[#This Row],[Unit Cost]]*Table2[[#This Row],[Quantity]]</f>
        <v>64.290000000000006</v>
      </c>
      <c r="L197" s="8">
        <f>Table2[[#This Row],[Gross Sales]]-Table2[[#This Row],[COGS]]</f>
        <v>10</v>
      </c>
      <c r="M197" s="9">
        <f t="shared" si="3"/>
        <v>0.13460761879122357</v>
      </c>
      <c r="N197" s="7">
        <v>3.7145000000000001</v>
      </c>
      <c r="O197" s="7">
        <v>78.004499999999993</v>
      </c>
      <c r="P197" s="10">
        <v>43478</v>
      </c>
      <c r="Q197" s="10" t="str">
        <f>TEXT(Table2[[#This Row],[Date]],"mmm")</f>
        <v>Jan</v>
      </c>
      <c r="R197" s="11">
        <v>0.8125</v>
      </c>
      <c r="S197" s="6" t="s">
        <v>33</v>
      </c>
      <c r="T197" s="7">
        <v>5</v>
      </c>
      <c r="U197" s="6">
        <f>IF(_xlfn.XLOOKUP(A197,[1]Data2!$A:$A,[1]Data2!$B:$B,"no")="yes",1,0)</f>
        <v>0</v>
      </c>
    </row>
    <row r="198" spans="1:21" s="6" customFormat="1" x14ac:dyDescent="0.3">
      <c r="A198" s="6" t="s">
        <v>236</v>
      </c>
      <c r="B198" s="6" t="s">
        <v>29</v>
      </c>
      <c r="C198" s="6" t="s">
        <v>30</v>
      </c>
      <c r="D198" s="6" t="s">
        <v>24</v>
      </c>
      <c r="E198" s="6" t="s">
        <v>35</v>
      </c>
      <c r="F198" s="6" t="s">
        <v>26</v>
      </c>
      <c r="G198" s="7">
        <f>Table2[[#This Row],[Unit price]]-10</f>
        <v>33.700000000000003</v>
      </c>
      <c r="H198" s="7">
        <v>43.7</v>
      </c>
      <c r="I198" s="8">
        <v>2</v>
      </c>
      <c r="J198" s="8">
        <f>Table2[[#This Row],[Unit price]]*Table2[[#This Row],[Quantity]]</f>
        <v>87.4</v>
      </c>
      <c r="K198" s="8">
        <f>Table2[[#This Row],[Unit Cost]]*Table2[[#This Row],[Quantity]]</f>
        <v>67.400000000000006</v>
      </c>
      <c r="L198" s="8">
        <f>Table2[[#This Row],[Gross Sales]]-Table2[[#This Row],[COGS]]</f>
        <v>20</v>
      </c>
      <c r="M198" s="9">
        <f t="shared" si="3"/>
        <v>0.22883295194508008</v>
      </c>
      <c r="N198" s="7">
        <v>4.37</v>
      </c>
      <c r="O198" s="7">
        <v>91.77</v>
      </c>
      <c r="P198" s="10">
        <v>43550</v>
      </c>
      <c r="Q198" s="10" t="str">
        <f>TEXT(Table2[[#This Row],[Date]],"mmm")</f>
        <v>Mar</v>
      </c>
      <c r="R198" s="11">
        <v>0.75208333333333333</v>
      </c>
      <c r="S198" s="6" t="s">
        <v>33</v>
      </c>
      <c r="T198" s="7">
        <v>4.9000000000000004</v>
      </c>
      <c r="U198" s="6">
        <f>IF(_xlfn.XLOOKUP(A198,[1]Data2!$A:$A,[1]Data2!$B:$B,"no")="yes",1,0)</f>
        <v>1</v>
      </c>
    </row>
    <row r="199" spans="1:21" s="6" customFormat="1" x14ac:dyDescent="0.3">
      <c r="A199" s="6" t="s">
        <v>237</v>
      </c>
      <c r="B199" s="6" t="s">
        <v>22</v>
      </c>
      <c r="C199" s="6" t="s">
        <v>23</v>
      </c>
      <c r="D199" s="6" t="s">
        <v>31</v>
      </c>
      <c r="E199" s="6" t="s">
        <v>25</v>
      </c>
      <c r="F199" s="6" t="s">
        <v>36</v>
      </c>
      <c r="G199" s="7">
        <f>Table2[[#This Row],[Unit price]]-10</f>
        <v>15.29</v>
      </c>
      <c r="H199" s="7">
        <v>25.29</v>
      </c>
      <c r="I199" s="8">
        <v>1</v>
      </c>
      <c r="J199" s="8">
        <f>Table2[[#This Row],[Unit price]]*Table2[[#This Row],[Quantity]]</f>
        <v>25.29</v>
      </c>
      <c r="K199" s="8">
        <f>Table2[[#This Row],[Unit Cost]]*Table2[[#This Row],[Quantity]]</f>
        <v>15.29</v>
      </c>
      <c r="L199" s="8">
        <f>Table2[[#This Row],[Gross Sales]]-Table2[[#This Row],[COGS]]</f>
        <v>10</v>
      </c>
      <c r="M199" s="9">
        <f t="shared" si="3"/>
        <v>0.3954132068011072</v>
      </c>
      <c r="N199" s="7">
        <v>1.2645</v>
      </c>
      <c r="O199" s="7">
        <v>26.554500000000001</v>
      </c>
      <c r="P199" s="10">
        <v>43547</v>
      </c>
      <c r="Q199" s="10" t="str">
        <f>TEXT(Table2[[#This Row],[Date]],"mmm")</f>
        <v>Mar</v>
      </c>
      <c r="R199" s="11">
        <v>0.42569444444444443</v>
      </c>
      <c r="S199" s="6" t="s">
        <v>27</v>
      </c>
      <c r="T199" s="7">
        <v>6.1</v>
      </c>
      <c r="U199" s="6">
        <f>IF(_xlfn.XLOOKUP(A199,[1]Data2!$A:$A,[1]Data2!$B:$B,"no")="yes",1,0)</f>
        <v>0</v>
      </c>
    </row>
    <row r="200" spans="1:21" s="6" customFormat="1" x14ac:dyDescent="0.3">
      <c r="A200" s="6" t="s">
        <v>238</v>
      </c>
      <c r="B200" s="6" t="s">
        <v>29</v>
      </c>
      <c r="C200" s="6" t="s">
        <v>30</v>
      </c>
      <c r="D200" s="6" t="s">
        <v>31</v>
      </c>
      <c r="E200" s="6" t="s">
        <v>35</v>
      </c>
      <c r="F200" s="6" t="s">
        <v>26</v>
      </c>
      <c r="G200" s="7">
        <f>Table2[[#This Row],[Unit price]]-10</f>
        <v>31.5</v>
      </c>
      <c r="H200" s="7">
        <v>41.5</v>
      </c>
      <c r="I200" s="8">
        <v>4</v>
      </c>
      <c r="J200" s="8">
        <f>Table2[[#This Row],[Unit price]]*Table2[[#This Row],[Quantity]]</f>
        <v>166</v>
      </c>
      <c r="K200" s="8">
        <f>Table2[[#This Row],[Unit Cost]]*Table2[[#This Row],[Quantity]]</f>
        <v>126</v>
      </c>
      <c r="L200" s="8">
        <f>Table2[[#This Row],[Gross Sales]]-Table2[[#This Row],[COGS]]</f>
        <v>40</v>
      </c>
      <c r="M200" s="9">
        <f t="shared" si="3"/>
        <v>0.24096385542168675</v>
      </c>
      <c r="N200" s="7">
        <v>8.3000000000000007</v>
      </c>
      <c r="O200" s="7">
        <v>174.3</v>
      </c>
      <c r="P200" s="10">
        <v>43536</v>
      </c>
      <c r="Q200" s="10" t="str">
        <f>TEXT(Table2[[#This Row],[Date]],"mmm")</f>
        <v>Mar</v>
      </c>
      <c r="R200" s="11">
        <v>0.83194444444444438</v>
      </c>
      <c r="S200" s="6" t="s">
        <v>37</v>
      </c>
      <c r="T200" s="7">
        <v>8.1999999999999993</v>
      </c>
      <c r="U200" s="6">
        <f>IF(_xlfn.XLOOKUP(A200,[1]Data2!$A:$A,[1]Data2!$B:$B,"no")="yes",1,0)</f>
        <v>0</v>
      </c>
    </row>
    <row r="201" spans="1:21" s="6" customFormat="1" x14ac:dyDescent="0.3">
      <c r="A201" s="6" t="s">
        <v>239</v>
      </c>
      <c r="B201" s="6" t="s">
        <v>29</v>
      </c>
      <c r="C201" s="6" t="s">
        <v>30</v>
      </c>
      <c r="D201" s="6" t="s">
        <v>24</v>
      </c>
      <c r="E201" s="6" t="s">
        <v>25</v>
      </c>
      <c r="F201" s="6" t="s">
        <v>48</v>
      </c>
      <c r="G201" s="7">
        <f>Table2[[#This Row],[Unit price]]-10</f>
        <v>61.39</v>
      </c>
      <c r="H201" s="7">
        <v>71.39</v>
      </c>
      <c r="I201" s="8">
        <v>5</v>
      </c>
      <c r="J201" s="8">
        <f>Table2[[#This Row],[Unit price]]*Table2[[#This Row],[Quantity]]</f>
        <v>356.95</v>
      </c>
      <c r="K201" s="8">
        <f>Table2[[#This Row],[Unit Cost]]*Table2[[#This Row],[Quantity]]</f>
        <v>306.95</v>
      </c>
      <c r="L201" s="8">
        <f>Table2[[#This Row],[Gross Sales]]-Table2[[#This Row],[COGS]]</f>
        <v>50</v>
      </c>
      <c r="M201" s="9">
        <f t="shared" si="3"/>
        <v>0.14007564084605686</v>
      </c>
      <c r="N201" s="7">
        <v>17.8475</v>
      </c>
      <c r="O201" s="7">
        <v>374.79750000000001</v>
      </c>
      <c r="P201" s="10">
        <v>43513</v>
      </c>
      <c r="Q201" s="10" t="str">
        <f>TEXT(Table2[[#This Row],[Date]],"mmm")</f>
        <v>Feb</v>
      </c>
      <c r="R201" s="11">
        <v>0.83124999999999993</v>
      </c>
      <c r="S201" s="6" t="s">
        <v>37</v>
      </c>
      <c r="T201" s="7">
        <v>5.5</v>
      </c>
      <c r="U201" s="6">
        <f>IF(_xlfn.XLOOKUP(A201,[1]Data2!$A:$A,[1]Data2!$B:$B,"no")="yes",1,0)</f>
        <v>0</v>
      </c>
    </row>
    <row r="202" spans="1:21" s="6" customFormat="1" x14ac:dyDescent="0.3">
      <c r="A202" s="6" t="s">
        <v>240</v>
      </c>
      <c r="B202" s="6" t="s">
        <v>29</v>
      </c>
      <c r="C202" s="6" t="s">
        <v>30</v>
      </c>
      <c r="D202" s="6" t="s">
        <v>24</v>
      </c>
      <c r="E202" s="6" t="s">
        <v>25</v>
      </c>
      <c r="F202" s="6" t="s">
        <v>40</v>
      </c>
      <c r="G202" s="7">
        <f>Table2[[#This Row],[Unit price]]-10</f>
        <v>9.1499999999999986</v>
      </c>
      <c r="H202" s="7">
        <v>19.149999999999999</v>
      </c>
      <c r="I202" s="8">
        <v>6</v>
      </c>
      <c r="J202" s="8">
        <f>Table2[[#This Row],[Unit price]]*Table2[[#This Row],[Quantity]]</f>
        <v>114.89999999999999</v>
      </c>
      <c r="K202" s="8">
        <f>Table2[[#This Row],[Unit Cost]]*Table2[[#This Row],[Quantity]]</f>
        <v>54.899999999999991</v>
      </c>
      <c r="L202" s="8">
        <f>Table2[[#This Row],[Gross Sales]]-Table2[[#This Row],[COGS]]</f>
        <v>60</v>
      </c>
      <c r="M202" s="9">
        <f t="shared" si="3"/>
        <v>0.52219321148825071</v>
      </c>
      <c r="N202" s="7">
        <v>5.7450000000000001</v>
      </c>
      <c r="O202" s="7">
        <v>120.645</v>
      </c>
      <c r="P202" s="10">
        <v>43494</v>
      </c>
      <c r="Q202" s="10" t="str">
        <f>TEXT(Table2[[#This Row],[Date]],"mmm")</f>
        <v>Jan</v>
      </c>
      <c r="R202" s="11">
        <v>0.41736111111111113</v>
      </c>
      <c r="S202" s="6" t="s">
        <v>37</v>
      </c>
      <c r="T202" s="7">
        <v>6.8</v>
      </c>
      <c r="U202" s="6">
        <f>IF(_xlfn.XLOOKUP(A202,[1]Data2!$A:$A,[1]Data2!$B:$B,"no")="yes",1,0)</f>
        <v>1</v>
      </c>
    </row>
    <row r="203" spans="1:21" s="6" customFormat="1" x14ac:dyDescent="0.3">
      <c r="A203" s="6" t="s">
        <v>241</v>
      </c>
      <c r="B203" s="6" t="s">
        <v>46</v>
      </c>
      <c r="C203" s="6" t="s">
        <v>47</v>
      </c>
      <c r="D203" s="6" t="s">
        <v>24</v>
      </c>
      <c r="E203" s="6" t="s">
        <v>25</v>
      </c>
      <c r="F203" s="6" t="s">
        <v>32</v>
      </c>
      <c r="G203" s="7">
        <f>Table2[[#This Row],[Unit price]]-10</f>
        <v>47.49</v>
      </c>
      <c r="H203" s="7">
        <v>57.49</v>
      </c>
      <c r="I203" s="8">
        <v>4</v>
      </c>
      <c r="J203" s="8">
        <f>Table2[[#This Row],[Unit price]]*Table2[[#This Row],[Quantity]]</f>
        <v>229.96</v>
      </c>
      <c r="K203" s="8">
        <f>Table2[[#This Row],[Unit Cost]]*Table2[[#This Row],[Quantity]]</f>
        <v>189.96</v>
      </c>
      <c r="L203" s="8">
        <f>Table2[[#This Row],[Gross Sales]]-Table2[[#This Row],[COGS]]</f>
        <v>40</v>
      </c>
      <c r="M203" s="9">
        <f t="shared" si="3"/>
        <v>0.17394329448599755</v>
      </c>
      <c r="N203" s="7">
        <v>11.497999999999999</v>
      </c>
      <c r="O203" s="7">
        <v>241.458</v>
      </c>
      <c r="P203" s="10">
        <v>43539</v>
      </c>
      <c r="Q203" s="10" t="str">
        <f>TEXT(Table2[[#This Row],[Date]],"mmm")</f>
        <v>Mar</v>
      </c>
      <c r="R203" s="11">
        <v>0.49791666666666662</v>
      </c>
      <c r="S203" s="6" t="s">
        <v>33</v>
      </c>
      <c r="T203" s="7">
        <v>6.6</v>
      </c>
      <c r="U203" s="6">
        <f>IF(_xlfn.XLOOKUP(A203,[1]Data2!$A:$A,[1]Data2!$B:$B,"no")="yes",1,0)</f>
        <v>0</v>
      </c>
    </row>
    <row r="204" spans="1:21" s="6" customFormat="1" x14ac:dyDescent="0.3">
      <c r="A204" s="6" t="s">
        <v>242</v>
      </c>
      <c r="B204" s="6" t="s">
        <v>29</v>
      </c>
      <c r="C204" s="6" t="s">
        <v>30</v>
      </c>
      <c r="D204" s="6" t="s">
        <v>31</v>
      </c>
      <c r="E204" s="6" t="s">
        <v>35</v>
      </c>
      <c r="F204" s="6" t="s">
        <v>32</v>
      </c>
      <c r="G204" s="7">
        <f>Table2[[#This Row],[Unit price]]-10</f>
        <v>51.41</v>
      </c>
      <c r="H204" s="7">
        <v>61.41</v>
      </c>
      <c r="I204" s="8">
        <v>7</v>
      </c>
      <c r="J204" s="8">
        <f>Table2[[#This Row],[Unit price]]*Table2[[#This Row],[Quantity]]</f>
        <v>429.87</v>
      </c>
      <c r="K204" s="8">
        <f>Table2[[#This Row],[Unit Cost]]*Table2[[#This Row],[Quantity]]</f>
        <v>359.87</v>
      </c>
      <c r="L204" s="8">
        <f>Table2[[#This Row],[Gross Sales]]-Table2[[#This Row],[COGS]]</f>
        <v>70</v>
      </c>
      <c r="M204" s="9">
        <f t="shared" si="3"/>
        <v>0.16283992835043151</v>
      </c>
      <c r="N204" s="7">
        <v>21.493500000000001</v>
      </c>
      <c r="O204" s="7">
        <v>451.36349999999999</v>
      </c>
      <c r="P204" s="10">
        <v>43479</v>
      </c>
      <c r="Q204" s="10" t="str">
        <f>TEXT(Table2[[#This Row],[Date]],"mmm")</f>
        <v>Jan</v>
      </c>
      <c r="R204" s="11">
        <v>0.41805555555555557</v>
      </c>
      <c r="S204" s="6" t="s">
        <v>33</v>
      </c>
      <c r="T204" s="7">
        <v>9.8000000000000007</v>
      </c>
      <c r="U204" s="6">
        <f>IF(_xlfn.XLOOKUP(A204,[1]Data2!$A:$A,[1]Data2!$B:$B,"no")="yes",1,0)</f>
        <v>0</v>
      </c>
    </row>
    <row r="205" spans="1:21" s="6" customFormat="1" x14ac:dyDescent="0.3">
      <c r="A205" s="6" t="s">
        <v>243</v>
      </c>
      <c r="B205" s="6" t="s">
        <v>46</v>
      </c>
      <c r="C205" s="6" t="s">
        <v>47</v>
      </c>
      <c r="D205" s="6" t="s">
        <v>24</v>
      </c>
      <c r="E205" s="6" t="s">
        <v>35</v>
      </c>
      <c r="F205" s="6" t="s">
        <v>26</v>
      </c>
      <c r="G205" s="7">
        <f>Table2[[#This Row],[Unit price]]-10</f>
        <v>15.899999999999999</v>
      </c>
      <c r="H205" s="7">
        <v>25.9</v>
      </c>
      <c r="I205" s="8">
        <v>10</v>
      </c>
      <c r="J205" s="8">
        <f>Table2[[#This Row],[Unit price]]*Table2[[#This Row],[Quantity]]</f>
        <v>259</v>
      </c>
      <c r="K205" s="8">
        <f>Table2[[#This Row],[Unit Cost]]*Table2[[#This Row],[Quantity]]</f>
        <v>159</v>
      </c>
      <c r="L205" s="8">
        <f>Table2[[#This Row],[Gross Sales]]-Table2[[#This Row],[COGS]]</f>
        <v>100</v>
      </c>
      <c r="M205" s="9">
        <f t="shared" si="3"/>
        <v>0.38610038610038611</v>
      </c>
      <c r="N205" s="7">
        <v>12.95</v>
      </c>
      <c r="O205" s="7">
        <v>271.95</v>
      </c>
      <c r="P205" s="10">
        <v>43502</v>
      </c>
      <c r="Q205" s="10" t="str">
        <f>TEXT(Table2[[#This Row],[Date]],"mmm")</f>
        <v>Feb</v>
      </c>
      <c r="R205" s="11">
        <v>0.61875000000000002</v>
      </c>
      <c r="S205" s="6" t="s">
        <v>27</v>
      </c>
      <c r="T205" s="7">
        <v>8.6999999999999993</v>
      </c>
      <c r="U205" s="6">
        <f>IF(_xlfn.XLOOKUP(A205,[1]Data2!$A:$A,[1]Data2!$B:$B,"no")="yes",1,0)</f>
        <v>0</v>
      </c>
    </row>
    <row r="206" spans="1:21" s="6" customFormat="1" x14ac:dyDescent="0.3">
      <c r="A206" s="6" t="s">
        <v>244</v>
      </c>
      <c r="B206" s="6" t="s">
        <v>46</v>
      </c>
      <c r="C206" s="6" t="s">
        <v>47</v>
      </c>
      <c r="D206" s="6" t="s">
        <v>24</v>
      </c>
      <c r="E206" s="6" t="s">
        <v>35</v>
      </c>
      <c r="F206" s="6" t="s">
        <v>36</v>
      </c>
      <c r="G206" s="7">
        <f>Table2[[#This Row],[Unit price]]-10</f>
        <v>7.77</v>
      </c>
      <c r="H206" s="7">
        <v>17.77</v>
      </c>
      <c r="I206" s="8">
        <v>5</v>
      </c>
      <c r="J206" s="8">
        <f>Table2[[#This Row],[Unit price]]*Table2[[#This Row],[Quantity]]</f>
        <v>88.85</v>
      </c>
      <c r="K206" s="8">
        <f>Table2[[#This Row],[Unit Cost]]*Table2[[#This Row],[Quantity]]</f>
        <v>38.849999999999994</v>
      </c>
      <c r="L206" s="8">
        <f>Table2[[#This Row],[Gross Sales]]-Table2[[#This Row],[COGS]]</f>
        <v>50</v>
      </c>
      <c r="M206" s="9">
        <f t="shared" si="3"/>
        <v>0.56274620146314014</v>
      </c>
      <c r="N206" s="7">
        <v>4.4424999999999999</v>
      </c>
      <c r="O206" s="7">
        <v>93.292500000000004</v>
      </c>
      <c r="P206" s="10">
        <v>43511</v>
      </c>
      <c r="Q206" s="10" t="str">
        <f>TEXT(Table2[[#This Row],[Date]],"mmm")</f>
        <v>Feb</v>
      </c>
      <c r="R206" s="11">
        <v>0.52916666666666667</v>
      </c>
      <c r="S206" s="6" t="s">
        <v>37</v>
      </c>
      <c r="T206" s="7">
        <v>5.4</v>
      </c>
      <c r="U206" s="6">
        <f>IF(_xlfn.XLOOKUP(A206,[1]Data2!$A:$A,[1]Data2!$B:$B,"no")="yes",1,0)</f>
        <v>1</v>
      </c>
    </row>
    <row r="207" spans="1:21" s="6" customFormat="1" x14ac:dyDescent="0.3">
      <c r="A207" s="6" t="s">
        <v>245</v>
      </c>
      <c r="B207" s="6" t="s">
        <v>22</v>
      </c>
      <c r="C207" s="6" t="s">
        <v>23</v>
      </c>
      <c r="D207" s="6" t="s">
        <v>31</v>
      </c>
      <c r="E207" s="6" t="s">
        <v>25</v>
      </c>
      <c r="F207" s="6" t="s">
        <v>26</v>
      </c>
      <c r="G207" s="7">
        <f>Table2[[#This Row],[Unit price]]-10</f>
        <v>13.030000000000001</v>
      </c>
      <c r="H207" s="7">
        <v>23.03</v>
      </c>
      <c r="I207" s="8">
        <v>9</v>
      </c>
      <c r="J207" s="8">
        <f>Table2[[#This Row],[Unit price]]*Table2[[#This Row],[Quantity]]</f>
        <v>207.27</v>
      </c>
      <c r="K207" s="8">
        <f>Table2[[#This Row],[Unit Cost]]*Table2[[#This Row],[Quantity]]</f>
        <v>117.27000000000001</v>
      </c>
      <c r="L207" s="8">
        <f>Table2[[#This Row],[Gross Sales]]-Table2[[#This Row],[COGS]]</f>
        <v>90</v>
      </c>
      <c r="M207" s="9">
        <f t="shared" si="3"/>
        <v>0.43421623968736428</v>
      </c>
      <c r="N207" s="7">
        <v>10.3635</v>
      </c>
      <c r="O207" s="7">
        <v>217.6335</v>
      </c>
      <c r="P207" s="10">
        <v>43468</v>
      </c>
      <c r="Q207" s="10" t="str">
        <f>TEXT(Table2[[#This Row],[Date]],"mmm")</f>
        <v>Jan</v>
      </c>
      <c r="R207" s="11">
        <v>0.50138888888888888</v>
      </c>
      <c r="S207" s="6" t="s">
        <v>27</v>
      </c>
      <c r="T207" s="7">
        <v>7.9</v>
      </c>
      <c r="U207" s="6">
        <f>IF(_xlfn.XLOOKUP(A207,[1]Data2!$A:$A,[1]Data2!$B:$B,"no")="yes",1,0)</f>
        <v>0</v>
      </c>
    </row>
    <row r="208" spans="1:21" s="6" customFormat="1" x14ac:dyDescent="0.3">
      <c r="A208" s="6" t="s">
        <v>246</v>
      </c>
      <c r="B208" s="6" t="s">
        <v>29</v>
      </c>
      <c r="C208" s="6" t="s">
        <v>30</v>
      </c>
      <c r="D208" s="6" t="s">
        <v>24</v>
      </c>
      <c r="E208" s="6" t="s">
        <v>25</v>
      </c>
      <c r="F208" s="6" t="s">
        <v>32</v>
      </c>
      <c r="G208" s="7">
        <f>Table2[[#This Row],[Unit price]]-10</f>
        <v>56.650000000000006</v>
      </c>
      <c r="H208" s="7">
        <v>66.650000000000006</v>
      </c>
      <c r="I208" s="8">
        <v>9</v>
      </c>
      <c r="J208" s="8">
        <f>Table2[[#This Row],[Unit price]]*Table2[[#This Row],[Quantity]]</f>
        <v>599.85</v>
      </c>
      <c r="K208" s="8">
        <f>Table2[[#This Row],[Unit Cost]]*Table2[[#This Row],[Quantity]]</f>
        <v>509.85</v>
      </c>
      <c r="L208" s="8">
        <f>Table2[[#This Row],[Gross Sales]]-Table2[[#This Row],[COGS]]</f>
        <v>90</v>
      </c>
      <c r="M208" s="9">
        <f t="shared" si="3"/>
        <v>0.15003750937734434</v>
      </c>
      <c r="N208" s="7">
        <v>29.9925</v>
      </c>
      <c r="O208" s="7">
        <v>629.84249999999997</v>
      </c>
      <c r="P208" s="10">
        <v>43469</v>
      </c>
      <c r="Q208" s="10" t="str">
        <f>TEXT(Table2[[#This Row],[Date]],"mmm")</f>
        <v>Jan</v>
      </c>
      <c r="R208" s="11">
        <v>0.7631944444444444</v>
      </c>
      <c r="S208" s="6" t="s">
        <v>37</v>
      </c>
      <c r="T208" s="7">
        <v>9.6999999999999993</v>
      </c>
      <c r="U208" s="6">
        <f>IF(_xlfn.XLOOKUP(A208,[1]Data2!$A:$A,[1]Data2!$B:$B,"no")="yes",1,0)</f>
        <v>0</v>
      </c>
    </row>
    <row r="209" spans="1:21" s="6" customFormat="1" x14ac:dyDescent="0.3">
      <c r="A209" s="6" t="s">
        <v>247</v>
      </c>
      <c r="B209" s="6" t="s">
        <v>29</v>
      </c>
      <c r="C209" s="6" t="s">
        <v>30</v>
      </c>
      <c r="D209" s="6" t="s">
        <v>24</v>
      </c>
      <c r="E209" s="6" t="s">
        <v>25</v>
      </c>
      <c r="F209" s="6" t="s">
        <v>36</v>
      </c>
      <c r="G209" s="7">
        <f>Table2[[#This Row],[Unit price]]-10</f>
        <v>18.53</v>
      </c>
      <c r="H209" s="7">
        <v>28.53</v>
      </c>
      <c r="I209" s="8">
        <v>10</v>
      </c>
      <c r="J209" s="8">
        <f>Table2[[#This Row],[Unit price]]*Table2[[#This Row],[Quantity]]</f>
        <v>285.3</v>
      </c>
      <c r="K209" s="8">
        <f>Table2[[#This Row],[Unit Cost]]*Table2[[#This Row],[Quantity]]</f>
        <v>185.3</v>
      </c>
      <c r="L209" s="8">
        <f>Table2[[#This Row],[Gross Sales]]-Table2[[#This Row],[COGS]]</f>
        <v>100</v>
      </c>
      <c r="M209" s="9">
        <f t="shared" si="3"/>
        <v>0.35050823694356814</v>
      </c>
      <c r="N209" s="7">
        <v>14.265000000000001</v>
      </c>
      <c r="O209" s="7">
        <v>299.565</v>
      </c>
      <c r="P209" s="10">
        <v>43542</v>
      </c>
      <c r="Q209" s="10" t="str">
        <f>TEXT(Table2[[#This Row],[Date]],"mmm")</f>
        <v>Mar</v>
      </c>
      <c r="R209" s="11">
        <v>0.73472222222222217</v>
      </c>
      <c r="S209" s="6" t="s">
        <v>27</v>
      </c>
      <c r="T209" s="7">
        <v>7.8</v>
      </c>
      <c r="U209" s="6">
        <f>IF(_xlfn.XLOOKUP(A209,[1]Data2!$A:$A,[1]Data2!$B:$B,"no")="yes",1,0)</f>
        <v>0</v>
      </c>
    </row>
    <row r="210" spans="1:21" s="6" customFormat="1" x14ac:dyDescent="0.3">
      <c r="A210" s="6" t="s">
        <v>248</v>
      </c>
      <c r="B210" s="6" t="s">
        <v>46</v>
      </c>
      <c r="C210" s="6" t="s">
        <v>47</v>
      </c>
      <c r="D210" s="6" t="s">
        <v>31</v>
      </c>
      <c r="E210" s="6" t="s">
        <v>25</v>
      </c>
      <c r="F210" s="6" t="s">
        <v>50</v>
      </c>
      <c r="G210" s="7">
        <f>Table2[[#This Row],[Unit price]]-10</f>
        <v>20.37</v>
      </c>
      <c r="H210" s="7">
        <v>30.37</v>
      </c>
      <c r="I210" s="8">
        <v>3</v>
      </c>
      <c r="J210" s="8">
        <f>Table2[[#This Row],[Unit price]]*Table2[[#This Row],[Quantity]]</f>
        <v>91.11</v>
      </c>
      <c r="K210" s="8">
        <f>Table2[[#This Row],[Unit Cost]]*Table2[[#This Row],[Quantity]]</f>
        <v>61.11</v>
      </c>
      <c r="L210" s="8">
        <f>Table2[[#This Row],[Gross Sales]]-Table2[[#This Row],[COGS]]</f>
        <v>30</v>
      </c>
      <c r="M210" s="9">
        <f t="shared" si="3"/>
        <v>0.32927230819888048</v>
      </c>
      <c r="N210" s="7">
        <v>4.5555000000000003</v>
      </c>
      <c r="O210" s="7">
        <v>95.665499999999994</v>
      </c>
      <c r="P210" s="10">
        <v>43552</v>
      </c>
      <c r="Q210" s="10" t="str">
        <f>TEXT(Table2[[#This Row],[Date]],"mmm")</f>
        <v>Mar</v>
      </c>
      <c r="R210" s="11">
        <v>0.57013888888888886</v>
      </c>
      <c r="S210" s="6" t="s">
        <v>27</v>
      </c>
      <c r="T210" s="7">
        <v>5.0999999999999996</v>
      </c>
      <c r="U210" s="6">
        <f>IF(_xlfn.XLOOKUP(A210,[1]Data2!$A:$A,[1]Data2!$B:$B,"no")="yes",1,0)</f>
        <v>1</v>
      </c>
    </row>
    <row r="211" spans="1:21" s="6" customFormat="1" x14ac:dyDescent="0.3">
      <c r="A211" s="6" t="s">
        <v>249</v>
      </c>
      <c r="B211" s="6" t="s">
        <v>46</v>
      </c>
      <c r="C211" s="6" t="s">
        <v>47</v>
      </c>
      <c r="D211" s="6" t="s">
        <v>31</v>
      </c>
      <c r="E211" s="6" t="s">
        <v>25</v>
      </c>
      <c r="F211" s="6" t="s">
        <v>32</v>
      </c>
      <c r="G211" s="7">
        <f>Table2[[#This Row],[Unit price]]-10</f>
        <v>89.73</v>
      </c>
      <c r="H211" s="7">
        <v>99.73</v>
      </c>
      <c r="I211" s="8">
        <v>9</v>
      </c>
      <c r="J211" s="8">
        <f>Table2[[#This Row],[Unit price]]*Table2[[#This Row],[Quantity]]</f>
        <v>897.57</v>
      </c>
      <c r="K211" s="8">
        <f>Table2[[#This Row],[Unit Cost]]*Table2[[#This Row],[Quantity]]</f>
        <v>807.57</v>
      </c>
      <c r="L211" s="8">
        <f>Table2[[#This Row],[Gross Sales]]-Table2[[#This Row],[COGS]]</f>
        <v>90</v>
      </c>
      <c r="M211" s="9">
        <f t="shared" si="3"/>
        <v>0.10027073097362879</v>
      </c>
      <c r="N211" s="7">
        <v>44.878500000000003</v>
      </c>
      <c r="O211" s="7">
        <v>942.44849999999997</v>
      </c>
      <c r="P211" s="10">
        <v>43526</v>
      </c>
      <c r="Q211" s="10" t="str">
        <f>TEXT(Table2[[#This Row],[Date]],"mmm")</f>
        <v>Mar</v>
      </c>
      <c r="R211" s="11">
        <v>0.8208333333333333</v>
      </c>
      <c r="S211" s="6" t="s">
        <v>37</v>
      </c>
      <c r="T211" s="7">
        <v>6.5</v>
      </c>
      <c r="U211" s="6">
        <f>IF(_xlfn.XLOOKUP(A211,[1]Data2!$A:$A,[1]Data2!$B:$B,"no")="yes",1,0)</f>
        <v>0</v>
      </c>
    </row>
    <row r="212" spans="1:21" s="6" customFormat="1" x14ac:dyDescent="0.3">
      <c r="A212" s="6" t="s">
        <v>250</v>
      </c>
      <c r="B212" s="6" t="s">
        <v>22</v>
      </c>
      <c r="C212" s="6" t="s">
        <v>23</v>
      </c>
      <c r="D212" s="6" t="s">
        <v>31</v>
      </c>
      <c r="E212" s="6" t="s">
        <v>35</v>
      </c>
      <c r="F212" s="6" t="s">
        <v>32</v>
      </c>
      <c r="G212" s="7">
        <f>Table2[[#This Row],[Unit price]]-10</f>
        <v>16.23</v>
      </c>
      <c r="H212" s="7">
        <v>26.23</v>
      </c>
      <c r="I212" s="8">
        <v>9</v>
      </c>
      <c r="J212" s="8">
        <f>Table2[[#This Row],[Unit price]]*Table2[[#This Row],[Quantity]]</f>
        <v>236.07</v>
      </c>
      <c r="K212" s="8">
        <f>Table2[[#This Row],[Unit Cost]]*Table2[[#This Row],[Quantity]]</f>
        <v>146.07</v>
      </c>
      <c r="L212" s="8">
        <f>Table2[[#This Row],[Gross Sales]]-Table2[[#This Row],[COGS]]</f>
        <v>90</v>
      </c>
      <c r="M212" s="9">
        <f t="shared" si="3"/>
        <v>0.38124285169653072</v>
      </c>
      <c r="N212" s="7">
        <v>11.8035</v>
      </c>
      <c r="O212" s="7">
        <v>247.87350000000001</v>
      </c>
      <c r="P212" s="10">
        <v>43490</v>
      </c>
      <c r="Q212" s="10" t="str">
        <f>TEXT(Table2[[#This Row],[Date]],"mmm")</f>
        <v>Jan</v>
      </c>
      <c r="R212" s="11">
        <v>0.85</v>
      </c>
      <c r="S212" s="6" t="s">
        <v>27</v>
      </c>
      <c r="T212" s="7">
        <v>5.9</v>
      </c>
      <c r="U212" s="6">
        <f>IF(_xlfn.XLOOKUP(A212,[1]Data2!$A:$A,[1]Data2!$B:$B,"no")="yes",1,0)</f>
        <v>0</v>
      </c>
    </row>
    <row r="213" spans="1:21" s="6" customFormat="1" x14ac:dyDescent="0.3">
      <c r="A213" s="6" t="s">
        <v>251</v>
      </c>
      <c r="B213" s="6" t="s">
        <v>29</v>
      </c>
      <c r="C213" s="6" t="s">
        <v>30</v>
      </c>
      <c r="D213" s="6" t="s">
        <v>31</v>
      </c>
      <c r="E213" s="6" t="s">
        <v>25</v>
      </c>
      <c r="F213" s="6" t="s">
        <v>48</v>
      </c>
      <c r="G213" s="7">
        <f>Table2[[#This Row],[Unit price]]-10</f>
        <v>83.26</v>
      </c>
      <c r="H213" s="7">
        <v>93.26</v>
      </c>
      <c r="I213" s="8">
        <v>9</v>
      </c>
      <c r="J213" s="8">
        <f>Table2[[#This Row],[Unit price]]*Table2[[#This Row],[Quantity]]</f>
        <v>839.34</v>
      </c>
      <c r="K213" s="8">
        <f>Table2[[#This Row],[Unit Cost]]*Table2[[#This Row],[Quantity]]</f>
        <v>749.34</v>
      </c>
      <c r="L213" s="8">
        <f>Table2[[#This Row],[Gross Sales]]-Table2[[#This Row],[COGS]]</f>
        <v>90</v>
      </c>
      <c r="M213" s="9">
        <f t="shared" si="3"/>
        <v>0.1072271070126528</v>
      </c>
      <c r="N213" s="7">
        <v>41.966999999999999</v>
      </c>
      <c r="O213" s="7">
        <v>881.30700000000002</v>
      </c>
      <c r="P213" s="10">
        <v>43481</v>
      </c>
      <c r="Q213" s="10" t="str">
        <f>TEXT(Table2[[#This Row],[Date]],"mmm")</f>
        <v>Jan</v>
      </c>
      <c r="R213" s="11">
        <v>0.75555555555555554</v>
      </c>
      <c r="S213" s="6" t="s">
        <v>33</v>
      </c>
      <c r="T213" s="7">
        <v>8.8000000000000007</v>
      </c>
      <c r="U213" s="6">
        <f>IF(_xlfn.XLOOKUP(A213,[1]Data2!$A:$A,[1]Data2!$B:$B,"no")="yes",1,0)</f>
        <v>0</v>
      </c>
    </row>
    <row r="214" spans="1:21" s="6" customFormat="1" x14ac:dyDescent="0.3">
      <c r="A214" s="6" t="s">
        <v>252</v>
      </c>
      <c r="B214" s="6" t="s">
        <v>46</v>
      </c>
      <c r="C214" s="6" t="s">
        <v>47</v>
      </c>
      <c r="D214" s="6" t="s">
        <v>31</v>
      </c>
      <c r="E214" s="6" t="s">
        <v>35</v>
      </c>
      <c r="F214" s="6" t="s">
        <v>36</v>
      </c>
      <c r="G214" s="7">
        <f>Table2[[#This Row],[Unit price]]-10</f>
        <v>82.36</v>
      </c>
      <c r="H214" s="7">
        <v>92.36</v>
      </c>
      <c r="I214" s="8">
        <v>5</v>
      </c>
      <c r="J214" s="8">
        <f>Table2[[#This Row],[Unit price]]*Table2[[#This Row],[Quantity]]</f>
        <v>461.8</v>
      </c>
      <c r="K214" s="8">
        <f>Table2[[#This Row],[Unit Cost]]*Table2[[#This Row],[Quantity]]</f>
        <v>411.8</v>
      </c>
      <c r="L214" s="8">
        <f>Table2[[#This Row],[Gross Sales]]-Table2[[#This Row],[COGS]]</f>
        <v>50</v>
      </c>
      <c r="M214" s="9">
        <f t="shared" si="3"/>
        <v>0.10827197921177999</v>
      </c>
      <c r="N214" s="7">
        <v>23.09</v>
      </c>
      <c r="O214" s="7">
        <v>484.89</v>
      </c>
      <c r="P214" s="10">
        <v>43544</v>
      </c>
      <c r="Q214" s="10" t="str">
        <f>TEXT(Table2[[#This Row],[Date]],"mmm")</f>
        <v>Mar</v>
      </c>
      <c r="R214" s="11">
        <v>0.80347222222222225</v>
      </c>
      <c r="S214" s="6" t="s">
        <v>27</v>
      </c>
      <c r="T214" s="7">
        <v>4.9000000000000004</v>
      </c>
      <c r="U214" s="6">
        <f>IF(_xlfn.XLOOKUP(A214,[1]Data2!$A:$A,[1]Data2!$B:$B,"no")="yes",1,0)</f>
        <v>1</v>
      </c>
    </row>
    <row r="215" spans="1:21" s="6" customFormat="1" x14ac:dyDescent="0.3">
      <c r="A215" s="6" t="s">
        <v>253</v>
      </c>
      <c r="B215" s="6" t="s">
        <v>46</v>
      </c>
      <c r="C215" s="6" t="s">
        <v>47</v>
      </c>
      <c r="D215" s="6" t="s">
        <v>31</v>
      </c>
      <c r="E215" s="6" t="s">
        <v>35</v>
      </c>
      <c r="F215" s="6" t="s">
        <v>40</v>
      </c>
      <c r="G215" s="7">
        <f>Table2[[#This Row],[Unit price]]-10</f>
        <v>36.42</v>
      </c>
      <c r="H215" s="7">
        <v>46.42</v>
      </c>
      <c r="I215" s="8">
        <v>3</v>
      </c>
      <c r="J215" s="8">
        <f>Table2[[#This Row],[Unit price]]*Table2[[#This Row],[Quantity]]</f>
        <v>139.26</v>
      </c>
      <c r="K215" s="8">
        <f>Table2[[#This Row],[Unit Cost]]*Table2[[#This Row],[Quantity]]</f>
        <v>109.26</v>
      </c>
      <c r="L215" s="8">
        <f>Table2[[#This Row],[Gross Sales]]-Table2[[#This Row],[COGS]]</f>
        <v>29.999999999999986</v>
      </c>
      <c r="M215" s="9">
        <f t="shared" si="3"/>
        <v>0.21542438604049971</v>
      </c>
      <c r="N215" s="7">
        <v>6.9630000000000001</v>
      </c>
      <c r="O215" s="7">
        <v>146.22300000000001</v>
      </c>
      <c r="P215" s="10">
        <v>43469</v>
      </c>
      <c r="Q215" s="10" t="str">
        <f>TEXT(Table2[[#This Row],[Date]],"mmm")</f>
        <v>Jan</v>
      </c>
      <c r="R215" s="11">
        <v>0.55833333333333335</v>
      </c>
      <c r="S215" s="6" t="s">
        <v>37</v>
      </c>
      <c r="T215" s="7">
        <v>4.4000000000000004</v>
      </c>
      <c r="U215" s="6">
        <f>IF(_xlfn.XLOOKUP(A215,[1]Data2!$A:$A,[1]Data2!$B:$B,"no")="yes",1,0)</f>
        <v>0</v>
      </c>
    </row>
    <row r="216" spans="1:21" s="6" customFormat="1" x14ac:dyDescent="0.3">
      <c r="A216" s="6" t="s">
        <v>254</v>
      </c>
      <c r="B216" s="6" t="s">
        <v>46</v>
      </c>
      <c r="C216" s="6" t="s">
        <v>47</v>
      </c>
      <c r="D216" s="6" t="s">
        <v>24</v>
      </c>
      <c r="E216" s="6" t="s">
        <v>25</v>
      </c>
      <c r="F216" s="6" t="s">
        <v>40</v>
      </c>
      <c r="G216" s="7">
        <f>Table2[[#This Row],[Unit price]]-10</f>
        <v>19.61</v>
      </c>
      <c r="H216" s="7">
        <v>29.61</v>
      </c>
      <c r="I216" s="8">
        <v>7</v>
      </c>
      <c r="J216" s="8">
        <f>Table2[[#This Row],[Unit price]]*Table2[[#This Row],[Quantity]]</f>
        <v>207.26999999999998</v>
      </c>
      <c r="K216" s="8">
        <f>Table2[[#This Row],[Unit Cost]]*Table2[[#This Row],[Quantity]]</f>
        <v>137.26999999999998</v>
      </c>
      <c r="L216" s="8">
        <f>Table2[[#This Row],[Gross Sales]]-Table2[[#This Row],[COGS]]</f>
        <v>70</v>
      </c>
      <c r="M216" s="9">
        <f t="shared" si="3"/>
        <v>0.33772374197906113</v>
      </c>
      <c r="N216" s="7">
        <v>10.3635</v>
      </c>
      <c r="O216" s="7">
        <v>217.6335</v>
      </c>
      <c r="P216" s="10">
        <v>43535</v>
      </c>
      <c r="Q216" s="10" t="str">
        <f>TEXT(Table2[[#This Row],[Date]],"mmm")</f>
        <v>Mar</v>
      </c>
      <c r="R216" s="11">
        <v>0.66180555555555554</v>
      </c>
      <c r="S216" s="6" t="s">
        <v>33</v>
      </c>
      <c r="T216" s="7">
        <v>6.5</v>
      </c>
      <c r="U216" s="6">
        <f>IF(_xlfn.XLOOKUP(A216,[1]Data2!$A:$A,[1]Data2!$B:$B,"no")="yes",1,0)</f>
        <v>0</v>
      </c>
    </row>
    <row r="217" spans="1:21" s="6" customFormat="1" x14ac:dyDescent="0.3">
      <c r="A217" s="6" t="s">
        <v>255</v>
      </c>
      <c r="B217" s="6" t="s">
        <v>22</v>
      </c>
      <c r="C217" s="6" t="s">
        <v>23</v>
      </c>
      <c r="D217" s="6" t="s">
        <v>31</v>
      </c>
      <c r="E217" s="6" t="s">
        <v>35</v>
      </c>
      <c r="F217" s="6" t="s">
        <v>36</v>
      </c>
      <c r="G217" s="7">
        <f>Table2[[#This Row],[Unit price]]-10</f>
        <v>8.2800000000000011</v>
      </c>
      <c r="H217" s="7">
        <v>18.28</v>
      </c>
      <c r="I217" s="8">
        <v>1</v>
      </c>
      <c r="J217" s="8">
        <f>Table2[[#This Row],[Unit price]]*Table2[[#This Row],[Quantity]]</f>
        <v>18.28</v>
      </c>
      <c r="K217" s="8">
        <f>Table2[[#This Row],[Unit Cost]]*Table2[[#This Row],[Quantity]]</f>
        <v>8.2800000000000011</v>
      </c>
      <c r="L217" s="8">
        <f>Table2[[#This Row],[Gross Sales]]-Table2[[#This Row],[COGS]]</f>
        <v>10</v>
      </c>
      <c r="M217" s="9">
        <f t="shared" si="3"/>
        <v>0.54704595185995619</v>
      </c>
      <c r="N217" s="7">
        <v>0.91400000000000003</v>
      </c>
      <c r="O217" s="7">
        <v>19.193999999999999</v>
      </c>
      <c r="P217" s="10">
        <v>43546</v>
      </c>
      <c r="Q217" s="10" t="str">
        <f>TEXT(Table2[[#This Row],[Date]],"mmm")</f>
        <v>Mar</v>
      </c>
      <c r="R217" s="11">
        <v>0.62847222222222221</v>
      </c>
      <c r="S217" s="6" t="s">
        <v>37</v>
      </c>
      <c r="T217" s="7">
        <v>8.3000000000000007</v>
      </c>
      <c r="U217" s="6">
        <f>IF(_xlfn.XLOOKUP(A217,[1]Data2!$A:$A,[1]Data2!$B:$B,"no")="yes",1,0)</f>
        <v>0</v>
      </c>
    </row>
    <row r="218" spans="1:21" s="6" customFormat="1" x14ac:dyDescent="0.3">
      <c r="A218" s="6" t="s">
        <v>256</v>
      </c>
      <c r="B218" s="6" t="s">
        <v>46</v>
      </c>
      <c r="C218" s="6" t="s">
        <v>47</v>
      </c>
      <c r="D218" s="6" t="s">
        <v>31</v>
      </c>
      <c r="E218" s="6" t="s">
        <v>25</v>
      </c>
      <c r="F218" s="6" t="s">
        <v>40</v>
      </c>
      <c r="G218" s="7">
        <f>Table2[[#This Row],[Unit price]]-10</f>
        <v>14.77</v>
      </c>
      <c r="H218" s="7">
        <v>24.77</v>
      </c>
      <c r="I218" s="8">
        <v>5</v>
      </c>
      <c r="J218" s="8">
        <f>Table2[[#This Row],[Unit price]]*Table2[[#This Row],[Quantity]]</f>
        <v>123.85</v>
      </c>
      <c r="K218" s="8">
        <f>Table2[[#This Row],[Unit Cost]]*Table2[[#This Row],[Quantity]]</f>
        <v>73.849999999999994</v>
      </c>
      <c r="L218" s="8">
        <f>Table2[[#This Row],[Gross Sales]]-Table2[[#This Row],[COGS]]</f>
        <v>50</v>
      </c>
      <c r="M218" s="9">
        <f t="shared" si="3"/>
        <v>0.40371417036737989</v>
      </c>
      <c r="N218" s="7">
        <v>6.1924999999999999</v>
      </c>
      <c r="O218" s="7">
        <v>130.04249999999999</v>
      </c>
      <c r="P218" s="10">
        <v>43548</v>
      </c>
      <c r="Q218" s="10" t="str">
        <f>TEXT(Table2[[#This Row],[Date]],"mmm")</f>
        <v>Mar</v>
      </c>
      <c r="R218" s="11">
        <v>0.76874999999999993</v>
      </c>
      <c r="S218" s="6" t="s">
        <v>33</v>
      </c>
      <c r="T218" s="7">
        <v>8.5</v>
      </c>
      <c r="U218" s="6">
        <f>IF(_xlfn.XLOOKUP(A218,[1]Data2!$A:$A,[1]Data2!$B:$B,"no")="yes",1,0)</f>
        <v>1</v>
      </c>
    </row>
    <row r="219" spans="1:21" s="6" customFormat="1" x14ac:dyDescent="0.3">
      <c r="A219" s="6" t="s">
        <v>257</v>
      </c>
      <c r="B219" s="6" t="s">
        <v>22</v>
      </c>
      <c r="C219" s="6" t="s">
        <v>23</v>
      </c>
      <c r="D219" s="6" t="s">
        <v>24</v>
      </c>
      <c r="E219" s="6" t="s">
        <v>25</v>
      </c>
      <c r="F219" s="6" t="s">
        <v>32</v>
      </c>
      <c r="G219" s="7">
        <f>Table2[[#This Row],[Unit price]]-10</f>
        <v>84.64</v>
      </c>
      <c r="H219" s="7">
        <v>94.64</v>
      </c>
      <c r="I219" s="8">
        <v>3</v>
      </c>
      <c r="J219" s="8">
        <f>Table2[[#This Row],[Unit price]]*Table2[[#This Row],[Quantity]]</f>
        <v>283.92</v>
      </c>
      <c r="K219" s="8">
        <f>Table2[[#This Row],[Unit Cost]]*Table2[[#This Row],[Quantity]]</f>
        <v>253.92000000000002</v>
      </c>
      <c r="L219" s="8">
        <f>Table2[[#This Row],[Gross Sales]]-Table2[[#This Row],[COGS]]</f>
        <v>30</v>
      </c>
      <c r="M219" s="9">
        <f t="shared" si="3"/>
        <v>0.10566356720202874</v>
      </c>
      <c r="N219" s="7">
        <v>14.196</v>
      </c>
      <c r="O219" s="7">
        <v>298.11599999999999</v>
      </c>
      <c r="P219" s="10">
        <v>43517</v>
      </c>
      <c r="Q219" s="10" t="str">
        <f>TEXT(Table2[[#This Row],[Date]],"mmm")</f>
        <v>Feb</v>
      </c>
      <c r="R219" s="11">
        <v>0.70486111111111116</v>
      </c>
      <c r="S219" s="6" t="s">
        <v>33</v>
      </c>
      <c r="T219" s="7">
        <v>5.5</v>
      </c>
      <c r="U219" s="6">
        <f>IF(_xlfn.XLOOKUP(A219,[1]Data2!$A:$A,[1]Data2!$B:$B,"no")="yes",1,0)</f>
        <v>0</v>
      </c>
    </row>
    <row r="220" spans="1:21" s="6" customFormat="1" x14ac:dyDescent="0.3">
      <c r="A220" s="6" t="s">
        <v>258</v>
      </c>
      <c r="B220" s="6" t="s">
        <v>46</v>
      </c>
      <c r="C220" s="6" t="s">
        <v>47</v>
      </c>
      <c r="D220" s="6" t="s">
        <v>31</v>
      </c>
      <c r="E220" s="6" t="s">
        <v>35</v>
      </c>
      <c r="F220" s="6" t="s">
        <v>50</v>
      </c>
      <c r="G220" s="7">
        <f>Table2[[#This Row],[Unit price]]-10</f>
        <v>84.87</v>
      </c>
      <c r="H220" s="7">
        <v>94.87</v>
      </c>
      <c r="I220" s="8">
        <v>8</v>
      </c>
      <c r="J220" s="8">
        <f>Table2[[#This Row],[Unit price]]*Table2[[#This Row],[Quantity]]</f>
        <v>758.96</v>
      </c>
      <c r="K220" s="8">
        <f>Table2[[#This Row],[Unit Cost]]*Table2[[#This Row],[Quantity]]</f>
        <v>678.96</v>
      </c>
      <c r="L220" s="8">
        <f>Table2[[#This Row],[Gross Sales]]-Table2[[#This Row],[COGS]]</f>
        <v>80</v>
      </c>
      <c r="M220" s="9">
        <f t="shared" si="3"/>
        <v>0.10540739959945188</v>
      </c>
      <c r="N220" s="7">
        <v>37.948</v>
      </c>
      <c r="O220" s="7">
        <v>796.90800000000002</v>
      </c>
      <c r="P220" s="10">
        <v>43508</v>
      </c>
      <c r="Q220" s="10" t="str">
        <f>TEXT(Table2[[#This Row],[Date]],"mmm")</f>
        <v>Feb</v>
      </c>
      <c r="R220" s="11">
        <v>0.54027777777777775</v>
      </c>
      <c r="S220" s="6" t="s">
        <v>27</v>
      </c>
      <c r="T220" s="7">
        <v>8.6999999999999993</v>
      </c>
      <c r="U220" s="6">
        <f>IF(_xlfn.XLOOKUP(A220,[1]Data2!$A:$A,[1]Data2!$B:$B,"no")="yes",1,0)</f>
        <v>0</v>
      </c>
    </row>
    <row r="221" spans="1:21" s="6" customFormat="1" x14ac:dyDescent="0.3">
      <c r="A221" s="6" t="s">
        <v>259</v>
      </c>
      <c r="B221" s="6" t="s">
        <v>46</v>
      </c>
      <c r="C221" s="6" t="s">
        <v>47</v>
      </c>
      <c r="D221" s="6" t="s">
        <v>31</v>
      </c>
      <c r="E221" s="6" t="s">
        <v>25</v>
      </c>
      <c r="F221" s="6" t="s">
        <v>48</v>
      </c>
      <c r="G221" s="7">
        <f>Table2[[#This Row],[Unit price]]-10</f>
        <v>47.34</v>
      </c>
      <c r="H221" s="7">
        <v>57.34</v>
      </c>
      <c r="I221" s="8">
        <v>3</v>
      </c>
      <c r="J221" s="8">
        <f>Table2[[#This Row],[Unit price]]*Table2[[#This Row],[Quantity]]</f>
        <v>172.02</v>
      </c>
      <c r="K221" s="8">
        <f>Table2[[#This Row],[Unit Cost]]*Table2[[#This Row],[Quantity]]</f>
        <v>142.02000000000001</v>
      </c>
      <c r="L221" s="8">
        <f>Table2[[#This Row],[Gross Sales]]-Table2[[#This Row],[COGS]]</f>
        <v>30</v>
      </c>
      <c r="M221" s="9">
        <f t="shared" si="3"/>
        <v>0.17439832577607253</v>
      </c>
      <c r="N221" s="7">
        <v>8.6010000000000009</v>
      </c>
      <c r="O221" s="7">
        <v>180.62100000000001</v>
      </c>
      <c r="P221" s="10">
        <v>43534</v>
      </c>
      <c r="Q221" s="10" t="str">
        <f>TEXT(Table2[[#This Row],[Date]],"mmm")</f>
        <v>Mar</v>
      </c>
      <c r="R221" s="11">
        <v>0.7909722222222223</v>
      </c>
      <c r="S221" s="6" t="s">
        <v>37</v>
      </c>
      <c r="T221" s="7">
        <v>7.9</v>
      </c>
      <c r="U221" s="6">
        <f>IF(_xlfn.XLOOKUP(A221,[1]Data2!$A:$A,[1]Data2!$B:$B,"no")="yes",1,0)</f>
        <v>0</v>
      </c>
    </row>
    <row r="222" spans="1:21" s="6" customFormat="1" x14ac:dyDescent="0.3">
      <c r="A222" s="6" t="s">
        <v>260</v>
      </c>
      <c r="B222" s="6" t="s">
        <v>46</v>
      </c>
      <c r="C222" s="6" t="s">
        <v>47</v>
      </c>
      <c r="D222" s="6" t="s">
        <v>31</v>
      </c>
      <c r="E222" s="6" t="s">
        <v>35</v>
      </c>
      <c r="F222" s="6" t="s">
        <v>32</v>
      </c>
      <c r="G222" s="7">
        <f>Table2[[#This Row],[Unit price]]-10</f>
        <v>35.35</v>
      </c>
      <c r="H222" s="7">
        <v>45.35</v>
      </c>
      <c r="I222" s="8">
        <v>6</v>
      </c>
      <c r="J222" s="8">
        <f>Table2[[#This Row],[Unit price]]*Table2[[#This Row],[Quantity]]</f>
        <v>272.10000000000002</v>
      </c>
      <c r="K222" s="8">
        <f>Table2[[#This Row],[Unit Cost]]*Table2[[#This Row],[Quantity]]</f>
        <v>212.10000000000002</v>
      </c>
      <c r="L222" s="8">
        <f>Table2[[#This Row],[Gross Sales]]-Table2[[#This Row],[COGS]]</f>
        <v>60</v>
      </c>
      <c r="M222" s="9">
        <f t="shared" si="3"/>
        <v>0.22050716648291069</v>
      </c>
      <c r="N222" s="7">
        <v>13.605</v>
      </c>
      <c r="O222" s="7">
        <v>285.70499999999998</v>
      </c>
      <c r="P222" s="10">
        <v>43496</v>
      </c>
      <c r="Q222" s="10" t="str">
        <f>TEXT(Table2[[#This Row],[Date]],"mmm")</f>
        <v>Jan</v>
      </c>
      <c r="R222" s="11">
        <v>0.57222222222222219</v>
      </c>
      <c r="S222" s="6" t="s">
        <v>27</v>
      </c>
      <c r="T222" s="7">
        <v>6.1</v>
      </c>
      <c r="U222" s="6">
        <f>IF(_xlfn.XLOOKUP(A222,[1]Data2!$A:$A,[1]Data2!$B:$B,"no")="yes",1,0)</f>
        <v>1</v>
      </c>
    </row>
    <row r="223" spans="1:21" s="6" customFormat="1" x14ac:dyDescent="0.3">
      <c r="A223" s="6" t="s">
        <v>261</v>
      </c>
      <c r="B223" s="6" t="s">
        <v>46</v>
      </c>
      <c r="C223" s="6" t="s">
        <v>47</v>
      </c>
      <c r="D223" s="6" t="s">
        <v>31</v>
      </c>
      <c r="E223" s="6" t="s">
        <v>35</v>
      </c>
      <c r="F223" s="6" t="s">
        <v>48</v>
      </c>
      <c r="G223" s="7">
        <f>Table2[[#This Row],[Unit price]]-10</f>
        <v>52.08</v>
      </c>
      <c r="H223" s="7">
        <v>62.08</v>
      </c>
      <c r="I223" s="8">
        <v>7</v>
      </c>
      <c r="J223" s="8">
        <f>Table2[[#This Row],[Unit price]]*Table2[[#This Row],[Quantity]]</f>
        <v>434.56</v>
      </c>
      <c r="K223" s="8">
        <f>Table2[[#This Row],[Unit Cost]]*Table2[[#This Row],[Quantity]]</f>
        <v>364.56</v>
      </c>
      <c r="L223" s="8">
        <f>Table2[[#This Row],[Gross Sales]]-Table2[[#This Row],[COGS]]</f>
        <v>70</v>
      </c>
      <c r="M223" s="9">
        <f t="shared" si="3"/>
        <v>0.16108247422680413</v>
      </c>
      <c r="N223" s="7">
        <v>21.728000000000002</v>
      </c>
      <c r="O223" s="7">
        <v>456.28800000000001</v>
      </c>
      <c r="P223" s="10">
        <v>43530</v>
      </c>
      <c r="Q223" s="10" t="str">
        <f>TEXT(Table2[[#This Row],[Date]],"mmm")</f>
        <v>Mar</v>
      </c>
      <c r="R223" s="11">
        <v>0.57361111111111118</v>
      </c>
      <c r="S223" s="6" t="s">
        <v>27</v>
      </c>
      <c r="T223" s="7">
        <v>5.4</v>
      </c>
      <c r="U223" s="6">
        <f>IF(_xlfn.XLOOKUP(A223,[1]Data2!$A:$A,[1]Data2!$B:$B,"no")="yes",1,0)</f>
        <v>0</v>
      </c>
    </row>
    <row r="224" spans="1:21" s="6" customFormat="1" x14ac:dyDescent="0.3">
      <c r="A224" s="6" t="s">
        <v>262</v>
      </c>
      <c r="B224" s="6" t="s">
        <v>29</v>
      </c>
      <c r="C224" s="6" t="s">
        <v>30</v>
      </c>
      <c r="D224" s="6" t="s">
        <v>31</v>
      </c>
      <c r="E224" s="6" t="s">
        <v>35</v>
      </c>
      <c r="F224" s="6" t="s">
        <v>32</v>
      </c>
      <c r="G224" s="7">
        <f>Table2[[#This Row],[Unit price]]-10</f>
        <v>1.8100000000000005</v>
      </c>
      <c r="H224" s="7">
        <v>11.81</v>
      </c>
      <c r="I224" s="8">
        <v>5</v>
      </c>
      <c r="J224" s="8">
        <f>Table2[[#This Row],[Unit price]]*Table2[[#This Row],[Quantity]]</f>
        <v>59.050000000000004</v>
      </c>
      <c r="K224" s="8">
        <f>Table2[[#This Row],[Unit Cost]]*Table2[[#This Row],[Quantity]]</f>
        <v>9.0500000000000025</v>
      </c>
      <c r="L224" s="8">
        <f>Table2[[#This Row],[Gross Sales]]-Table2[[#This Row],[COGS]]</f>
        <v>50</v>
      </c>
      <c r="M224" s="9">
        <f t="shared" si="3"/>
        <v>0.84674005080440296</v>
      </c>
      <c r="N224" s="7">
        <v>2.9525000000000001</v>
      </c>
      <c r="O224" s="7">
        <v>62.002499999999998</v>
      </c>
      <c r="P224" s="10">
        <v>43513</v>
      </c>
      <c r="Q224" s="10" t="str">
        <f>TEXT(Table2[[#This Row],[Date]],"mmm")</f>
        <v>Feb</v>
      </c>
      <c r="R224" s="11">
        <v>0.75416666666666676</v>
      </c>
      <c r="S224" s="6" t="s">
        <v>33</v>
      </c>
      <c r="T224" s="7">
        <v>9.4</v>
      </c>
      <c r="U224" s="6">
        <f>IF(_xlfn.XLOOKUP(A224,[1]Data2!$A:$A,[1]Data2!$B:$B,"no")="yes",1,0)</f>
        <v>0</v>
      </c>
    </row>
    <row r="225" spans="1:21" s="6" customFormat="1" x14ac:dyDescent="0.3">
      <c r="A225" s="6" t="s">
        <v>263</v>
      </c>
      <c r="B225" s="6" t="s">
        <v>29</v>
      </c>
      <c r="C225" s="6" t="s">
        <v>30</v>
      </c>
      <c r="D225" s="6" t="s">
        <v>24</v>
      </c>
      <c r="E225" s="6" t="s">
        <v>25</v>
      </c>
      <c r="F225" s="6" t="s">
        <v>50</v>
      </c>
      <c r="G225" s="7">
        <f>Table2[[#This Row],[Unit price]]-10</f>
        <v>2.5399999999999991</v>
      </c>
      <c r="H225" s="7">
        <v>12.54</v>
      </c>
      <c r="I225" s="8">
        <v>1</v>
      </c>
      <c r="J225" s="8">
        <f>Table2[[#This Row],[Unit price]]*Table2[[#This Row],[Quantity]]</f>
        <v>12.54</v>
      </c>
      <c r="K225" s="8">
        <f>Table2[[#This Row],[Unit Cost]]*Table2[[#This Row],[Quantity]]</f>
        <v>2.5399999999999991</v>
      </c>
      <c r="L225" s="8">
        <f>Table2[[#This Row],[Gross Sales]]-Table2[[#This Row],[COGS]]</f>
        <v>10</v>
      </c>
      <c r="M225" s="9">
        <f t="shared" si="3"/>
        <v>0.79744816586921852</v>
      </c>
      <c r="N225" s="7">
        <v>0.627</v>
      </c>
      <c r="O225" s="7">
        <v>13.167</v>
      </c>
      <c r="P225" s="10">
        <v>43517</v>
      </c>
      <c r="Q225" s="10" t="str">
        <f>TEXT(Table2[[#This Row],[Date]],"mmm")</f>
        <v>Feb</v>
      </c>
      <c r="R225" s="11">
        <v>0.52638888888888891</v>
      </c>
      <c r="S225" s="6" t="s">
        <v>33</v>
      </c>
      <c r="T225" s="7">
        <v>8.1999999999999993</v>
      </c>
      <c r="U225" s="6">
        <f>IF(_xlfn.XLOOKUP(A225,[1]Data2!$A:$A,[1]Data2!$B:$B,"no")="yes",1,0)</f>
        <v>0</v>
      </c>
    </row>
    <row r="226" spans="1:21" s="6" customFormat="1" x14ac:dyDescent="0.3">
      <c r="A226" s="6" t="s">
        <v>264</v>
      </c>
      <c r="B226" s="6" t="s">
        <v>22</v>
      </c>
      <c r="C226" s="6" t="s">
        <v>23</v>
      </c>
      <c r="D226" s="6" t="s">
        <v>31</v>
      </c>
      <c r="E226" s="6" t="s">
        <v>35</v>
      </c>
      <c r="F226" s="6" t="s">
        <v>48</v>
      </c>
      <c r="G226" s="7">
        <f>Table2[[#This Row],[Unit price]]-10</f>
        <v>33.25</v>
      </c>
      <c r="H226" s="7">
        <v>43.25</v>
      </c>
      <c r="I226" s="8">
        <v>2</v>
      </c>
      <c r="J226" s="8">
        <f>Table2[[#This Row],[Unit price]]*Table2[[#This Row],[Quantity]]</f>
        <v>86.5</v>
      </c>
      <c r="K226" s="8">
        <f>Table2[[#This Row],[Unit Cost]]*Table2[[#This Row],[Quantity]]</f>
        <v>66.5</v>
      </c>
      <c r="L226" s="8">
        <f>Table2[[#This Row],[Gross Sales]]-Table2[[#This Row],[COGS]]</f>
        <v>20</v>
      </c>
      <c r="M226" s="9">
        <f t="shared" si="3"/>
        <v>0.23121387283236994</v>
      </c>
      <c r="N226" s="7">
        <v>4.3250000000000002</v>
      </c>
      <c r="O226" s="7">
        <v>90.825000000000003</v>
      </c>
      <c r="P226" s="10">
        <v>43544</v>
      </c>
      <c r="Q226" s="10" t="str">
        <f>TEXT(Table2[[#This Row],[Date]],"mmm")</f>
        <v>Mar</v>
      </c>
      <c r="R226" s="11">
        <v>0.66388888888888886</v>
      </c>
      <c r="S226" s="6" t="s">
        <v>33</v>
      </c>
      <c r="T226" s="7">
        <v>6.2</v>
      </c>
      <c r="U226" s="6">
        <f>IF(_xlfn.XLOOKUP(A226,[1]Data2!$A:$A,[1]Data2!$B:$B,"no")="yes",1,0)</f>
        <v>1</v>
      </c>
    </row>
    <row r="227" spans="1:21" s="6" customFormat="1" x14ac:dyDescent="0.3">
      <c r="A227" s="6" t="s">
        <v>265</v>
      </c>
      <c r="B227" s="6" t="s">
        <v>29</v>
      </c>
      <c r="C227" s="6" t="s">
        <v>30</v>
      </c>
      <c r="D227" s="6" t="s">
        <v>24</v>
      </c>
      <c r="E227" s="6" t="s">
        <v>25</v>
      </c>
      <c r="F227" s="6" t="s">
        <v>40</v>
      </c>
      <c r="G227" s="7">
        <f>Table2[[#This Row],[Unit price]]-10</f>
        <v>77.16</v>
      </c>
      <c r="H227" s="7">
        <v>87.16</v>
      </c>
      <c r="I227" s="8">
        <v>2</v>
      </c>
      <c r="J227" s="8">
        <f>Table2[[#This Row],[Unit price]]*Table2[[#This Row],[Quantity]]</f>
        <v>174.32</v>
      </c>
      <c r="K227" s="8">
        <f>Table2[[#This Row],[Unit Cost]]*Table2[[#This Row],[Quantity]]</f>
        <v>154.32</v>
      </c>
      <c r="L227" s="8">
        <f>Table2[[#This Row],[Gross Sales]]-Table2[[#This Row],[COGS]]</f>
        <v>20</v>
      </c>
      <c r="M227" s="9">
        <f t="shared" si="3"/>
        <v>0.11473152822395595</v>
      </c>
      <c r="N227" s="7">
        <v>8.7159999999999993</v>
      </c>
      <c r="O227" s="7">
        <v>183.036</v>
      </c>
      <c r="P227" s="10">
        <v>43476</v>
      </c>
      <c r="Q227" s="10" t="str">
        <f>TEXT(Table2[[#This Row],[Date]],"mmm")</f>
        <v>Jan</v>
      </c>
      <c r="R227" s="11">
        <v>0.60347222222222219</v>
      </c>
      <c r="S227" s="6" t="s">
        <v>37</v>
      </c>
      <c r="T227" s="7">
        <v>9.6999999999999993</v>
      </c>
      <c r="U227" s="6">
        <f>IF(_xlfn.XLOOKUP(A227,[1]Data2!$A:$A,[1]Data2!$B:$B,"no")="yes",1,0)</f>
        <v>0</v>
      </c>
    </row>
    <row r="228" spans="1:21" s="6" customFormat="1" x14ac:dyDescent="0.3">
      <c r="A228" s="6" t="s">
        <v>266</v>
      </c>
      <c r="B228" s="6" t="s">
        <v>46</v>
      </c>
      <c r="C228" s="6" t="s">
        <v>47</v>
      </c>
      <c r="D228" s="6" t="s">
        <v>24</v>
      </c>
      <c r="E228" s="6" t="s">
        <v>35</v>
      </c>
      <c r="F228" s="6" t="s">
        <v>26</v>
      </c>
      <c r="G228" s="7">
        <f>Table2[[#This Row],[Unit price]]-10</f>
        <v>59.370000000000005</v>
      </c>
      <c r="H228" s="7">
        <v>69.37</v>
      </c>
      <c r="I228" s="8">
        <v>9</v>
      </c>
      <c r="J228" s="8">
        <f>Table2[[#This Row],[Unit price]]*Table2[[#This Row],[Quantity]]</f>
        <v>624.33000000000004</v>
      </c>
      <c r="K228" s="8">
        <f>Table2[[#This Row],[Unit Cost]]*Table2[[#This Row],[Quantity]]</f>
        <v>534.33000000000004</v>
      </c>
      <c r="L228" s="8">
        <f>Table2[[#This Row],[Gross Sales]]-Table2[[#This Row],[COGS]]</f>
        <v>90</v>
      </c>
      <c r="M228" s="9">
        <f t="shared" si="3"/>
        <v>0.1441545336600836</v>
      </c>
      <c r="N228" s="7">
        <v>31.2165</v>
      </c>
      <c r="O228" s="7">
        <v>655.54650000000004</v>
      </c>
      <c r="P228" s="10">
        <v>43491</v>
      </c>
      <c r="Q228" s="10" t="str">
        <f>TEXT(Table2[[#This Row],[Date]],"mmm")</f>
        <v>Jan</v>
      </c>
      <c r="R228" s="11">
        <v>0.80138888888888893</v>
      </c>
      <c r="S228" s="6" t="s">
        <v>27</v>
      </c>
      <c r="T228" s="7">
        <v>4</v>
      </c>
      <c r="U228" s="6">
        <f>IF(_xlfn.XLOOKUP(A228,[1]Data2!$A:$A,[1]Data2!$B:$B,"no")="yes",1,0)</f>
        <v>0</v>
      </c>
    </row>
    <row r="229" spans="1:21" s="6" customFormat="1" x14ac:dyDescent="0.3">
      <c r="A229" s="6" t="s">
        <v>267</v>
      </c>
      <c r="B229" s="6" t="s">
        <v>29</v>
      </c>
      <c r="C229" s="6" t="s">
        <v>30</v>
      </c>
      <c r="D229" s="6" t="s">
        <v>24</v>
      </c>
      <c r="E229" s="6" t="s">
        <v>35</v>
      </c>
      <c r="F229" s="6" t="s">
        <v>32</v>
      </c>
      <c r="G229" s="7">
        <f>Table2[[#This Row],[Unit price]]-10</f>
        <v>27.060000000000002</v>
      </c>
      <c r="H229" s="7">
        <v>37.06</v>
      </c>
      <c r="I229" s="8">
        <v>4</v>
      </c>
      <c r="J229" s="8">
        <f>Table2[[#This Row],[Unit price]]*Table2[[#This Row],[Quantity]]</f>
        <v>148.24</v>
      </c>
      <c r="K229" s="8">
        <f>Table2[[#This Row],[Unit Cost]]*Table2[[#This Row],[Quantity]]</f>
        <v>108.24000000000001</v>
      </c>
      <c r="L229" s="8">
        <f>Table2[[#This Row],[Gross Sales]]-Table2[[#This Row],[COGS]]</f>
        <v>40</v>
      </c>
      <c r="M229" s="9">
        <f t="shared" si="3"/>
        <v>0.26983270372369128</v>
      </c>
      <c r="N229" s="7">
        <v>7.4119999999999999</v>
      </c>
      <c r="O229" s="7">
        <v>155.65199999999999</v>
      </c>
      <c r="P229" s="10">
        <v>43496</v>
      </c>
      <c r="Q229" s="10" t="str">
        <f>TEXT(Table2[[#This Row],[Date]],"mmm")</f>
        <v>Jan</v>
      </c>
      <c r="R229" s="11">
        <v>0.68333333333333324</v>
      </c>
      <c r="S229" s="6" t="s">
        <v>27</v>
      </c>
      <c r="T229" s="7">
        <v>9.6999999999999993</v>
      </c>
      <c r="U229" s="6">
        <f>IF(_xlfn.XLOOKUP(A229,[1]Data2!$A:$A,[1]Data2!$B:$B,"no")="yes",1,0)</f>
        <v>0</v>
      </c>
    </row>
    <row r="230" spans="1:21" s="6" customFormat="1" x14ac:dyDescent="0.3">
      <c r="A230" s="6" t="s">
        <v>268</v>
      </c>
      <c r="B230" s="6" t="s">
        <v>46</v>
      </c>
      <c r="C230" s="6" t="s">
        <v>47</v>
      </c>
      <c r="D230" s="6" t="s">
        <v>24</v>
      </c>
      <c r="E230" s="6" t="s">
        <v>25</v>
      </c>
      <c r="F230" s="6" t="s">
        <v>32</v>
      </c>
      <c r="G230" s="7">
        <f>Table2[[#This Row],[Unit price]]-10</f>
        <v>80.7</v>
      </c>
      <c r="H230" s="7">
        <v>90.7</v>
      </c>
      <c r="I230" s="8">
        <v>6</v>
      </c>
      <c r="J230" s="8">
        <f>Table2[[#This Row],[Unit price]]*Table2[[#This Row],[Quantity]]</f>
        <v>544.20000000000005</v>
      </c>
      <c r="K230" s="8">
        <f>Table2[[#This Row],[Unit Cost]]*Table2[[#This Row],[Quantity]]</f>
        <v>484.20000000000005</v>
      </c>
      <c r="L230" s="8">
        <f>Table2[[#This Row],[Gross Sales]]-Table2[[#This Row],[COGS]]</f>
        <v>60</v>
      </c>
      <c r="M230" s="9">
        <f t="shared" si="3"/>
        <v>0.11025358324145534</v>
      </c>
      <c r="N230" s="7">
        <v>27.21</v>
      </c>
      <c r="O230" s="7">
        <v>571.41</v>
      </c>
      <c r="P230" s="10">
        <v>43522</v>
      </c>
      <c r="Q230" s="10" t="str">
        <f>TEXT(Table2[[#This Row],[Date]],"mmm")</f>
        <v>Feb</v>
      </c>
      <c r="R230" s="11">
        <v>0.45277777777777778</v>
      </c>
      <c r="S230" s="6" t="s">
        <v>33</v>
      </c>
      <c r="T230" s="7">
        <v>5.3</v>
      </c>
      <c r="U230" s="6">
        <f>IF(_xlfn.XLOOKUP(A230,[1]Data2!$A:$A,[1]Data2!$B:$B,"no")="yes",1,0)</f>
        <v>1</v>
      </c>
    </row>
    <row r="231" spans="1:21" s="6" customFormat="1" x14ac:dyDescent="0.3">
      <c r="A231" s="6" t="s">
        <v>269</v>
      </c>
      <c r="B231" s="6" t="s">
        <v>22</v>
      </c>
      <c r="C231" s="6" t="s">
        <v>23</v>
      </c>
      <c r="D231" s="6" t="s">
        <v>31</v>
      </c>
      <c r="E231" s="6" t="s">
        <v>25</v>
      </c>
      <c r="F231" s="6" t="s">
        <v>36</v>
      </c>
      <c r="G231" s="7">
        <f>Table2[[#This Row],[Unit price]]-10</f>
        <v>53.42</v>
      </c>
      <c r="H231" s="7">
        <v>63.42</v>
      </c>
      <c r="I231" s="8">
        <v>8</v>
      </c>
      <c r="J231" s="8">
        <f>Table2[[#This Row],[Unit price]]*Table2[[#This Row],[Quantity]]</f>
        <v>507.36</v>
      </c>
      <c r="K231" s="8">
        <f>Table2[[#This Row],[Unit Cost]]*Table2[[#This Row],[Quantity]]</f>
        <v>427.36</v>
      </c>
      <c r="L231" s="8">
        <f>Table2[[#This Row],[Gross Sales]]-Table2[[#This Row],[COGS]]</f>
        <v>80</v>
      </c>
      <c r="M231" s="9">
        <f t="shared" si="3"/>
        <v>0.15767896562598549</v>
      </c>
      <c r="N231" s="7">
        <v>25.367999999999999</v>
      </c>
      <c r="O231" s="7">
        <v>532.72799999999995</v>
      </c>
      <c r="P231" s="10">
        <v>43535</v>
      </c>
      <c r="Q231" s="10" t="str">
        <f>TEXT(Table2[[#This Row],[Date]],"mmm")</f>
        <v>Mar</v>
      </c>
      <c r="R231" s="11">
        <v>0.53819444444444442</v>
      </c>
      <c r="S231" s="6" t="s">
        <v>27</v>
      </c>
      <c r="T231" s="7">
        <v>7.4</v>
      </c>
      <c r="U231" s="6">
        <f>IF(_xlfn.XLOOKUP(A231,[1]Data2!$A:$A,[1]Data2!$B:$B,"no")="yes",1,0)</f>
        <v>0</v>
      </c>
    </row>
    <row r="232" spans="1:21" s="6" customFormat="1" x14ac:dyDescent="0.3">
      <c r="A232" s="6" t="s">
        <v>270</v>
      </c>
      <c r="B232" s="6" t="s">
        <v>46</v>
      </c>
      <c r="C232" s="6" t="s">
        <v>47</v>
      </c>
      <c r="D232" s="6" t="s">
        <v>31</v>
      </c>
      <c r="E232" s="6" t="s">
        <v>25</v>
      </c>
      <c r="F232" s="6" t="s">
        <v>50</v>
      </c>
      <c r="G232" s="7">
        <f>Table2[[#This Row],[Unit price]]-10</f>
        <v>71.37</v>
      </c>
      <c r="H232" s="7">
        <v>81.37</v>
      </c>
      <c r="I232" s="8">
        <v>2</v>
      </c>
      <c r="J232" s="8">
        <f>Table2[[#This Row],[Unit price]]*Table2[[#This Row],[Quantity]]</f>
        <v>162.74</v>
      </c>
      <c r="K232" s="8">
        <f>Table2[[#This Row],[Unit Cost]]*Table2[[#This Row],[Quantity]]</f>
        <v>142.74</v>
      </c>
      <c r="L232" s="8">
        <f>Table2[[#This Row],[Gross Sales]]-Table2[[#This Row],[COGS]]</f>
        <v>20</v>
      </c>
      <c r="M232" s="9">
        <f t="shared" si="3"/>
        <v>0.12289541600098315</v>
      </c>
      <c r="N232" s="7">
        <v>8.1370000000000005</v>
      </c>
      <c r="O232" s="7">
        <v>170.87700000000001</v>
      </c>
      <c r="P232" s="10">
        <v>43491</v>
      </c>
      <c r="Q232" s="10" t="str">
        <f>TEXT(Table2[[#This Row],[Date]],"mmm")</f>
        <v>Jan</v>
      </c>
      <c r="R232" s="11">
        <v>0.81111111111111101</v>
      </c>
      <c r="S232" s="6" t="s">
        <v>33</v>
      </c>
      <c r="T232" s="7">
        <v>6.5</v>
      </c>
      <c r="U232" s="6">
        <f>IF(_xlfn.XLOOKUP(A232,[1]Data2!$A:$A,[1]Data2!$B:$B,"no")="yes",1,0)</f>
        <v>0</v>
      </c>
    </row>
    <row r="233" spans="1:21" s="6" customFormat="1" x14ac:dyDescent="0.3">
      <c r="A233" s="6" t="s">
        <v>271</v>
      </c>
      <c r="B233" s="6" t="s">
        <v>46</v>
      </c>
      <c r="C233" s="6" t="s">
        <v>47</v>
      </c>
      <c r="D233" s="6" t="s">
        <v>24</v>
      </c>
      <c r="E233" s="6" t="s">
        <v>25</v>
      </c>
      <c r="F233" s="6" t="s">
        <v>32</v>
      </c>
      <c r="G233" s="7">
        <f>Table2[[#This Row],[Unit price]]-10</f>
        <v>0.58999999999999986</v>
      </c>
      <c r="H233" s="7">
        <v>10.59</v>
      </c>
      <c r="I233" s="8">
        <v>3</v>
      </c>
      <c r="J233" s="8">
        <f>Table2[[#This Row],[Unit price]]*Table2[[#This Row],[Quantity]]</f>
        <v>31.77</v>
      </c>
      <c r="K233" s="8">
        <f>Table2[[#This Row],[Unit Cost]]*Table2[[#This Row],[Quantity]]</f>
        <v>1.7699999999999996</v>
      </c>
      <c r="L233" s="8">
        <f>Table2[[#This Row],[Gross Sales]]-Table2[[#This Row],[COGS]]</f>
        <v>30</v>
      </c>
      <c r="M233" s="9">
        <f t="shared" si="3"/>
        <v>0.94428706326723322</v>
      </c>
      <c r="N233" s="7">
        <v>1.5885</v>
      </c>
      <c r="O233" s="7">
        <v>33.358499999999999</v>
      </c>
      <c r="P233" s="10">
        <v>43536</v>
      </c>
      <c r="Q233" s="10" t="str">
        <f>TEXT(Table2[[#This Row],[Date]],"mmm")</f>
        <v>Mar</v>
      </c>
      <c r="R233" s="11">
        <v>0.57777777777777783</v>
      </c>
      <c r="S233" s="6" t="s">
        <v>37</v>
      </c>
      <c r="T233" s="7">
        <v>8.6999999999999993</v>
      </c>
      <c r="U233" s="6">
        <f>IF(_xlfn.XLOOKUP(A233,[1]Data2!$A:$A,[1]Data2!$B:$B,"no")="yes",1,0)</f>
        <v>0</v>
      </c>
    </row>
    <row r="234" spans="1:21" s="6" customFormat="1" x14ac:dyDescent="0.3">
      <c r="A234" s="6" t="s">
        <v>272</v>
      </c>
      <c r="B234" s="6" t="s">
        <v>46</v>
      </c>
      <c r="C234" s="6" t="s">
        <v>47</v>
      </c>
      <c r="D234" s="6" t="s">
        <v>31</v>
      </c>
      <c r="E234" s="6" t="s">
        <v>25</v>
      </c>
      <c r="F234" s="6" t="s">
        <v>26</v>
      </c>
      <c r="G234" s="7">
        <f>Table2[[#This Row],[Unit price]]-10</f>
        <v>74.09</v>
      </c>
      <c r="H234" s="7">
        <v>84.09</v>
      </c>
      <c r="I234" s="8">
        <v>9</v>
      </c>
      <c r="J234" s="8">
        <f>Table2[[#This Row],[Unit price]]*Table2[[#This Row],[Quantity]]</f>
        <v>756.81000000000006</v>
      </c>
      <c r="K234" s="8">
        <f>Table2[[#This Row],[Unit Cost]]*Table2[[#This Row],[Quantity]]</f>
        <v>666.81000000000006</v>
      </c>
      <c r="L234" s="8">
        <f>Table2[[#This Row],[Gross Sales]]-Table2[[#This Row],[COGS]]</f>
        <v>90</v>
      </c>
      <c r="M234" s="9">
        <f t="shared" si="3"/>
        <v>0.1189202045427518</v>
      </c>
      <c r="N234" s="7">
        <v>37.840499999999999</v>
      </c>
      <c r="O234" s="7">
        <v>794.65049999999997</v>
      </c>
      <c r="P234" s="10">
        <v>43507</v>
      </c>
      <c r="Q234" s="10" t="str">
        <f>TEXT(Table2[[#This Row],[Date]],"mmm")</f>
        <v>Feb</v>
      </c>
      <c r="R234" s="11">
        <v>0.45416666666666666</v>
      </c>
      <c r="S234" s="6" t="s">
        <v>33</v>
      </c>
      <c r="T234" s="7">
        <v>8</v>
      </c>
      <c r="U234" s="6">
        <f>IF(_xlfn.XLOOKUP(A234,[1]Data2!$A:$A,[1]Data2!$B:$B,"no")="yes",1,0)</f>
        <v>1</v>
      </c>
    </row>
    <row r="235" spans="1:21" s="6" customFormat="1" x14ac:dyDescent="0.3">
      <c r="A235" s="6" t="s">
        <v>273</v>
      </c>
      <c r="B235" s="6" t="s">
        <v>46</v>
      </c>
      <c r="C235" s="6" t="s">
        <v>47</v>
      </c>
      <c r="D235" s="6" t="s">
        <v>24</v>
      </c>
      <c r="E235" s="6" t="s">
        <v>35</v>
      </c>
      <c r="F235" s="6" t="s">
        <v>50</v>
      </c>
      <c r="G235" s="7">
        <f>Table2[[#This Row],[Unit price]]-10</f>
        <v>63.819999999999993</v>
      </c>
      <c r="H235" s="7">
        <v>73.819999999999993</v>
      </c>
      <c r="I235" s="8">
        <v>4</v>
      </c>
      <c r="J235" s="8">
        <f>Table2[[#This Row],[Unit price]]*Table2[[#This Row],[Quantity]]</f>
        <v>295.27999999999997</v>
      </c>
      <c r="K235" s="8">
        <f>Table2[[#This Row],[Unit Cost]]*Table2[[#This Row],[Quantity]]</f>
        <v>255.27999999999997</v>
      </c>
      <c r="L235" s="8">
        <f>Table2[[#This Row],[Gross Sales]]-Table2[[#This Row],[COGS]]</f>
        <v>40</v>
      </c>
      <c r="M235" s="9">
        <f t="shared" si="3"/>
        <v>0.135464643727987</v>
      </c>
      <c r="N235" s="7">
        <v>14.763999999999999</v>
      </c>
      <c r="O235" s="7">
        <v>310.04399999999998</v>
      </c>
      <c r="P235" s="10">
        <v>43517</v>
      </c>
      <c r="Q235" s="10" t="str">
        <f>TEXT(Table2[[#This Row],[Date]],"mmm")</f>
        <v>Feb</v>
      </c>
      <c r="R235" s="11">
        <v>0.7715277777777777</v>
      </c>
      <c r="S235" s="6" t="s">
        <v>33</v>
      </c>
      <c r="T235" s="7">
        <v>6.7</v>
      </c>
      <c r="U235" s="6">
        <f>IF(_xlfn.XLOOKUP(A235,[1]Data2!$A:$A,[1]Data2!$B:$B,"no")="yes",1,0)</f>
        <v>0</v>
      </c>
    </row>
    <row r="236" spans="1:21" s="6" customFormat="1" x14ac:dyDescent="0.3">
      <c r="A236" s="6" t="s">
        <v>274</v>
      </c>
      <c r="B236" s="6" t="s">
        <v>22</v>
      </c>
      <c r="C236" s="6" t="s">
        <v>23</v>
      </c>
      <c r="D236" s="6" t="s">
        <v>24</v>
      </c>
      <c r="E236" s="6" t="s">
        <v>35</v>
      </c>
      <c r="F236" s="6" t="s">
        <v>26</v>
      </c>
      <c r="G236" s="7">
        <f>Table2[[#This Row],[Unit price]]-10</f>
        <v>41.94</v>
      </c>
      <c r="H236" s="7">
        <v>51.94</v>
      </c>
      <c r="I236" s="8">
        <v>10</v>
      </c>
      <c r="J236" s="8">
        <f>Table2[[#This Row],[Unit price]]*Table2[[#This Row],[Quantity]]</f>
        <v>519.4</v>
      </c>
      <c r="K236" s="8">
        <f>Table2[[#This Row],[Unit Cost]]*Table2[[#This Row],[Quantity]]</f>
        <v>419.4</v>
      </c>
      <c r="L236" s="8">
        <f>Table2[[#This Row],[Gross Sales]]-Table2[[#This Row],[COGS]]</f>
        <v>100</v>
      </c>
      <c r="M236" s="9">
        <f t="shared" si="3"/>
        <v>0.19252984212552945</v>
      </c>
      <c r="N236" s="7">
        <v>25.97</v>
      </c>
      <c r="O236" s="7">
        <v>545.37</v>
      </c>
      <c r="P236" s="10">
        <v>43533</v>
      </c>
      <c r="Q236" s="10" t="str">
        <f>TEXT(Table2[[#This Row],[Date]],"mmm")</f>
        <v>Mar</v>
      </c>
      <c r="R236" s="11">
        <v>0.76666666666666661</v>
      </c>
      <c r="S236" s="6" t="s">
        <v>27</v>
      </c>
      <c r="T236" s="7">
        <v>6.5</v>
      </c>
      <c r="U236" s="6">
        <f>IF(_xlfn.XLOOKUP(A236,[1]Data2!$A:$A,[1]Data2!$B:$B,"no")="yes",1,0)</f>
        <v>0</v>
      </c>
    </row>
    <row r="237" spans="1:21" s="6" customFormat="1" x14ac:dyDescent="0.3">
      <c r="A237" s="6" t="s">
        <v>275</v>
      </c>
      <c r="B237" s="6" t="s">
        <v>22</v>
      </c>
      <c r="C237" s="6" t="s">
        <v>23</v>
      </c>
      <c r="D237" s="6" t="s">
        <v>31</v>
      </c>
      <c r="E237" s="6" t="s">
        <v>25</v>
      </c>
      <c r="F237" s="6" t="s">
        <v>40</v>
      </c>
      <c r="G237" s="7">
        <f>Table2[[#This Row],[Unit price]]-10</f>
        <v>83.14</v>
      </c>
      <c r="H237" s="7">
        <v>93.14</v>
      </c>
      <c r="I237" s="8">
        <v>2</v>
      </c>
      <c r="J237" s="8">
        <f>Table2[[#This Row],[Unit price]]*Table2[[#This Row],[Quantity]]</f>
        <v>186.28</v>
      </c>
      <c r="K237" s="8">
        <f>Table2[[#This Row],[Unit Cost]]*Table2[[#This Row],[Quantity]]</f>
        <v>166.28</v>
      </c>
      <c r="L237" s="8">
        <f>Table2[[#This Row],[Gross Sales]]-Table2[[#This Row],[COGS]]</f>
        <v>20</v>
      </c>
      <c r="M237" s="9">
        <f t="shared" si="3"/>
        <v>0.10736525660296328</v>
      </c>
      <c r="N237" s="7">
        <v>9.3140000000000001</v>
      </c>
      <c r="O237" s="7">
        <v>195.59399999999999</v>
      </c>
      <c r="P237" s="10">
        <v>43485</v>
      </c>
      <c r="Q237" s="10" t="str">
        <f>TEXT(Table2[[#This Row],[Date]],"mmm")</f>
        <v>Jan</v>
      </c>
      <c r="R237" s="11">
        <v>0.75624999999999998</v>
      </c>
      <c r="S237" s="6" t="s">
        <v>27</v>
      </c>
      <c r="T237" s="7">
        <v>4.0999999999999996</v>
      </c>
      <c r="U237" s="6">
        <f>IF(_xlfn.XLOOKUP(A237,[1]Data2!$A:$A,[1]Data2!$B:$B,"no")="yes",1,0)</f>
        <v>0</v>
      </c>
    </row>
    <row r="238" spans="1:21" s="6" customFormat="1" x14ac:dyDescent="0.3">
      <c r="A238" s="6" t="s">
        <v>276</v>
      </c>
      <c r="B238" s="6" t="s">
        <v>29</v>
      </c>
      <c r="C238" s="6" t="s">
        <v>30</v>
      </c>
      <c r="D238" s="6" t="s">
        <v>31</v>
      </c>
      <c r="E238" s="6" t="s">
        <v>35</v>
      </c>
      <c r="F238" s="6" t="s">
        <v>26</v>
      </c>
      <c r="G238" s="7">
        <f>Table2[[#This Row],[Unit price]]-10</f>
        <v>7.41</v>
      </c>
      <c r="H238" s="7">
        <v>17.41</v>
      </c>
      <c r="I238" s="8">
        <v>5</v>
      </c>
      <c r="J238" s="8">
        <f>Table2[[#This Row],[Unit price]]*Table2[[#This Row],[Quantity]]</f>
        <v>87.05</v>
      </c>
      <c r="K238" s="8">
        <f>Table2[[#This Row],[Unit Cost]]*Table2[[#This Row],[Quantity]]</f>
        <v>37.049999999999997</v>
      </c>
      <c r="L238" s="8">
        <f>Table2[[#This Row],[Gross Sales]]-Table2[[#This Row],[COGS]]</f>
        <v>50</v>
      </c>
      <c r="M238" s="9">
        <f t="shared" si="3"/>
        <v>0.57438253877082135</v>
      </c>
      <c r="N238" s="7">
        <v>4.3525</v>
      </c>
      <c r="O238" s="7">
        <v>91.402500000000003</v>
      </c>
      <c r="P238" s="10">
        <v>43493</v>
      </c>
      <c r="Q238" s="10" t="str">
        <f>TEXT(Table2[[#This Row],[Date]],"mmm")</f>
        <v>Jan</v>
      </c>
      <c r="R238" s="11">
        <v>0.63611111111111118</v>
      </c>
      <c r="S238" s="6" t="s">
        <v>37</v>
      </c>
      <c r="T238" s="7">
        <v>4.9000000000000004</v>
      </c>
      <c r="U238" s="6">
        <f>IF(_xlfn.XLOOKUP(A238,[1]Data2!$A:$A,[1]Data2!$B:$B,"no")="yes",1,0)</f>
        <v>1</v>
      </c>
    </row>
    <row r="239" spans="1:21" s="6" customFormat="1" x14ac:dyDescent="0.3">
      <c r="A239" s="6" t="s">
        <v>277</v>
      </c>
      <c r="B239" s="6" t="s">
        <v>29</v>
      </c>
      <c r="C239" s="6" t="s">
        <v>30</v>
      </c>
      <c r="D239" s="6" t="s">
        <v>24</v>
      </c>
      <c r="E239" s="6" t="s">
        <v>25</v>
      </c>
      <c r="F239" s="6" t="s">
        <v>50</v>
      </c>
      <c r="G239" s="7">
        <f>Table2[[#This Row],[Unit price]]-10</f>
        <v>34.22</v>
      </c>
      <c r="H239" s="7">
        <v>44.22</v>
      </c>
      <c r="I239" s="8">
        <v>5</v>
      </c>
      <c r="J239" s="8">
        <f>Table2[[#This Row],[Unit price]]*Table2[[#This Row],[Quantity]]</f>
        <v>221.1</v>
      </c>
      <c r="K239" s="8">
        <f>Table2[[#This Row],[Unit Cost]]*Table2[[#This Row],[Quantity]]</f>
        <v>171.1</v>
      </c>
      <c r="L239" s="8">
        <f>Table2[[#This Row],[Gross Sales]]-Table2[[#This Row],[COGS]]</f>
        <v>50</v>
      </c>
      <c r="M239" s="9">
        <f t="shared" si="3"/>
        <v>0.2261420171867933</v>
      </c>
      <c r="N239" s="7">
        <v>11.055</v>
      </c>
      <c r="O239" s="7">
        <v>232.155</v>
      </c>
      <c r="P239" s="10">
        <v>43529</v>
      </c>
      <c r="Q239" s="10" t="str">
        <f>TEXT(Table2[[#This Row],[Date]],"mmm")</f>
        <v>Mar</v>
      </c>
      <c r="R239" s="11">
        <v>0.71319444444444446</v>
      </c>
      <c r="S239" s="6" t="s">
        <v>37</v>
      </c>
      <c r="T239" s="7">
        <v>8.6</v>
      </c>
      <c r="U239" s="6">
        <f>IF(_xlfn.XLOOKUP(A239,[1]Data2!$A:$A,[1]Data2!$B:$B,"no")="yes",1,0)</f>
        <v>0</v>
      </c>
    </row>
    <row r="240" spans="1:21" s="6" customFormat="1" x14ac:dyDescent="0.3">
      <c r="A240" s="6" t="s">
        <v>278</v>
      </c>
      <c r="B240" s="6" t="s">
        <v>46</v>
      </c>
      <c r="C240" s="6" t="s">
        <v>47</v>
      </c>
      <c r="D240" s="6" t="s">
        <v>24</v>
      </c>
      <c r="E240" s="6" t="s">
        <v>25</v>
      </c>
      <c r="F240" s="6" t="s">
        <v>32</v>
      </c>
      <c r="G240" s="7">
        <f>Table2[[#This Row],[Unit price]]-10</f>
        <v>3.2200000000000006</v>
      </c>
      <c r="H240" s="7">
        <v>13.22</v>
      </c>
      <c r="I240" s="8">
        <v>5</v>
      </c>
      <c r="J240" s="8">
        <f>Table2[[#This Row],[Unit price]]*Table2[[#This Row],[Quantity]]</f>
        <v>66.100000000000009</v>
      </c>
      <c r="K240" s="8">
        <f>Table2[[#This Row],[Unit Cost]]*Table2[[#This Row],[Quantity]]</f>
        <v>16.100000000000001</v>
      </c>
      <c r="L240" s="8">
        <f>Table2[[#This Row],[Gross Sales]]-Table2[[#This Row],[COGS]]</f>
        <v>50.000000000000007</v>
      </c>
      <c r="M240" s="9">
        <f t="shared" si="3"/>
        <v>0.75642965204236012</v>
      </c>
      <c r="N240" s="7">
        <v>3.3050000000000002</v>
      </c>
      <c r="O240" s="7">
        <v>69.405000000000001</v>
      </c>
      <c r="P240" s="10">
        <v>43526</v>
      </c>
      <c r="Q240" s="10" t="str">
        <f>TEXT(Table2[[#This Row],[Date]],"mmm")</f>
        <v>Mar</v>
      </c>
      <c r="R240" s="11">
        <v>0.80972222222222223</v>
      </c>
      <c r="S240" s="6" t="s">
        <v>33</v>
      </c>
      <c r="T240" s="7">
        <v>4.3</v>
      </c>
      <c r="U240" s="6">
        <f>IF(_xlfn.XLOOKUP(A240,[1]Data2!$A:$A,[1]Data2!$B:$B,"no")="yes",1,0)</f>
        <v>0</v>
      </c>
    </row>
    <row r="241" spans="1:21" s="6" customFormat="1" x14ac:dyDescent="0.3">
      <c r="A241" s="6" t="s">
        <v>279</v>
      </c>
      <c r="B241" s="6" t="s">
        <v>22</v>
      </c>
      <c r="C241" s="6" t="s">
        <v>23</v>
      </c>
      <c r="D241" s="6" t="s">
        <v>31</v>
      </c>
      <c r="E241" s="6" t="s">
        <v>35</v>
      </c>
      <c r="F241" s="6" t="s">
        <v>50</v>
      </c>
      <c r="G241" s="7">
        <f>Table2[[#This Row],[Unit price]]-10</f>
        <v>79.69</v>
      </c>
      <c r="H241" s="7">
        <v>89.69</v>
      </c>
      <c r="I241" s="8">
        <v>1</v>
      </c>
      <c r="J241" s="8">
        <f>Table2[[#This Row],[Unit price]]*Table2[[#This Row],[Quantity]]</f>
        <v>89.69</v>
      </c>
      <c r="K241" s="8">
        <f>Table2[[#This Row],[Unit Cost]]*Table2[[#This Row],[Quantity]]</f>
        <v>79.69</v>
      </c>
      <c r="L241" s="8">
        <f>Table2[[#This Row],[Gross Sales]]-Table2[[#This Row],[COGS]]</f>
        <v>10</v>
      </c>
      <c r="M241" s="9">
        <f t="shared" si="3"/>
        <v>0.1114951499609767</v>
      </c>
      <c r="N241" s="7">
        <v>4.4844999999999997</v>
      </c>
      <c r="O241" s="7">
        <v>94.174499999999995</v>
      </c>
      <c r="P241" s="10">
        <v>43476</v>
      </c>
      <c r="Q241" s="10" t="str">
        <f>TEXT(Table2[[#This Row],[Date]],"mmm")</f>
        <v>Jan</v>
      </c>
      <c r="R241" s="11">
        <v>0.47222222222222227</v>
      </c>
      <c r="S241" s="6" t="s">
        <v>27</v>
      </c>
      <c r="T241" s="7">
        <v>4.9000000000000004</v>
      </c>
      <c r="U241" s="6">
        <f>IF(_xlfn.XLOOKUP(A241,[1]Data2!$A:$A,[1]Data2!$B:$B,"no")="yes",1,0)</f>
        <v>0</v>
      </c>
    </row>
    <row r="242" spans="1:21" s="6" customFormat="1" x14ac:dyDescent="0.3">
      <c r="A242" s="6" t="s">
        <v>280</v>
      </c>
      <c r="B242" s="6" t="s">
        <v>22</v>
      </c>
      <c r="C242" s="6" t="s">
        <v>23</v>
      </c>
      <c r="D242" s="6" t="s">
        <v>31</v>
      </c>
      <c r="E242" s="6" t="s">
        <v>35</v>
      </c>
      <c r="F242" s="6" t="s">
        <v>48</v>
      </c>
      <c r="G242" s="7">
        <f>Table2[[#This Row],[Unit price]]-10</f>
        <v>14.940000000000001</v>
      </c>
      <c r="H242" s="7">
        <v>24.94</v>
      </c>
      <c r="I242" s="8">
        <v>9</v>
      </c>
      <c r="J242" s="8">
        <f>Table2[[#This Row],[Unit price]]*Table2[[#This Row],[Quantity]]</f>
        <v>224.46</v>
      </c>
      <c r="K242" s="8">
        <f>Table2[[#This Row],[Unit Cost]]*Table2[[#This Row],[Quantity]]</f>
        <v>134.46</v>
      </c>
      <c r="L242" s="8">
        <f>Table2[[#This Row],[Gross Sales]]-Table2[[#This Row],[COGS]]</f>
        <v>90</v>
      </c>
      <c r="M242" s="9">
        <f t="shared" si="3"/>
        <v>0.40096230954290296</v>
      </c>
      <c r="N242" s="7">
        <v>11.223000000000001</v>
      </c>
      <c r="O242" s="7">
        <v>235.68299999999999</v>
      </c>
      <c r="P242" s="10">
        <v>43476</v>
      </c>
      <c r="Q242" s="10" t="str">
        <f>TEXT(Table2[[#This Row],[Date]],"mmm")</f>
        <v>Jan</v>
      </c>
      <c r="R242" s="11">
        <v>0.7006944444444444</v>
      </c>
      <c r="S242" s="6" t="s">
        <v>37</v>
      </c>
      <c r="T242" s="7">
        <v>5.6</v>
      </c>
      <c r="U242" s="6">
        <f>IF(_xlfn.XLOOKUP(A242,[1]Data2!$A:$A,[1]Data2!$B:$B,"no")="yes",1,0)</f>
        <v>1</v>
      </c>
    </row>
    <row r="243" spans="1:21" s="6" customFormat="1" x14ac:dyDescent="0.3">
      <c r="A243" s="6" t="s">
        <v>281</v>
      </c>
      <c r="B243" s="6" t="s">
        <v>22</v>
      </c>
      <c r="C243" s="6" t="s">
        <v>23</v>
      </c>
      <c r="D243" s="6" t="s">
        <v>31</v>
      </c>
      <c r="E243" s="6" t="s">
        <v>35</v>
      </c>
      <c r="F243" s="6" t="s">
        <v>26</v>
      </c>
      <c r="G243" s="7">
        <f>Table2[[#This Row],[Unit price]]-10</f>
        <v>49.77</v>
      </c>
      <c r="H243" s="7">
        <v>59.77</v>
      </c>
      <c r="I243" s="8">
        <v>2</v>
      </c>
      <c r="J243" s="8">
        <f>Table2[[#This Row],[Unit price]]*Table2[[#This Row],[Quantity]]</f>
        <v>119.54</v>
      </c>
      <c r="K243" s="8">
        <f>Table2[[#This Row],[Unit Cost]]*Table2[[#This Row],[Quantity]]</f>
        <v>99.54</v>
      </c>
      <c r="L243" s="8">
        <f>Table2[[#This Row],[Gross Sales]]-Table2[[#This Row],[COGS]]</f>
        <v>20</v>
      </c>
      <c r="M243" s="9">
        <f t="shared" si="3"/>
        <v>0.16730801405387316</v>
      </c>
      <c r="N243" s="7">
        <v>5.9770000000000003</v>
      </c>
      <c r="O243" s="7">
        <v>125.517</v>
      </c>
      <c r="P243" s="10">
        <v>43535</v>
      </c>
      <c r="Q243" s="10" t="str">
        <f>TEXT(Table2[[#This Row],[Date]],"mmm")</f>
        <v>Mar</v>
      </c>
      <c r="R243" s="11">
        <v>0.50069444444444444</v>
      </c>
      <c r="S243" s="6" t="s">
        <v>37</v>
      </c>
      <c r="T243" s="7">
        <v>5.8</v>
      </c>
      <c r="U243" s="6">
        <f>IF(_xlfn.XLOOKUP(A243,[1]Data2!$A:$A,[1]Data2!$B:$B,"no")="yes",1,0)</f>
        <v>0</v>
      </c>
    </row>
    <row r="244" spans="1:21" s="6" customFormat="1" x14ac:dyDescent="0.3">
      <c r="A244" s="6" t="s">
        <v>282</v>
      </c>
      <c r="B244" s="6" t="s">
        <v>29</v>
      </c>
      <c r="C244" s="6" t="s">
        <v>30</v>
      </c>
      <c r="D244" s="6" t="s">
        <v>24</v>
      </c>
      <c r="E244" s="6" t="s">
        <v>35</v>
      </c>
      <c r="F244" s="6" t="s">
        <v>50</v>
      </c>
      <c r="G244" s="7">
        <f>Table2[[#This Row],[Unit price]]-10</f>
        <v>83.2</v>
      </c>
      <c r="H244" s="7">
        <v>93.2</v>
      </c>
      <c r="I244" s="8">
        <v>2</v>
      </c>
      <c r="J244" s="8">
        <f>Table2[[#This Row],[Unit price]]*Table2[[#This Row],[Quantity]]</f>
        <v>186.4</v>
      </c>
      <c r="K244" s="8">
        <f>Table2[[#This Row],[Unit Cost]]*Table2[[#This Row],[Quantity]]</f>
        <v>166.4</v>
      </c>
      <c r="L244" s="8">
        <f>Table2[[#This Row],[Gross Sales]]-Table2[[#This Row],[COGS]]</f>
        <v>20</v>
      </c>
      <c r="M244" s="9">
        <f t="shared" si="3"/>
        <v>0.1072961373390558</v>
      </c>
      <c r="N244" s="7">
        <v>9.32</v>
      </c>
      <c r="O244" s="7">
        <v>195.72</v>
      </c>
      <c r="P244" s="10">
        <v>43524</v>
      </c>
      <c r="Q244" s="10" t="str">
        <f>TEXT(Table2[[#This Row],[Date]],"mmm")</f>
        <v>Feb</v>
      </c>
      <c r="R244" s="11">
        <v>0.77569444444444446</v>
      </c>
      <c r="S244" s="6" t="s">
        <v>37</v>
      </c>
      <c r="T244" s="7">
        <v>6</v>
      </c>
      <c r="U244" s="6">
        <f>IF(_xlfn.XLOOKUP(A244,[1]Data2!$A:$A,[1]Data2!$B:$B,"no")="yes",1,0)</f>
        <v>0</v>
      </c>
    </row>
    <row r="245" spans="1:21" s="6" customFormat="1" x14ac:dyDescent="0.3">
      <c r="A245" s="6" t="s">
        <v>283</v>
      </c>
      <c r="B245" s="6" t="s">
        <v>22</v>
      </c>
      <c r="C245" s="6" t="s">
        <v>23</v>
      </c>
      <c r="D245" s="6" t="s">
        <v>24</v>
      </c>
      <c r="E245" s="6" t="s">
        <v>35</v>
      </c>
      <c r="F245" s="6" t="s">
        <v>36</v>
      </c>
      <c r="G245" s="7">
        <f>Table2[[#This Row],[Unit price]]-10</f>
        <v>52.65</v>
      </c>
      <c r="H245" s="7">
        <v>62.65</v>
      </c>
      <c r="I245" s="8">
        <v>4</v>
      </c>
      <c r="J245" s="8">
        <f>Table2[[#This Row],[Unit price]]*Table2[[#This Row],[Quantity]]</f>
        <v>250.6</v>
      </c>
      <c r="K245" s="8">
        <f>Table2[[#This Row],[Unit Cost]]*Table2[[#This Row],[Quantity]]</f>
        <v>210.6</v>
      </c>
      <c r="L245" s="8">
        <f>Table2[[#This Row],[Gross Sales]]-Table2[[#This Row],[COGS]]</f>
        <v>40</v>
      </c>
      <c r="M245" s="9">
        <f t="shared" si="3"/>
        <v>0.15961691939345571</v>
      </c>
      <c r="N245" s="7">
        <v>12.53</v>
      </c>
      <c r="O245" s="7">
        <v>263.13</v>
      </c>
      <c r="P245" s="10">
        <v>43470</v>
      </c>
      <c r="Q245" s="10" t="str">
        <f>TEXT(Table2[[#This Row],[Date]],"mmm")</f>
        <v>Jan</v>
      </c>
      <c r="R245" s="11">
        <v>0.47569444444444442</v>
      </c>
      <c r="S245" s="6" t="s">
        <v>33</v>
      </c>
      <c r="T245" s="7">
        <v>4.2</v>
      </c>
      <c r="U245" s="6">
        <f>IF(_xlfn.XLOOKUP(A245,[1]Data2!$A:$A,[1]Data2!$B:$B,"no")="yes",1,0)</f>
        <v>0</v>
      </c>
    </row>
    <row r="246" spans="1:21" s="6" customFormat="1" x14ac:dyDescent="0.3">
      <c r="A246" s="6" t="s">
        <v>284</v>
      </c>
      <c r="B246" s="6" t="s">
        <v>46</v>
      </c>
      <c r="C246" s="6" t="s">
        <v>47</v>
      </c>
      <c r="D246" s="6" t="s">
        <v>31</v>
      </c>
      <c r="E246" s="6" t="s">
        <v>35</v>
      </c>
      <c r="F246" s="6" t="s">
        <v>36</v>
      </c>
      <c r="G246" s="7">
        <f>Table2[[#This Row],[Unit price]]-10</f>
        <v>83.87</v>
      </c>
      <c r="H246" s="7">
        <v>93.87</v>
      </c>
      <c r="I246" s="8">
        <v>8</v>
      </c>
      <c r="J246" s="8">
        <f>Table2[[#This Row],[Unit price]]*Table2[[#This Row],[Quantity]]</f>
        <v>750.96</v>
      </c>
      <c r="K246" s="8">
        <f>Table2[[#This Row],[Unit Cost]]*Table2[[#This Row],[Quantity]]</f>
        <v>670.96</v>
      </c>
      <c r="L246" s="8">
        <f>Table2[[#This Row],[Gross Sales]]-Table2[[#This Row],[COGS]]</f>
        <v>80</v>
      </c>
      <c r="M246" s="9">
        <f t="shared" si="3"/>
        <v>0.10653030787258974</v>
      </c>
      <c r="N246" s="7">
        <v>37.548000000000002</v>
      </c>
      <c r="O246" s="7">
        <v>788.50800000000004</v>
      </c>
      <c r="P246" s="10">
        <v>43498</v>
      </c>
      <c r="Q246" s="10" t="str">
        <f>TEXT(Table2[[#This Row],[Date]],"mmm")</f>
        <v>Feb</v>
      </c>
      <c r="R246" s="11">
        <v>0.77916666666666667</v>
      </c>
      <c r="S246" s="6" t="s">
        <v>37</v>
      </c>
      <c r="T246" s="7">
        <v>8.3000000000000007</v>
      </c>
      <c r="U246" s="6">
        <f>IF(_xlfn.XLOOKUP(A246,[1]Data2!$A:$A,[1]Data2!$B:$B,"no")="yes",1,0)</f>
        <v>1</v>
      </c>
    </row>
    <row r="247" spans="1:21" s="6" customFormat="1" x14ac:dyDescent="0.3">
      <c r="A247" s="6" t="s">
        <v>285</v>
      </c>
      <c r="B247" s="6" t="s">
        <v>22</v>
      </c>
      <c r="C247" s="6" t="s">
        <v>23</v>
      </c>
      <c r="D247" s="6" t="s">
        <v>24</v>
      </c>
      <c r="E247" s="6" t="s">
        <v>35</v>
      </c>
      <c r="F247" s="6" t="s">
        <v>36</v>
      </c>
      <c r="G247" s="7">
        <f>Table2[[#This Row],[Unit price]]-10</f>
        <v>37.590000000000003</v>
      </c>
      <c r="H247" s="7">
        <v>47.59</v>
      </c>
      <c r="I247" s="8">
        <v>8</v>
      </c>
      <c r="J247" s="8">
        <f>Table2[[#This Row],[Unit price]]*Table2[[#This Row],[Quantity]]</f>
        <v>380.72</v>
      </c>
      <c r="K247" s="8">
        <f>Table2[[#This Row],[Unit Cost]]*Table2[[#This Row],[Quantity]]</f>
        <v>300.72000000000003</v>
      </c>
      <c r="L247" s="8">
        <f>Table2[[#This Row],[Gross Sales]]-Table2[[#This Row],[COGS]]</f>
        <v>80</v>
      </c>
      <c r="M247" s="9">
        <f t="shared" si="3"/>
        <v>0.21012817818869509</v>
      </c>
      <c r="N247" s="7">
        <v>19.036000000000001</v>
      </c>
      <c r="O247" s="7">
        <v>399.75599999999997</v>
      </c>
      <c r="P247" s="10">
        <v>43466</v>
      </c>
      <c r="Q247" s="10" t="str">
        <f>TEXT(Table2[[#This Row],[Date]],"mmm")</f>
        <v>Jan</v>
      </c>
      <c r="R247" s="11">
        <v>0.61597222222222225</v>
      </c>
      <c r="S247" s="6" t="s">
        <v>33</v>
      </c>
      <c r="T247" s="7">
        <v>5.7</v>
      </c>
      <c r="U247" s="6">
        <f>IF(_xlfn.XLOOKUP(A247,[1]Data2!$A:$A,[1]Data2!$B:$B,"no")="yes",1,0)</f>
        <v>0</v>
      </c>
    </row>
    <row r="248" spans="1:21" s="6" customFormat="1" x14ac:dyDescent="0.3">
      <c r="A248" s="6" t="s">
        <v>286</v>
      </c>
      <c r="B248" s="6" t="s">
        <v>46</v>
      </c>
      <c r="C248" s="6" t="s">
        <v>47</v>
      </c>
      <c r="D248" s="6" t="s">
        <v>24</v>
      </c>
      <c r="E248" s="6" t="s">
        <v>25</v>
      </c>
      <c r="F248" s="6" t="s">
        <v>32</v>
      </c>
      <c r="G248" s="7">
        <f>Table2[[#This Row],[Unit price]]-10</f>
        <v>71.400000000000006</v>
      </c>
      <c r="H248" s="7">
        <v>81.400000000000006</v>
      </c>
      <c r="I248" s="8">
        <v>3</v>
      </c>
      <c r="J248" s="8">
        <f>Table2[[#This Row],[Unit price]]*Table2[[#This Row],[Quantity]]</f>
        <v>244.20000000000002</v>
      </c>
      <c r="K248" s="8">
        <f>Table2[[#This Row],[Unit Cost]]*Table2[[#This Row],[Quantity]]</f>
        <v>214.20000000000002</v>
      </c>
      <c r="L248" s="8">
        <f>Table2[[#This Row],[Gross Sales]]-Table2[[#This Row],[COGS]]</f>
        <v>30</v>
      </c>
      <c r="M248" s="9">
        <f t="shared" si="3"/>
        <v>0.12285012285012284</v>
      </c>
      <c r="N248" s="7">
        <v>12.21</v>
      </c>
      <c r="O248" s="7">
        <v>256.41000000000003</v>
      </c>
      <c r="P248" s="10">
        <v>43505</v>
      </c>
      <c r="Q248" s="10" t="str">
        <f>TEXT(Table2[[#This Row],[Date]],"mmm")</f>
        <v>Feb</v>
      </c>
      <c r="R248" s="11">
        <v>0.82152777777777775</v>
      </c>
      <c r="S248" s="6" t="s">
        <v>33</v>
      </c>
      <c r="T248" s="7">
        <v>4.8</v>
      </c>
      <c r="U248" s="6">
        <f>IF(_xlfn.XLOOKUP(A248,[1]Data2!$A:$A,[1]Data2!$B:$B,"no")="yes",1,0)</f>
        <v>0</v>
      </c>
    </row>
    <row r="249" spans="1:21" s="6" customFormat="1" x14ac:dyDescent="0.3">
      <c r="A249" s="6" t="s">
        <v>287</v>
      </c>
      <c r="B249" s="6" t="s">
        <v>22</v>
      </c>
      <c r="C249" s="6" t="s">
        <v>23</v>
      </c>
      <c r="D249" s="6" t="s">
        <v>24</v>
      </c>
      <c r="E249" s="6" t="s">
        <v>35</v>
      </c>
      <c r="F249" s="6" t="s">
        <v>50</v>
      </c>
      <c r="G249" s="7">
        <f>Table2[[#This Row],[Unit price]]-10</f>
        <v>7.9400000000000013</v>
      </c>
      <c r="H249" s="7">
        <v>17.940000000000001</v>
      </c>
      <c r="I249" s="8">
        <v>5</v>
      </c>
      <c r="J249" s="8">
        <f>Table2[[#This Row],[Unit price]]*Table2[[#This Row],[Quantity]]</f>
        <v>89.7</v>
      </c>
      <c r="K249" s="8">
        <f>Table2[[#This Row],[Unit Cost]]*Table2[[#This Row],[Quantity]]</f>
        <v>39.700000000000003</v>
      </c>
      <c r="L249" s="8">
        <f>Table2[[#This Row],[Gross Sales]]-Table2[[#This Row],[COGS]]</f>
        <v>50</v>
      </c>
      <c r="M249" s="9">
        <f t="shared" si="3"/>
        <v>0.55741360089186176</v>
      </c>
      <c r="N249" s="7">
        <v>4.4850000000000003</v>
      </c>
      <c r="O249" s="7">
        <v>94.185000000000002</v>
      </c>
      <c r="P249" s="10">
        <v>43488</v>
      </c>
      <c r="Q249" s="10" t="str">
        <f>TEXT(Table2[[#This Row],[Date]],"mmm")</f>
        <v>Jan</v>
      </c>
      <c r="R249" s="11">
        <v>0.58611111111111114</v>
      </c>
      <c r="S249" s="6" t="s">
        <v>27</v>
      </c>
      <c r="T249" s="7">
        <v>6.8</v>
      </c>
      <c r="U249" s="6">
        <f>IF(_xlfn.XLOOKUP(A249,[1]Data2!$A:$A,[1]Data2!$B:$B,"no")="yes",1,0)</f>
        <v>0</v>
      </c>
    </row>
    <row r="250" spans="1:21" s="6" customFormat="1" x14ac:dyDescent="0.3">
      <c r="A250" s="6" t="s">
        <v>288</v>
      </c>
      <c r="B250" s="6" t="s">
        <v>22</v>
      </c>
      <c r="C250" s="6" t="s">
        <v>23</v>
      </c>
      <c r="D250" s="6" t="s">
        <v>24</v>
      </c>
      <c r="E250" s="6" t="s">
        <v>35</v>
      </c>
      <c r="F250" s="6" t="s">
        <v>32</v>
      </c>
      <c r="G250" s="7">
        <f>Table2[[#This Row],[Unit price]]-10</f>
        <v>67.72</v>
      </c>
      <c r="H250" s="7">
        <v>77.72</v>
      </c>
      <c r="I250" s="8">
        <v>4</v>
      </c>
      <c r="J250" s="8">
        <f>Table2[[#This Row],[Unit price]]*Table2[[#This Row],[Quantity]]</f>
        <v>310.88</v>
      </c>
      <c r="K250" s="8">
        <f>Table2[[#This Row],[Unit Cost]]*Table2[[#This Row],[Quantity]]</f>
        <v>270.88</v>
      </c>
      <c r="L250" s="8">
        <f>Table2[[#This Row],[Gross Sales]]-Table2[[#This Row],[COGS]]</f>
        <v>40</v>
      </c>
      <c r="M250" s="9">
        <f t="shared" si="3"/>
        <v>0.12866700977869275</v>
      </c>
      <c r="N250" s="7">
        <v>15.544</v>
      </c>
      <c r="O250" s="7">
        <v>326.42399999999998</v>
      </c>
      <c r="P250" s="10">
        <v>43472</v>
      </c>
      <c r="Q250" s="10" t="str">
        <f>TEXT(Table2[[#This Row],[Date]],"mmm")</f>
        <v>Jan</v>
      </c>
      <c r="R250" s="11">
        <v>0.6743055555555556</v>
      </c>
      <c r="S250" s="6" t="s">
        <v>37</v>
      </c>
      <c r="T250" s="7">
        <v>8.8000000000000007</v>
      </c>
      <c r="U250" s="6">
        <f>IF(_xlfn.XLOOKUP(A250,[1]Data2!$A:$A,[1]Data2!$B:$B,"no")="yes",1,0)</f>
        <v>1</v>
      </c>
    </row>
    <row r="251" spans="1:21" s="6" customFormat="1" x14ac:dyDescent="0.3">
      <c r="A251" s="6" t="s">
        <v>289</v>
      </c>
      <c r="B251" s="6" t="s">
        <v>46</v>
      </c>
      <c r="C251" s="6" t="s">
        <v>47</v>
      </c>
      <c r="D251" s="6" t="s">
        <v>31</v>
      </c>
      <c r="E251" s="6" t="s">
        <v>35</v>
      </c>
      <c r="F251" s="6" t="s">
        <v>48</v>
      </c>
      <c r="G251" s="7">
        <f>Table2[[#This Row],[Unit price]]-10</f>
        <v>63.06</v>
      </c>
      <c r="H251" s="7">
        <v>73.06</v>
      </c>
      <c r="I251" s="8">
        <v>7</v>
      </c>
      <c r="J251" s="8">
        <f>Table2[[#This Row],[Unit price]]*Table2[[#This Row],[Quantity]]</f>
        <v>511.42</v>
      </c>
      <c r="K251" s="8">
        <f>Table2[[#This Row],[Unit Cost]]*Table2[[#This Row],[Quantity]]</f>
        <v>441.42</v>
      </c>
      <c r="L251" s="8">
        <f>Table2[[#This Row],[Gross Sales]]-Table2[[#This Row],[COGS]]</f>
        <v>70</v>
      </c>
      <c r="M251" s="9">
        <f t="shared" si="3"/>
        <v>0.13687380235422938</v>
      </c>
      <c r="N251" s="7">
        <v>25.571000000000002</v>
      </c>
      <c r="O251" s="7">
        <v>536.99099999999999</v>
      </c>
      <c r="P251" s="10">
        <v>43479</v>
      </c>
      <c r="Q251" s="10" t="str">
        <f>TEXT(Table2[[#This Row],[Date]],"mmm")</f>
        <v>Jan</v>
      </c>
      <c r="R251" s="11">
        <v>0.79583333333333339</v>
      </c>
      <c r="S251" s="6" t="s">
        <v>37</v>
      </c>
      <c r="T251" s="7">
        <v>4.2</v>
      </c>
      <c r="U251" s="6">
        <f>IF(_xlfn.XLOOKUP(A251,[1]Data2!$A:$A,[1]Data2!$B:$B,"no")="yes",1,0)</f>
        <v>0</v>
      </c>
    </row>
    <row r="252" spans="1:21" s="6" customFormat="1" x14ac:dyDescent="0.3">
      <c r="A252" s="6" t="s">
        <v>290</v>
      </c>
      <c r="B252" s="6" t="s">
        <v>46</v>
      </c>
      <c r="C252" s="6" t="s">
        <v>47</v>
      </c>
      <c r="D252" s="6" t="s">
        <v>24</v>
      </c>
      <c r="E252" s="6" t="s">
        <v>35</v>
      </c>
      <c r="F252" s="6" t="s">
        <v>48</v>
      </c>
      <c r="G252" s="7">
        <f>Table2[[#This Row],[Unit price]]-10</f>
        <v>36.549999999999997</v>
      </c>
      <c r="H252" s="7">
        <v>46.55</v>
      </c>
      <c r="I252" s="8">
        <v>9</v>
      </c>
      <c r="J252" s="8">
        <f>Table2[[#This Row],[Unit price]]*Table2[[#This Row],[Quantity]]</f>
        <v>418.95</v>
      </c>
      <c r="K252" s="8">
        <f>Table2[[#This Row],[Unit Cost]]*Table2[[#This Row],[Quantity]]</f>
        <v>328.95</v>
      </c>
      <c r="L252" s="8">
        <f>Table2[[#This Row],[Gross Sales]]-Table2[[#This Row],[COGS]]</f>
        <v>90</v>
      </c>
      <c r="M252" s="9">
        <f t="shared" si="3"/>
        <v>0.21482277121374865</v>
      </c>
      <c r="N252" s="7">
        <v>20.947500000000002</v>
      </c>
      <c r="O252" s="7">
        <v>439.89749999999998</v>
      </c>
      <c r="P252" s="10">
        <v>43498</v>
      </c>
      <c r="Q252" s="10" t="str">
        <f>TEXT(Table2[[#This Row],[Date]],"mmm")</f>
        <v>Feb</v>
      </c>
      <c r="R252" s="11">
        <v>0.64861111111111114</v>
      </c>
      <c r="S252" s="6" t="s">
        <v>27</v>
      </c>
      <c r="T252" s="7">
        <v>6.4</v>
      </c>
      <c r="U252" s="6">
        <f>IF(_xlfn.XLOOKUP(A252,[1]Data2!$A:$A,[1]Data2!$B:$B,"no")="yes",1,0)</f>
        <v>0</v>
      </c>
    </row>
    <row r="253" spans="1:21" s="6" customFormat="1" x14ac:dyDescent="0.3">
      <c r="A253" s="6" t="s">
        <v>291</v>
      </c>
      <c r="B253" s="6" t="s">
        <v>29</v>
      </c>
      <c r="C253" s="6" t="s">
        <v>30</v>
      </c>
      <c r="D253" s="6" t="s">
        <v>24</v>
      </c>
      <c r="E253" s="6" t="s">
        <v>35</v>
      </c>
      <c r="F253" s="6" t="s">
        <v>50</v>
      </c>
      <c r="G253" s="7">
        <f>Table2[[#This Row],[Unit price]]-10</f>
        <v>25.189999999999998</v>
      </c>
      <c r="H253" s="7">
        <v>35.19</v>
      </c>
      <c r="I253" s="8">
        <v>10</v>
      </c>
      <c r="J253" s="8">
        <f>Table2[[#This Row],[Unit price]]*Table2[[#This Row],[Quantity]]</f>
        <v>351.9</v>
      </c>
      <c r="K253" s="8">
        <f>Table2[[#This Row],[Unit Cost]]*Table2[[#This Row],[Quantity]]</f>
        <v>251.89999999999998</v>
      </c>
      <c r="L253" s="8">
        <f>Table2[[#This Row],[Gross Sales]]-Table2[[#This Row],[COGS]]</f>
        <v>100</v>
      </c>
      <c r="M253" s="9">
        <f t="shared" si="3"/>
        <v>0.28417163967036091</v>
      </c>
      <c r="N253" s="7">
        <v>17.594999999999999</v>
      </c>
      <c r="O253" s="7">
        <v>369.495</v>
      </c>
      <c r="P253" s="10">
        <v>43541</v>
      </c>
      <c r="Q253" s="10" t="str">
        <f>TEXT(Table2[[#This Row],[Date]],"mmm")</f>
        <v>Mar</v>
      </c>
      <c r="R253" s="11">
        <v>0.79583333333333339</v>
      </c>
      <c r="S253" s="6" t="s">
        <v>37</v>
      </c>
      <c r="T253" s="7">
        <v>8.4</v>
      </c>
      <c r="U253" s="6">
        <f>IF(_xlfn.XLOOKUP(A253,[1]Data2!$A:$A,[1]Data2!$B:$B,"no")="yes",1,0)</f>
        <v>0</v>
      </c>
    </row>
    <row r="254" spans="1:21" s="6" customFormat="1" x14ac:dyDescent="0.3">
      <c r="A254" s="6" t="s">
        <v>292</v>
      </c>
      <c r="B254" s="6" t="s">
        <v>29</v>
      </c>
      <c r="C254" s="6" t="s">
        <v>30</v>
      </c>
      <c r="D254" s="6" t="s">
        <v>31</v>
      </c>
      <c r="E254" s="6" t="s">
        <v>25</v>
      </c>
      <c r="F254" s="6" t="s">
        <v>40</v>
      </c>
      <c r="G254" s="7">
        <f>Table2[[#This Row],[Unit price]]-10</f>
        <v>4.3900000000000006</v>
      </c>
      <c r="H254" s="7">
        <v>14.39</v>
      </c>
      <c r="I254" s="8">
        <v>2</v>
      </c>
      <c r="J254" s="8">
        <f>Table2[[#This Row],[Unit price]]*Table2[[#This Row],[Quantity]]</f>
        <v>28.78</v>
      </c>
      <c r="K254" s="8">
        <f>Table2[[#This Row],[Unit Cost]]*Table2[[#This Row],[Quantity]]</f>
        <v>8.7800000000000011</v>
      </c>
      <c r="L254" s="8">
        <f>Table2[[#This Row],[Gross Sales]]-Table2[[#This Row],[COGS]]</f>
        <v>20</v>
      </c>
      <c r="M254" s="9">
        <f t="shared" si="3"/>
        <v>0.69492703266157052</v>
      </c>
      <c r="N254" s="7">
        <v>1.4390000000000001</v>
      </c>
      <c r="O254" s="7">
        <v>30.219000000000001</v>
      </c>
      <c r="P254" s="10">
        <v>43526</v>
      </c>
      <c r="Q254" s="10" t="str">
        <f>TEXT(Table2[[#This Row],[Date]],"mmm")</f>
        <v>Mar</v>
      </c>
      <c r="R254" s="11">
        <v>0.8222222222222223</v>
      </c>
      <c r="S254" s="6" t="s">
        <v>37</v>
      </c>
      <c r="T254" s="7">
        <v>7.2</v>
      </c>
      <c r="U254" s="6">
        <f>IF(_xlfn.XLOOKUP(A254,[1]Data2!$A:$A,[1]Data2!$B:$B,"no")="yes",1,0)</f>
        <v>1</v>
      </c>
    </row>
    <row r="255" spans="1:21" s="6" customFormat="1" x14ac:dyDescent="0.3">
      <c r="A255" s="6" t="s">
        <v>293</v>
      </c>
      <c r="B255" s="6" t="s">
        <v>22</v>
      </c>
      <c r="C255" s="6" t="s">
        <v>23</v>
      </c>
      <c r="D255" s="6" t="s">
        <v>31</v>
      </c>
      <c r="E255" s="6" t="s">
        <v>35</v>
      </c>
      <c r="F255" s="6" t="s">
        <v>36</v>
      </c>
      <c r="G255" s="7">
        <f>Table2[[#This Row],[Unit price]]-10</f>
        <v>13.75</v>
      </c>
      <c r="H255" s="7">
        <v>23.75</v>
      </c>
      <c r="I255" s="8">
        <v>4</v>
      </c>
      <c r="J255" s="8">
        <f>Table2[[#This Row],[Unit price]]*Table2[[#This Row],[Quantity]]</f>
        <v>95</v>
      </c>
      <c r="K255" s="8">
        <f>Table2[[#This Row],[Unit Cost]]*Table2[[#This Row],[Quantity]]</f>
        <v>55</v>
      </c>
      <c r="L255" s="8">
        <f>Table2[[#This Row],[Gross Sales]]-Table2[[#This Row],[COGS]]</f>
        <v>40</v>
      </c>
      <c r="M255" s="9">
        <f t="shared" si="3"/>
        <v>0.42105263157894735</v>
      </c>
      <c r="N255" s="7">
        <v>4.75</v>
      </c>
      <c r="O255" s="7">
        <v>99.75</v>
      </c>
      <c r="P255" s="10">
        <v>43540</v>
      </c>
      <c r="Q255" s="10" t="str">
        <f>TEXT(Table2[[#This Row],[Date]],"mmm")</f>
        <v>Mar</v>
      </c>
      <c r="R255" s="11">
        <v>0.47361111111111115</v>
      </c>
      <c r="S255" s="6" t="s">
        <v>33</v>
      </c>
      <c r="T255" s="7">
        <v>5.2</v>
      </c>
      <c r="U255" s="6">
        <f>IF(_xlfn.XLOOKUP(A255,[1]Data2!$A:$A,[1]Data2!$B:$B,"no")="yes",1,0)</f>
        <v>0</v>
      </c>
    </row>
    <row r="256" spans="1:21" s="6" customFormat="1" x14ac:dyDescent="0.3">
      <c r="A256" s="6" t="s">
        <v>294</v>
      </c>
      <c r="B256" s="6" t="s">
        <v>22</v>
      </c>
      <c r="C256" s="6" t="s">
        <v>23</v>
      </c>
      <c r="D256" s="6" t="s">
        <v>24</v>
      </c>
      <c r="E256" s="6" t="s">
        <v>35</v>
      </c>
      <c r="F256" s="6" t="s">
        <v>36</v>
      </c>
      <c r="G256" s="7">
        <f>Table2[[#This Row],[Unit price]]-10</f>
        <v>48.9</v>
      </c>
      <c r="H256" s="7">
        <v>58.9</v>
      </c>
      <c r="I256" s="8">
        <v>8</v>
      </c>
      <c r="J256" s="8">
        <f>Table2[[#This Row],[Unit price]]*Table2[[#This Row],[Quantity]]</f>
        <v>471.2</v>
      </c>
      <c r="K256" s="8">
        <f>Table2[[#This Row],[Unit Cost]]*Table2[[#This Row],[Quantity]]</f>
        <v>391.2</v>
      </c>
      <c r="L256" s="8">
        <f>Table2[[#This Row],[Gross Sales]]-Table2[[#This Row],[COGS]]</f>
        <v>80</v>
      </c>
      <c r="M256" s="9">
        <f t="shared" si="3"/>
        <v>0.1697792869269949</v>
      </c>
      <c r="N256" s="7">
        <v>23.56</v>
      </c>
      <c r="O256" s="7">
        <v>494.76</v>
      </c>
      <c r="P256" s="10">
        <v>43471</v>
      </c>
      <c r="Q256" s="10" t="str">
        <f>TEXT(Table2[[#This Row],[Date]],"mmm")</f>
        <v>Jan</v>
      </c>
      <c r="R256" s="11">
        <v>0.47430555555555554</v>
      </c>
      <c r="S256" s="6" t="s">
        <v>33</v>
      </c>
      <c r="T256" s="7">
        <v>8.9</v>
      </c>
      <c r="U256" s="6">
        <f>IF(_xlfn.XLOOKUP(A256,[1]Data2!$A:$A,[1]Data2!$B:$B,"no")="yes",1,0)</f>
        <v>0</v>
      </c>
    </row>
    <row r="257" spans="1:21" s="6" customFormat="1" x14ac:dyDescent="0.3">
      <c r="A257" s="6" t="s">
        <v>295</v>
      </c>
      <c r="B257" s="6" t="s">
        <v>46</v>
      </c>
      <c r="C257" s="6" t="s">
        <v>47</v>
      </c>
      <c r="D257" s="6" t="s">
        <v>24</v>
      </c>
      <c r="E257" s="6" t="s">
        <v>35</v>
      </c>
      <c r="F257" s="6" t="s">
        <v>50</v>
      </c>
      <c r="G257" s="7">
        <f>Table2[[#This Row],[Unit price]]-10</f>
        <v>22.619999999999997</v>
      </c>
      <c r="H257" s="7">
        <v>32.619999999999997</v>
      </c>
      <c r="I257" s="8">
        <v>4</v>
      </c>
      <c r="J257" s="8">
        <f>Table2[[#This Row],[Unit price]]*Table2[[#This Row],[Quantity]]</f>
        <v>130.47999999999999</v>
      </c>
      <c r="K257" s="8">
        <f>Table2[[#This Row],[Unit Cost]]*Table2[[#This Row],[Quantity]]</f>
        <v>90.47999999999999</v>
      </c>
      <c r="L257" s="8">
        <f>Table2[[#This Row],[Gross Sales]]-Table2[[#This Row],[COGS]]</f>
        <v>40</v>
      </c>
      <c r="M257" s="9">
        <f t="shared" si="3"/>
        <v>0.30656039239730232</v>
      </c>
      <c r="N257" s="7">
        <v>6.524</v>
      </c>
      <c r="O257" s="7">
        <v>137.00399999999999</v>
      </c>
      <c r="P257" s="10">
        <v>43494</v>
      </c>
      <c r="Q257" s="10" t="str">
        <f>TEXT(Table2[[#This Row],[Date]],"mmm")</f>
        <v>Jan</v>
      </c>
      <c r="R257" s="11">
        <v>0.59166666666666667</v>
      </c>
      <c r="S257" s="6" t="s">
        <v>33</v>
      </c>
      <c r="T257" s="7">
        <v>9</v>
      </c>
      <c r="U257" s="6">
        <f>IF(_xlfn.XLOOKUP(A257,[1]Data2!$A:$A,[1]Data2!$B:$B,"no")="yes",1,0)</f>
        <v>0</v>
      </c>
    </row>
    <row r="258" spans="1:21" s="6" customFormat="1" x14ac:dyDescent="0.3">
      <c r="A258" s="6" t="s">
        <v>296</v>
      </c>
      <c r="B258" s="6" t="s">
        <v>22</v>
      </c>
      <c r="C258" s="6" t="s">
        <v>23</v>
      </c>
      <c r="D258" s="6" t="s">
        <v>24</v>
      </c>
      <c r="E258" s="6" t="s">
        <v>35</v>
      </c>
      <c r="F258" s="6" t="s">
        <v>32</v>
      </c>
      <c r="G258" s="7">
        <f>Table2[[#This Row],[Unit price]]-10</f>
        <v>56.349999999999994</v>
      </c>
      <c r="H258" s="7">
        <v>66.349999999999994</v>
      </c>
      <c r="I258" s="8">
        <v>1</v>
      </c>
      <c r="J258" s="8">
        <f>Table2[[#This Row],[Unit price]]*Table2[[#This Row],[Quantity]]</f>
        <v>66.349999999999994</v>
      </c>
      <c r="K258" s="8">
        <f>Table2[[#This Row],[Unit Cost]]*Table2[[#This Row],[Quantity]]</f>
        <v>56.349999999999994</v>
      </c>
      <c r="L258" s="8">
        <f>Table2[[#This Row],[Gross Sales]]-Table2[[#This Row],[COGS]]</f>
        <v>10</v>
      </c>
      <c r="M258" s="9">
        <f t="shared" si="3"/>
        <v>0.15071590052750566</v>
      </c>
      <c r="N258" s="7">
        <v>3.3174999999999999</v>
      </c>
      <c r="O258" s="7">
        <v>69.667500000000004</v>
      </c>
      <c r="P258" s="10">
        <v>43496</v>
      </c>
      <c r="Q258" s="10" t="str">
        <f>TEXT(Table2[[#This Row],[Date]],"mmm")</f>
        <v>Jan</v>
      </c>
      <c r="R258" s="11">
        <v>0.44861111111111113</v>
      </c>
      <c r="S258" s="6" t="s">
        <v>37</v>
      </c>
      <c r="T258" s="7">
        <v>9.6999999999999993</v>
      </c>
      <c r="U258" s="6">
        <f>IF(_xlfn.XLOOKUP(A258,[1]Data2!$A:$A,[1]Data2!$B:$B,"no")="yes",1,0)</f>
        <v>1</v>
      </c>
    </row>
    <row r="259" spans="1:21" s="6" customFormat="1" x14ac:dyDescent="0.3">
      <c r="A259" s="6" t="s">
        <v>297</v>
      </c>
      <c r="B259" s="6" t="s">
        <v>22</v>
      </c>
      <c r="C259" s="6" t="s">
        <v>23</v>
      </c>
      <c r="D259" s="6" t="s">
        <v>24</v>
      </c>
      <c r="E259" s="6" t="s">
        <v>35</v>
      </c>
      <c r="F259" s="6" t="s">
        <v>36</v>
      </c>
      <c r="G259" s="7">
        <f>Table2[[#This Row],[Unit price]]-10</f>
        <v>15.91</v>
      </c>
      <c r="H259" s="7">
        <v>25.91</v>
      </c>
      <c r="I259" s="8">
        <v>6</v>
      </c>
      <c r="J259" s="8">
        <f>Table2[[#This Row],[Unit price]]*Table2[[#This Row],[Quantity]]</f>
        <v>155.46</v>
      </c>
      <c r="K259" s="8">
        <f>Table2[[#This Row],[Unit Cost]]*Table2[[#This Row],[Quantity]]</f>
        <v>95.460000000000008</v>
      </c>
      <c r="L259" s="8">
        <f>Table2[[#This Row],[Gross Sales]]-Table2[[#This Row],[COGS]]</f>
        <v>60</v>
      </c>
      <c r="M259" s="9">
        <f t="shared" ref="M259:M322" si="4">IFERROR(L259/J259,0)</f>
        <v>0.38595137012736391</v>
      </c>
      <c r="N259" s="7">
        <v>7.7729999999999997</v>
      </c>
      <c r="O259" s="7">
        <v>163.233</v>
      </c>
      <c r="P259" s="10">
        <v>43501</v>
      </c>
      <c r="Q259" s="10" t="str">
        <f>TEXT(Table2[[#This Row],[Date]],"mmm")</f>
        <v>Feb</v>
      </c>
      <c r="R259" s="11">
        <v>0.42777777777777781</v>
      </c>
      <c r="S259" s="6" t="s">
        <v>27</v>
      </c>
      <c r="T259" s="7">
        <v>8.6999999999999993</v>
      </c>
      <c r="U259" s="6">
        <f>IF(_xlfn.XLOOKUP(A259,[1]Data2!$A:$A,[1]Data2!$B:$B,"no")="yes",1,0)</f>
        <v>0</v>
      </c>
    </row>
    <row r="260" spans="1:21" s="6" customFormat="1" x14ac:dyDescent="0.3">
      <c r="A260" s="6" t="s">
        <v>298</v>
      </c>
      <c r="B260" s="6" t="s">
        <v>22</v>
      </c>
      <c r="C260" s="6" t="s">
        <v>23</v>
      </c>
      <c r="D260" s="6" t="s">
        <v>24</v>
      </c>
      <c r="E260" s="6" t="s">
        <v>35</v>
      </c>
      <c r="F260" s="6" t="s">
        <v>32</v>
      </c>
      <c r="G260" s="7">
        <f>Table2[[#This Row],[Unit price]]-10</f>
        <v>22.25</v>
      </c>
      <c r="H260" s="7">
        <v>32.25</v>
      </c>
      <c r="I260" s="8">
        <v>4</v>
      </c>
      <c r="J260" s="8">
        <f>Table2[[#This Row],[Unit price]]*Table2[[#This Row],[Quantity]]</f>
        <v>129</v>
      </c>
      <c r="K260" s="8">
        <f>Table2[[#This Row],[Unit Cost]]*Table2[[#This Row],[Quantity]]</f>
        <v>89</v>
      </c>
      <c r="L260" s="8">
        <f>Table2[[#This Row],[Gross Sales]]-Table2[[#This Row],[COGS]]</f>
        <v>40</v>
      </c>
      <c r="M260" s="9">
        <f t="shared" si="4"/>
        <v>0.31007751937984496</v>
      </c>
      <c r="N260" s="7">
        <v>6.45</v>
      </c>
      <c r="O260" s="7">
        <v>135.44999999999999</v>
      </c>
      <c r="P260" s="10">
        <v>43509</v>
      </c>
      <c r="Q260" s="10" t="str">
        <f>TEXT(Table2[[#This Row],[Date]],"mmm")</f>
        <v>Feb</v>
      </c>
      <c r="R260" s="11">
        <v>0.52638888888888891</v>
      </c>
      <c r="S260" s="6" t="s">
        <v>27</v>
      </c>
      <c r="T260" s="7">
        <v>6.5</v>
      </c>
      <c r="U260" s="6">
        <f>IF(_xlfn.XLOOKUP(A260,[1]Data2!$A:$A,[1]Data2!$B:$B,"no")="yes",1,0)</f>
        <v>0</v>
      </c>
    </row>
    <row r="261" spans="1:21" s="6" customFormat="1" x14ac:dyDescent="0.3">
      <c r="A261" s="6" t="s">
        <v>299</v>
      </c>
      <c r="B261" s="6" t="s">
        <v>29</v>
      </c>
      <c r="C261" s="6" t="s">
        <v>30</v>
      </c>
      <c r="D261" s="6" t="s">
        <v>24</v>
      </c>
      <c r="E261" s="6" t="s">
        <v>35</v>
      </c>
      <c r="F261" s="6" t="s">
        <v>32</v>
      </c>
      <c r="G261" s="7">
        <f>Table2[[#This Row],[Unit price]]-10</f>
        <v>55.94</v>
      </c>
      <c r="H261" s="7">
        <v>65.94</v>
      </c>
      <c r="I261" s="8">
        <v>4</v>
      </c>
      <c r="J261" s="8">
        <f>Table2[[#This Row],[Unit price]]*Table2[[#This Row],[Quantity]]</f>
        <v>263.76</v>
      </c>
      <c r="K261" s="8">
        <f>Table2[[#This Row],[Unit Cost]]*Table2[[#This Row],[Quantity]]</f>
        <v>223.76</v>
      </c>
      <c r="L261" s="8">
        <f>Table2[[#This Row],[Gross Sales]]-Table2[[#This Row],[COGS]]</f>
        <v>40</v>
      </c>
      <c r="M261" s="9">
        <f t="shared" si="4"/>
        <v>0.15165301789505611</v>
      </c>
      <c r="N261" s="7">
        <v>13.188000000000001</v>
      </c>
      <c r="O261" s="7">
        <v>276.94799999999998</v>
      </c>
      <c r="P261" s="10">
        <v>43503</v>
      </c>
      <c r="Q261" s="10" t="str">
        <f>TEXT(Table2[[#This Row],[Date]],"mmm")</f>
        <v>Feb</v>
      </c>
      <c r="R261" s="11">
        <v>0.54513888888888895</v>
      </c>
      <c r="S261" s="6" t="s">
        <v>37</v>
      </c>
      <c r="T261" s="7">
        <v>6.9</v>
      </c>
      <c r="U261" s="6">
        <f>IF(_xlfn.XLOOKUP(A261,[1]Data2!$A:$A,[1]Data2!$B:$B,"no")="yes",1,0)</f>
        <v>0</v>
      </c>
    </row>
    <row r="262" spans="1:21" s="6" customFormat="1" x14ac:dyDescent="0.3">
      <c r="A262" s="6" t="s">
        <v>300</v>
      </c>
      <c r="B262" s="6" t="s">
        <v>22</v>
      </c>
      <c r="C262" s="6" t="s">
        <v>23</v>
      </c>
      <c r="D262" s="6" t="s">
        <v>31</v>
      </c>
      <c r="E262" s="6" t="s">
        <v>25</v>
      </c>
      <c r="F262" s="6" t="s">
        <v>32</v>
      </c>
      <c r="G262" s="7">
        <f>Table2[[#This Row],[Unit price]]-10</f>
        <v>65.06</v>
      </c>
      <c r="H262" s="7">
        <v>75.06</v>
      </c>
      <c r="I262" s="8">
        <v>9</v>
      </c>
      <c r="J262" s="8">
        <f>Table2[[#This Row],[Unit price]]*Table2[[#This Row],[Quantity]]</f>
        <v>675.54</v>
      </c>
      <c r="K262" s="8">
        <f>Table2[[#This Row],[Unit Cost]]*Table2[[#This Row],[Quantity]]</f>
        <v>585.54</v>
      </c>
      <c r="L262" s="8">
        <f>Table2[[#This Row],[Gross Sales]]-Table2[[#This Row],[COGS]]</f>
        <v>90</v>
      </c>
      <c r="M262" s="9">
        <f t="shared" si="4"/>
        <v>0.1332267519317879</v>
      </c>
      <c r="N262" s="7">
        <v>33.777000000000001</v>
      </c>
      <c r="O262" s="7">
        <v>709.31700000000001</v>
      </c>
      <c r="P262" s="10">
        <v>43543</v>
      </c>
      <c r="Q262" s="10" t="str">
        <f>TEXT(Table2[[#This Row],[Date]],"mmm")</f>
        <v>Mar</v>
      </c>
      <c r="R262" s="11">
        <v>0.55902777777777779</v>
      </c>
      <c r="S262" s="6" t="s">
        <v>27</v>
      </c>
      <c r="T262" s="7">
        <v>6.2</v>
      </c>
      <c r="U262" s="6">
        <f>IF(_xlfn.XLOOKUP(A262,[1]Data2!$A:$A,[1]Data2!$B:$B,"no")="yes",1,0)</f>
        <v>1</v>
      </c>
    </row>
    <row r="263" spans="1:21" s="6" customFormat="1" x14ac:dyDescent="0.3">
      <c r="A263" s="6" t="s">
        <v>301</v>
      </c>
      <c r="B263" s="6" t="s">
        <v>29</v>
      </c>
      <c r="C263" s="6" t="s">
        <v>30</v>
      </c>
      <c r="D263" s="6" t="s">
        <v>31</v>
      </c>
      <c r="E263" s="6" t="s">
        <v>25</v>
      </c>
      <c r="F263" s="6" t="s">
        <v>50</v>
      </c>
      <c r="G263" s="7">
        <f>Table2[[#This Row],[Unit price]]-10</f>
        <v>6.4499999999999993</v>
      </c>
      <c r="H263" s="7">
        <v>16.45</v>
      </c>
      <c r="I263" s="8">
        <v>4</v>
      </c>
      <c r="J263" s="8">
        <f>Table2[[#This Row],[Unit price]]*Table2[[#This Row],[Quantity]]</f>
        <v>65.8</v>
      </c>
      <c r="K263" s="8">
        <f>Table2[[#This Row],[Unit Cost]]*Table2[[#This Row],[Quantity]]</f>
        <v>25.799999999999997</v>
      </c>
      <c r="L263" s="8">
        <f>Table2[[#This Row],[Gross Sales]]-Table2[[#This Row],[COGS]]</f>
        <v>40</v>
      </c>
      <c r="M263" s="9">
        <f t="shared" si="4"/>
        <v>0.60790273556231</v>
      </c>
      <c r="N263" s="7">
        <v>3.29</v>
      </c>
      <c r="O263" s="7">
        <v>69.09</v>
      </c>
      <c r="P263" s="10">
        <v>43531</v>
      </c>
      <c r="Q263" s="10" t="str">
        <f>TEXT(Table2[[#This Row],[Date]],"mmm")</f>
        <v>Mar</v>
      </c>
      <c r="R263" s="11">
        <v>0.62013888888888891</v>
      </c>
      <c r="S263" s="6" t="s">
        <v>27</v>
      </c>
      <c r="T263" s="7">
        <v>5.6</v>
      </c>
      <c r="U263" s="6">
        <f>IF(_xlfn.XLOOKUP(A263,[1]Data2!$A:$A,[1]Data2!$B:$B,"no")="yes",1,0)</f>
        <v>0</v>
      </c>
    </row>
    <row r="264" spans="1:21" s="6" customFormat="1" x14ac:dyDescent="0.3">
      <c r="A264" s="6" t="s">
        <v>302</v>
      </c>
      <c r="B264" s="6" t="s">
        <v>46</v>
      </c>
      <c r="C264" s="6" t="s">
        <v>47</v>
      </c>
      <c r="D264" s="6" t="s">
        <v>24</v>
      </c>
      <c r="E264" s="6" t="s">
        <v>25</v>
      </c>
      <c r="F264" s="6" t="s">
        <v>50</v>
      </c>
      <c r="G264" s="7">
        <f>Table2[[#This Row],[Unit price]]-10</f>
        <v>28.299999999999997</v>
      </c>
      <c r="H264" s="7">
        <v>38.299999999999997</v>
      </c>
      <c r="I264" s="8">
        <v>4</v>
      </c>
      <c r="J264" s="8">
        <f>Table2[[#This Row],[Unit price]]*Table2[[#This Row],[Quantity]]</f>
        <v>153.19999999999999</v>
      </c>
      <c r="K264" s="8">
        <f>Table2[[#This Row],[Unit Cost]]*Table2[[#This Row],[Quantity]]</f>
        <v>113.19999999999999</v>
      </c>
      <c r="L264" s="8">
        <f>Table2[[#This Row],[Gross Sales]]-Table2[[#This Row],[COGS]]</f>
        <v>40</v>
      </c>
      <c r="M264" s="9">
        <f t="shared" si="4"/>
        <v>0.26109660574412535</v>
      </c>
      <c r="N264" s="7">
        <v>7.66</v>
      </c>
      <c r="O264" s="7">
        <v>160.86000000000001</v>
      </c>
      <c r="P264" s="10">
        <v>43537</v>
      </c>
      <c r="Q264" s="10" t="str">
        <f>TEXT(Table2[[#This Row],[Date]],"mmm")</f>
        <v>Mar</v>
      </c>
      <c r="R264" s="11">
        <v>0.80694444444444446</v>
      </c>
      <c r="S264" s="6" t="s">
        <v>33</v>
      </c>
      <c r="T264" s="7">
        <v>5.7</v>
      </c>
      <c r="U264" s="6">
        <f>IF(_xlfn.XLOOKUP(A264,[1]Data2!$A:$A,[1]Data2!$B:$B,"no")="yes",1,0)</f>
        <v>0</v>
      </c>
    </row>
    <row r="265" spans="1:21" s="6" customFormat="1" x14ac:dyDescent="0.3">
      <c r="A265" s="6" t="s">
        <v>303</v>
      </c>
      <c r="B265" s="6" t="s">
        <v>22</v>
      </c>
      <c r="C265" s="6" t="s">
        <v>23</v>
      </c>
      <c r="D265" s="6" t="s">
        <v>24</v>
      </c>
      <c r="E265" s="6" t="s">
        <v>25</v>
      </c>
      <c r="F265" s="6" t="s">
        <v>40</v>
      </c>
      <c r="G265" s="7">
        <f>Table2[[#This Row],[Unit price]]-10</f>
        <v>12.239999999999998</v>
      </c>
      <c r="H265" s="7">
        <v>22.24</v>
      </c>
      <c r="I265" s="8">
        <v>10</v>
      </c>
      <c r="J265" s="8">
        <f>Table2[[#This Row],[Unit price]]*Table2[[#This Row],[Quantity]]</f>
        <v>222.39999999999998</v>
      </c>
      <c r="K265" s="8">
        <f>Table2[[#This Row],[Unit Cost]]*Table2[[#This Row],[Quantity]]</f>
        <v>122.39999999999998</v>
      </c>
      <c r="L265" s="8">
        <f>Table2[[#This Row],[Gross Sales]]-Table2[[#This Row],[COGS]]</f>
        <v>100</v>
      </c>
      <c r="M265" s="9">
        <f t="shared" si="4"/>
        <v>0.44964028776978421</v>
      </c>
      <c r="N265" s="7">
        <v>11.12</v>
      </c>
      <c r="O265" s="7">
        <v>233.52</v>
      </c>
      <c r="P265" s="10">
        <v>43505</v>
      </c>
      <c r="Q265" s="10" t="str">
        <f>TEXT(Table2[[#This Row],[Date]],"mmm")</f>
        <v>Feb</v>
      </c>
      <c r="R265" s="11">
        <v>0.45833333333333331</v>
      </c>
      <c r="S265" s="6" t="s">
        <v>33</v>
      </c>
      <c r="T265" s="7">
        <v>4.2</v>
      </c>
      <c r="U265" s="6">
        <f>IF(_xlfn.XLOOKUP(A265,[1]Data2!$A:$A,[1]Data2!$B:$B,"no")="yes",1,0)</f>
        <v>0</v>
      </c>
    </row>
    <row r="266" spans="1:21" s="6" customFormat="1" x14ac:dyDescent="0.3">
      <c r="A266" s="6" t="s">
        <v>304</v>
      </c>
      <c r="B266" s="6" t="s">
        <v>46</v>
      </c>
      <c r="C266" s="6" t="s">
        <v>47</v>
      </c>
      <c r="D266" s="6" t="s">
        <v>31</v>
      </c>
      <c r="E266" s="6" t="s">
        <v>35</v>
      </c>
      <c r="F266" s="6" t="s">
        <v>40</v>
      </c>
      <c r="G266" s="7">
        <f>Table2[[#This Row],[Unit price]]-10</f>
        <v>44.45</v>
      </c>
      <c r="H266" s="7">
        <v>54.45</v>
      </c>
      <c r="I266" s="8">
        <v>1</v>
      </c>
      <c r="J266" s="8">
        <f>Table2[[#This Row],[Unit price]]*Table2[[#This Row],[Quantity]]</f>
        <v>54.45</v>
      </c>
      <c r="K266" s="8">
        <f>Table2[[#This Row],[Unit Cost]]*Table2[[#This Row],[Quantity]]</f>
        <v>44.45</v>
      </c>
      <c r="L266" s="8">
        <f>Table2[[#This Row],[Gross Sales]]-Table2[[#This Row],[COGS]]</f>
        <v>10</v>
      </c>
      <c r="M266" s="9">
        <f t="shared" si="4"/>
        <v>0.18365472910927455</v>
      </c>
      <c r="N266" s="7">
        <v>2.7225000000000001</v>
      </c>
      <c r="O266" s="7">
        <v>57.172499999999999</v>
      </c>
      <c r="P266" s="10">
        <v>43522</v>
      </c>
      <c r="Q266" s="10" t="str">
        <f>TEXT(Table2[[#This Row],[Date]],"mmm")</f>
        <v>Feb</v>
      </c>
      <c r="R266" s="11">
        <v>0.80833333333333324</v>
      </c>
      <c r="S266" s="6" t="s">
        <v>27</v>
      </c>
      <c r="T266" s="7">
        <v>7.9</v>
      </c>
      <c r="U266" s="6">
        <f>IF(_xlfn.XLOOKUP(A266,[1]Data2!$A:$A,[1]Data2!$B:$B,"no")="yes",1,0)</f>
        <v>1</v>
      </c>
    </row>
    <row r="267" spans="1:21" s="6" customFormat="1" x14ac:dyDescent="0.3">
      <c r="A267" s="6" t="s">
        <v>305</v>
      </c>
      <c r="B267" s="6" t="s">
        <v>22</v>
      </c>
      <c r="C267" s="6" t="s">
        <v>23</v>
      </c>
      <c r="D267" s="6" t="s">
        <v>24</v>
      </c>
      <c r="E267" s="6" t="s">
        <v>25</v>
      </c>
      <c r="F267" s="6" t="s">
        <v>40</v>
      </c>
      <c r="G267" s="7">
        <f>Table2[[#This Row],[Unit price]]-10</f>
        <v>88.4</v>
      </c>
      <c r="H267" s="7">
        <v>98.4</v>
      </c>
      <c r="I267" s="8">
        <v>7</v>
      </c>
      <c r="J267" s="8">
        <f>Table2[[#This Row],[Unit price]]*Table2[[#This Row],[Quantity]]</f>
        <v>688.80000000000007</v>
      </c>
      <c r="K267" s="8">
        <f>Table2[[#This Row],[Unit Cost]]*Table2[[#This Row],[Quantity]]</f>
        <v>618.80000000000007</v>
      </c>
      <c r="L267" s="8">
        <f>Table2[[#This Row],[Gross Sales]]-Table2[[#This Row],[COGS]]</f>
        <v>70</v>
      </c>
      <c r="M267" s="9">
        <f t="shared" si="4"/>
        <v>0.10162601626016259</v>
      </c>
      <c r="N267" s="7">
        <v>34.44</v>
      </c>
      <c r="O267" s="7">
        <v>723.24</v>
      </c>
      <c r="P267" s="10">
        <v>43536</v>
      </c>
      <c r="Q267" s="10" t="str">
        <f>TEXT(Table2[[#This Row],[Date]],"mmm")</f>
        <v>Mar</v>
      </c>
      <c r="R267" s="11">
        <v>0.52986111111111112</v>
      </c>
      <c r="S267" s="6" t="s">
        <v>37</v>
      </c>
      <c r="T267" s="7">
        <v>8.6999999999999993</v>
      </c>
      <c r="U267" s="6">
        <f>IF(_xlfn.XLOOKUP(A267,[1]Data2!$A:$A,[1]Data2!$B:$B,"no")="yes",1,0)</f>
        <v>0</v>
      </c>
    </row>
    <row r="268" spans="1:21" s="6" customFormat="1" x14ac:dyDescent="0.3">
      <c r="A268" s="6" t="s">
        <v>306</v>
      </c>
      <c r="B268" s="6" t="s">
        <v>29</v>
      </c>
      <c r="C268" s="6" t="s">
        <v>30</v>
      </c>
      <c r="D268" s="6" t="s">
        <v>31</v>
      </c>
      <c r="E268" s="6" t="s">
        <v>35</v>
      </c>
      <c r="F268" s="6" t="s">
        <v>36</v>
      </c>
      <c r="G268" s="7">
        <f>Table2[[#This Row],[Unit price]]-10</f>
        <v>25.47</v>
      </c>
      <c r="H268" s="7">
        <v>35.47</v>
      </c>
      <c r="I268" s="8">
        <v>4</v>
      </c>
      <c r="J268" s="8">
        <f>Table2[[#This Row],[Unit price]]*Table2[[#This Row],[Quantity]]</f>
        <v>141.88</v>
      </c>
      <c r="K268" s="8">
        <f>Table2[[#This Row],[Unit Cost]]*Table2[[#This Row],[Quantity]]</f>
        <v>101.88</v>
      </c>
      <c r="L268" s="8">
        <f>Table2[[#This Row],[Gross Sales]]-Table2[[#This Row],[COGS]]</f>
        <v>40</v>
      </c>
      <c r="M268" s="9">
        <f t="shared" si="4"/>
        <v>0.28192839018889204</v>
      </c>
      <c r="N268" s="7">
        <v>7.0940000000000003</v>
      </c>
      <c r="O268" s="7">
        <v>148.97399999999999</v>
      </c>
      <c r="P268" s="10">
        <v>43538</v>
      </c>
      <c r="Q268" s="10" t="str">
        <f>TEXT(Table2[[#This Row],[Date]],"mmm")</f>
        <v>Mar</v>
      </c>
      <c r="R268" s="11">
        <v>0.72361111111111109</v>
      </c>
      <c r="S268" s="6" t="s">
        <v>37</v>
      </c>
      <c r="T268" s="7">
        <v>6.9</v>
      </c>
      <c r="U268" s="6">
        <f>IF(_xlfn.XLOOKUP(A268,[1]Data2!$A:$A,[1]Data2!$B:$B,"no")="yes",1,0)</f>
        <v>0</v>
      </c>
    </row>
    <row r="269" spans="1:21" s="6" customFormat="1" x14ac:dyDescent="0.3">
      <c r="A269" s="6" t="s">
        <v>307</v>
      </c>
      <c r="B269" s="6" t="s">
        <v>46</v>
      </c>
      <c r="C269" s="6" t="s">
        <v>47</v>
      </c>
      <c r="D269" s="6" t="s">
        <v>24</v>
      </c>
      <c r="E269" s="6" t="s">
        <v>25</v>
      </c>
      <c r="F269" s="6" t="s">
        <v>48</v>
      </c>
      <c r="G269" s="7">
        <f>Table2[[#This Row],[Unit price]]-10</f>
        <v>64.599999999999994</v>
      </c>
      <c r="H269" s="7">
        <v>74.599999999999994</v>
      </c>
      <c r="I269" s="8">
        <v>10</v>
      </c>
      <c r="J269" s="8">
        <f>Table2[[#This Row],[Unit price]]*Table2[[#This Row],[Quantity]]</f>
        <v>746</v>
      </c>
      <c r="K269" s="8">
        <f>Table2[[#This Row],[Unit Cost]]*Table2[[#This Row],[Quantity]]</f>
        <v>646</v>
      </c>
      <c r="L269" s="8">
        <f>Table2[[#This Row],[Gross Sales]]-Table2[[#This Row],[COGS]]</f>
        <v>100</v>
      </c>
      <c r="M269" s="9">
        <f t="shared" si="4"/>
        <v>0.13404825737265416</v>
      </c>
      <c r="N269" s="7">
        <v>37.299999999999997</v>
      </c>
      <c r="O269" s="7">
        <v>783.3</v>
      </c>
      <c r="P269" s="10">
        <v>43473</v>
      </c>
      <c r="Q269" s="10" t="str">
        <f>TEXT(Table2[[#This Row],[Date]],"mmm")</f>
        <v>Jan</v>
      </c>
      <c r="R269" s="11">
        <v>0.87152777777777779</v>
      </c>
      <c r="S269" s="6" t="s">
        <v>33</v>
      </c>
      <c r="T269" s="7">
        <v>9.5</v>
      </c>
      <c r="U269" s="6">
        <f>IF(_xlfn.XLOOKUP(A269,[1]Data2!$A:$A,[1]Data2!$B:$B,"no")="yes",1,0)</f>
        <v>0</v>
      </c>
    </row>
    <row r="270" spans="1:21" s="6" customFormat="1" x14ac:dyDescent="0.3">
      <c r="A270" s="6" t="s">
        <v>308</v>
      </c>
      <c r="B270" s="6" t="s">
        <v>22</v>
      </c>
      <c r="C270" s="6" t="s">
        <v>23</v>
      </c>
      <c r="D270" s="6" t="s">
        <v>24</v>
      </c>
      <c r="E270" s="6" t="s">
        <v>35</v>
      </c>
      <c r="F270" s="6" t="s">
        <v>36</v>
      </c>
      <c r="G270" s="7">
        <f>Table2[[#This Row],[Unit price]]-10</f>
        <v>60.739999999999995</v>
      </c>
      <c r="H270" s="7">
        <v>70.739999999999995</v>
      </c>
      <c r="I270" s="8">
        <v>4</v>
      </c>
      <c r="J270" s="8">
        <f>Table2[[#This Row],[Unit price]]*Table2[[#This Row],[Quantity]]</f>
        <v>282.95999999999998</v>
      </c>
      <c r="K270" s="8">
        <f>Table2[[#This Row],[Unit Cost]]*Table2[[#This Row],[Quantity]]</f>
        <v>242.95999999999998</v>
      </c>
      <c r="L270" s="8">
        <f>Table2[[#This Row],[Gross Sales]]-Table2[[#This Row],[COGS]]</f>
        <v>40</v>
      </c>
      <c r="M270" s="9">
        <f t="shared" si="4"/>
        <v>0.14136273678258413</v>
      </c>
      <c r="N270" s="7">
        <v>14.148</v>
      </c>
      <c r="O270" s="7">
        <v>297.108</v>
      </c>
      <c r="P270" s="10">
        <v>43470</v>
      </c>
      <c r="Q270" s="10" t="str">
        <f>TEXT(Table2[[#This Row],[Date]],"mmm")</f>
        <v>Jan</v>
      </c>
      <c r="R270" s="11">
        <v>0.67013888888888884</v>
      </c>
      <c r="S270" s="6" t="s">
        <v>37</v>
      </c>
      <c r="T270" s="7">
        <v>4.4000000000000004</v>
      </c>
      <c r="U270" s="6">
        <f>IF(_xlfn.XLOOKUP(A270,[1]Data2!$A:$A,[1]Data2!$B:$B,"no")="yes",1,0)</f>
        <v>1</v>
      </c>
    </row>
    <row r="271" spans="1:21" s="6" customFormat="1" x14ac:dyDescent="0.3">
      <c r="A271" s="6" t="s">
        <v>309</v>
      </c>
      <c r="B271" s="6" t="s">
        <v>22</v>
      </c>
      <c r="C271" s="6" t="s">
        <v>23</v>
      </c>
      <c r="D271" s="6" t="s">
        <v>24</v>
      </c>
      <c r="E271" s="6" t="s">
        <v>25</v>
      </c>
      <c r="F271" s="6" t="s">
        <v>36</v>
      </c>
      <c r="G271" s="7">
        <f>Table2[[#This Row],[Unit price]]-10</f>
        <v>25.54</v>
      </c>
      <c r="H271" s="7">
        <v>35.54</v>
      </c>
      <c r="I271" s="8">
        <v>10</v>
      </c>
      <c r="J271" s="8">
        <f>Table2[[#This Row],[Unit price]]*Table2[[#This Row],[Quantity]]</f>
        <v>355.4</v>
      </c>
      <c r="K271" s="8">
        <f>Table2[[#This Row],[Unit Cost]]*Table2[[#This Row],[Quantity]]</f>
        <v>255.39999999999998</v>
      </c>
      <c r="L271" s="8">
        <f>Table2[[#This Row],[Gross Sales]]-Table2[[#This Row],[COGS]]</f>
        <v>100</v>
      </c>
      <c r="M271" s="9">
        <f t="shared" si="4"/>
        <v>0.28137310073157007</v>
      </c>
      <c r="N271" s="7">
        <v>17.77</v>
      </c>
      <c r="O271" s="7">
        <v>373.17</v>
      </c>
      <c r="P271" s="10">
        <v>43469</v>
      </c>
      <c r="Q271" s="10" t="str">
        <f>TEXT(Table2[[#This Row],[Date]],"mmm")</f>
        <v>Jan</v>
      </c>
      <c r="R271" s="11">
        <v>0.56527777777777777</v>
      </c>
      <c r="S271" s="6" t="s">
        <v>27</v>
      </c>
      <c r="T271" s="7">
        <v>7</v>
      </c>
      <c r="U271" s="6">
        <f>IF(_xlfn.XLOOKUP(A271,[1]Data2!$A:$A,[1]Data2!$B:$B,"no")="yes",1,0)</f>
        <v>0</v>
      </c>
    </row>
    <row r="272" spans="1:21" s="6" customFormat="1" x14ac:dyDescent="0.3">
      <c r="A272" s="6" t="s">
        <v>310</v>
      </c>
      <c r="B272" s="6" t="s">
        <v>46</v>
      </c>
      <c r="C272" s="6" t="s">
        <v>47</v>
      </c>
      <c r="D272" s="6" t="s">
        <v>31</v>
      </c>
      <c r="E272" s="6" t="s">
        <v>25</v>
      </c>
      <c r="F272" s="6" t="s">
        <v>40</v>
      </c>
      <c r="G272" s="7">
        <f>Table2[[#This Row],[Unit price]]-10</f>
        <v>57.430000000000007</v>
      </c>
      <c r="H272" s="7">
        <v>67.430000000000007</v>
      </c>
      <c r="I272" s="8">
        <v>5</v>
      </c>
      <c r="J272" s="8">
        <f>Table2[[#This Row],[Unit price]]*Table2[[#This Row],[Quantity]]</f>
        <v>337.15000000000003</v>
      </c>
      <c r="K272" s="8">
        <f>Table2[[#This Row],[Unit Cost]]*Table2[[#This Row],[Quantity]]</f>
        <v>287.15000000000003</v>
      </c>
      <c r="L272" s="8">
        <f>Table2[[#This Row],[Gross Sales]]-Table2[[#This Row],[COGS]]</f>
        <v>50</v>
      </c>
      <c r="M272" s="9">
        <f t="shared" si="4"/>
        <v>0.14830194275545008</v>
      </c>
      <c r="N272" s="7">
        <v>16.857500000000002</v>
      </c>
      <c r="O272" s="7">
        <v>354.00749999999999</v>
      </c>
      <c r="P272" s="10">
        <v>43530</v>
      </c>
      <c r="Q272" s="10" t="str">
        <f>TEXT(Table2[[#This Row],[Date]],"mmm")</f>
        <v>Mar</v>
      </c>
      <c r="R272" s="11">
        <v>0.75902777777777775</v>
      </c>
      <c r="S272" s="6" t="s">
        <v>27</v>
      </c>
      <c r="T272" s="7">
        <v>6.3</v>
      </c>
      <c r="U272" s="6">
        <f>IF(_xlfn.XLOOKUP(A272,[1]Data2!$A:$A,[1]Data2!$B:$B,"no")="yes",1,0)</f>
        <v>0</v>
      </c>
    </row>
    <row r="273" spans="1:21" s="6" customFormat="1" x14ac:dyDescent="0.3">
      <c r="A273" s="6" t="s">
        <v>311</v>
      </c>
      <c r="B273" s="6" t="s">
        <v>29</v>
      </c>
      <c r="C273" s="6" t="s">
        <v>30</v>
      </c>
      <c r="D273" s="6" t="s">
        <v>24</v>
      </c>
      <c r="E273" s="6" t="s">
        <v>25</v>
      </c>
      <c r="F273" s="6" t="s">
        <v>26</v>
      </c>
      <c r="G273" s="7">
        <f>Table2[[#This Row],[Unit price]]-10</f>
        <v>11.120000000000001</v>
      </c>
      <c r="H273" s="7">
        <v>21.12</v>
      </c>
      <c r="I273" s="8">
        <v>2</v>
      </c>
      <c r="J273" s="8">
        <f>Table2[[#This Row],[Unit price]]*Table2[[#This Row],[Quantity]]</f>
        <v>42.24</v>
      </c>
      <c r="K273" s="8">
        <f>Table2[[#This Row],[Unit Cost]]*Table2[[#This Row],[Quantity]]</f>
        <v>22.240000000000002</v>
      </c>
      <c r="L273" s="8">
        <f>Table2[[#This Row],[Gross Sales]]-Table2[[#This Row],[COGS]]</f>
        <v>20</v>
      </c>
      <c r="M273" s="9">
        <f t="shared" si="4"/>
        <v>0.47348484848484845</v>
      </c>
      <c r="N273" s="7">
        <v>2.1120000000000001</v>
      </c>
      <c r="O273" s="7">
        <v>44.351999999999997</v>
      </c>
      <c r="P273" s="10">
        <v>43468</v>
      </c>
      <c r="Q273" s="10" t="str">
        <f>TEXT(Table2[[#This Row],[Date]],"mmm")</f>
        <v>Jan</v>
      </c>
      <c r="R273" s="11">
        <v>0.80347222222222225</v>
      </c>
      <c r="S273" s="6" t="s">
        <v>33</v>
      </c>
      <c r="T273" s="7">
        <v>9.6999999999999993</v>
      </c>
      <c r="U273" s="6">
        <f>IF(_xlfn.XLOOKUP(A273,[1]Data2!$A:$A,[1]Data2!$B:$B,"no")="yes",1,0)</f>
        <v>0</v>
      </c>
    </row>
    <row r="274" spans="1:21" s="6" customFormat="1" x14ac:dyDescent="0.3">
      <c r="A274" s="6" t="s">
        <v>312</v>
      </c>
      <c r="B274" s="6" t="s">
        <v>22</v>
      </c>
      <c r="C274" s="6" t="s">
        <v>23</v>
      </c>
      <c r="D274" s="6" t="s">
        <v>24</v>
      </c>
      <c r="E274" s="6" t="s">
        <v>25</v>
      </c>
      <c r="F274" s="6" t="s">
        <v>36</v>
      </c>
      <c r="G274" s="7">
        <f>Table2[[#This Row],[Unit price]]-10</f>
        <v>11.54</v>
      </c>
      <c r="H274" s="7">
        <v>21.54</v>
      </c>
      <c r="I274" s="8">
        <v>9</v>
      </c>
      <c r="J274" s="8">
        <f>Table2[[#This Row],[Unit price]]*Table2[[#This Row],[Quantity]]</f>
        <v>193.85999999999999</v>
      </c>
      <c r="K274" s="8">
        <f>Table2[[#This Row],[Unit Cost]]*Table2[[#This Row],[Quantity]]</f>
        <v>103.85999999999999</v>
      </c>
      <c r="L274" s="8">
        <f>Table2[[#This Row],[Gross Sales]]-Table2[[#This Row],[COGS]]</f>
        <v>90</v>
      </c>
      <c r="M274" s="9">
        <f t="shared" si="4"/>
        <v>0.4642525533890437</v>
      </c>
      <c r="N274" s="7">
        <v>9.6929999999999996</v>
      </c>
      <c r="O274" s="7">
        <v>203.553</v>
      </c>
      <c r="P274" s="10">
        <v>43472</v>
      </c>
      <c r="Q274" s="10" t="str">
        <f>TEXT(Table2[[#This Row],[Date]],"mmm")</f>
        <v>Jan</v>
      </c>
      <c r="R274" s="11">
        <v>0.48888888888888887</v>
      </c>
      <c r="S274" s="6" t="s">
        <v>37</v>
      </c>
      <c r="T274" s="7">
        <v>8.8000000000000007</v>
      </c>
      <c r="U274" s="6">
        <f>IF(_xlfn.XLOOKUP(A274,[1]Data2!$A:$A,[1]Data2!$B:$B,"no")="yes",1,0)</f>
        <v>1</v>
      </c>
    </row>
    <row r="275" spans="1:21" s="6" customFormat="1" x14ac:dyDescent="0.3">
      <c r="A275" s="6" t="s">
        <v>313</v>
      </c>
      <c r="B275" s="6" t="s">
        <v>22</v>
      </c>
      <c r="C275" s="6" t="s">
        <v>23</v>
      </c>
      <c r="D275" s="6" t="s">
        <v>31</v>
      </c>
      <c r="E275" s="6" t="s">
        <v>25</v>
      </c>
      <c r="F275" s="6" t="s">
        <v>36</v>
      </c>
      <c r="G275" s="7">
        <f>Table2[[#This Row],[Unit price]]-10</f>
        <v>2.0299999999999994</v>
      </c>
      <c r="H275" s="7">
        <v>12.03</v>
      </c>
      <c r="I275" s="8">
        <v>2</v>
      </c>
      <c r="J275" s="8">
        <f>Table2[[#This Row],[Unit price]]*Table2[[#This Row],[Quantity]]</f>
        <v>24.06</v>
      </c>
      <c r="K275" s="8">
        <f>Table2[[#This Row],[Unit Cost]]*Table2[[#This Row],[Quantity]]</f>
        <v>4.0599999999999987</v>
      </c>
      <c r="L275" s="8">
        <f>Table2[[#This Row],[Gross Sales]]-Table2[[#This Row],[COGS]]</f>
        <v>20</v>
      </c>
      <c r="M275" s="9">
        <f t="shared" si="4"/>
        <v>0.83125519534497094</v>
      </c>
      <c r="N275" s="7">
        <v>1.2030000000000001</v>
      </c>
      <c r="O275" s="7">
        <v>25.263000000000002</v>
      </c>
      <c r="P275" s="10">
        <v>43492</v>
      </c>
      <c r="Q275" s="10" t="str">
        <f>TEXT(Table2[[#This Row],[Date]],"mmm")</f>
        <v>Jan</v>
      </c>
      <c r="R275" s="11">
        <v>0.66041666666666665</v>
      </c>
      <c r="S275" s="6" t="s">
        <v>33</v>
      </c>
      <c r="T275" s="7">
        <v>5.0999999999999996</v>
      </c>
      <c r="U275" s="6">
        <f>IF(_xlfn.XLOOKUP(A275,[1]Data2!$A:$A,[1]Data2!$B:$B,"no")="yes",1,0)</f>
        <v>0</v>
      </c>
    </row>
    <row r="276" spans="1:21" s="6" customFormat="1" x14ac:dyDescent="0.3">
      <c r="A276" s="6" t="s">
        <v>314</v>
      </c>
      <c r="B276" s="6" t="s">
        <v>46</v>
      </c>
      <c r="C276" s="6" t="s">
        <v>47</v>
      </c>
      <c r="D276" s="6" t="s">
        <v>31</v>
      </c>
      <c r="E276" s="6" t="s">
        <v>25</v>
      </c>
      <c r="F276" s="6" t="s">
        <v>26</v>
      </c>
      <c r="G276" s="7">
        <f>Table2[[#This Row],[Unit price]]-10</f>
        <v>89.71</v>
      </c>
      <c r="H276" s="7">
        <v>99.71</v>
      </c>
      <c r="I276" s="8">
        <v>6</v>
      </c>
      <c r="J276" s="8">
        <f>Table2[[#This Row],[Unit price]]*Table2[[#This Row],[Quantity]]</f>
        <v>598.26</v>
      </c>
      <c r="K276" s="8">
        <f>Table2[[#This Row],[Unit Cost]]*Table2[[#This Row],[Quantity]]</f>
        <v>538.26</v>
      </c>
      <c r="L276" s="8">
        <f>Table2[[#This Row],[Gross Sales]]-Table2[[#This Row],[COGS]]</f>
        <v>60</v>
      </c>
      <c r="M276" s="9">
        <f t="shared" si="4"/>
        <v>0.10029084344599339</v>
      </c>
      <c r="N276" s="7">
        <v>29.913</v>
      </c>
      <c r="O276" s="7">
        <v>628.173</v>
      </c>
      <c r="P276" s="10">
        <v>43522</v>
      </c>
      <c r="Q276" s="10" t="str">
        <f>TEXT(Table2[[#This Row],[Date]],"mmm")</f>
        <v>Feb</v>
      </c>
      <c r="R276" s="11">
        <v>0.70277777777777783</v>
      </c>
      <c r="S276" s="6" t="s">
        <v>27</v>
      </c>
      <c r="T276" s="7">
        <v>7.9</v>
      </c>
      <c r="U276" s="6">
        <f>IF(_xlfn.XLOOKUP(A276,[1]Data2!$A:$A,[1]Data2!$B:$B,"no")="yes",1,0)</f>
        <v>0</v>
      </c>
    </row>
    <row r="277" spans="1:21" s="6" customFormat="1" x14ac:dyDescent="0.3">
      <c r="A277" s="6" t="s">
        <v>315</v>
      </c>
      <c r="B277" s="6" t="s">
        <v>46</v>
      </c>
      <c r="C277" s="6" t="s">
        <v>47</v>
      </c>
      <c r="D277" s="6" t="s">
        <v>31</v>
      </c>
      <c r="E277" s="6" t="s">
        <v>35</v>
      </c>
      <c r="F277" s="6" t="s">
        <v>50</v>
      </c>
      <c r="G277" s="7">
        <f>Table2[[#This Row],[Unit price]]-10</f>
        <v>37.97</v>
      </c>
      <c r="H277" s="7">
        <v>47.97</v>
      </c>
      <c r="I277" s="8">
        <v>7</v>
      </c>
      <c r="J277" s="8">
        <f>Table2[[#This Row],[Unit price]]*Table2[[#This Row],[Quantity]]</f>
        <v>335.78999999999996</v>
      </c>
      <c r="K277" s="8">
        <f>Table2[[#This Row],[Unit Cost]]*Table2[[#This Row],[Quantity]]</f>
        <v>265.78999999999996</v>
      </c>
      <c r="L277" s="8">
        <f>Table2[[#This Row],[Gross Sales]]-Table2[[#This Row],[COGS]]</f>
        <v>70</v>
      </c>
      <c r="M277" s="9">
        <f t="shared" si="4"/>
        <v>0.20846362309776947</v>
      </c>
      <c r="N277" s="7">
        <v>16.7895</v>
      </c>
      <c r="O277" s="7">
        <v>352.5795</v>
      </c>
      <c r="P277" s="10">
        <v>43472</v>
      </c>
      <c r="Q277" s="10" t="str">
        <f>TEXT(Table2[[#This Row],[Date]],"mmm")</f>
        <v>Jan</v>
      </c>
      <c r="R277" s="11">
        <v>0.86944444444444446</v>
      </c>
      <c r="S277" s="6" t="s">
        <v>33</v>
      </c>
      <c r="T277" s="7">
        <v>6.2</v>
      </c>
      <c r="U277" s="6">
        <f>IF(_xlfn.XLOOKUP(A277,[1]Data2!$A:$A,[1]Data2!$B:$B,"no")="yes",1,0)</f>
        <v>0</v>
      </c>
    </row>
    <row r="278" spans="1:21" s="6" customFormat="1" x14ac:dyDescent="0.3">
      <c r="A278" s="6" t="s">
        <v>316</v>
      </c>
      <c r="B278" s="6" t="s">
        <v>29</v>
      </c>
      <c r="C278" s="6" t="s">
        <v>30</v>
      </c>
      <c r="D278" s="6" t="s">
        <v>24</v>
      </c>
      <c r="E278" s="6" t="s">
        <v>25</v>
      </c>
      <c r="F278" s="6" t="s">
        <v>36</v>
      </c>
      <c r="G278" s="7">
        <f>Table2[[#This Row],[Unit price]]-10</f>
        <v>11.82</v>
      </c>
      <c r="H278" s="7">
        <v>21.82</v>
      </c>
      <c r="I278" s="8">
        <v>10</v>
      </c>
      <c r="J278" s="8">
        <f>Table2[[#This Row],[Unit price]]*Table2[[#This Row],[Quantity]]</f>
        <v>218.2</v>
      </c>
      <c r="K278" s="8">
        <f>Table2[[#This Row],[Unit Cost]]*Table2[[#This Row],[Quantity]]</f>
        <v>118.2</v>
      </c>
      <c r="L278" s="8">
        <f>Table2[[#This Row],[Gross Sales]]-Table2[[#This Row],[COGS]]</f>
        <v>99.999999999999986</v>
      </c>
      <c r="M278" s="9">
        <f t="shared" si="4"/>
        <v>0.45829514207149402</v>
      </c>
      <c r="N278" s="7">
        <v>10.91</v>
      </c>
      <c r="O278" s="7">
        <v>229.11</v>
      </c>
      <c r="P278" s="10">
        <v>43472</v>
      </c>
      <c r="Q278" s="10" t="str">
        <f>TEXT(Table2[[#This Row],[Date]],"mmm")</f>
        <v>Jan</v>
      </c>
      <c r="R278" s="11">
        <v>0.73333333333333339</v>
      </c>
      <c r="S278" s="6" t="s">
        <v>33</v>
      </c>
      <c r="T278" s="7">
        <v>7.1</v>
      </c>
      <c r="U278" s="6">
        <f>IF(_xlfn.XLOOKUP(A278,[1]Data2!$A:$A,[1]Data2!$B:$B,"no")="yes",1,0)</f>
        <v>1</v>
      </c>
    </row>
    <row r="279" spans="1:21" s="6" customFormat="1" x14ac:dyDescent="0.3">
      <c r="A279" s="6" t="s">
        <v>317</v>
      </c>
      <c r="B279" s="6" t="s">
        <v>29</v>
      </c>
      <c r="C279" s="6" t="s">
        <v>30</v>
      </c>
      <c r="D279" s="6" t="s">
        <v>31</v>
      </c>
      <c r="E279" s="6" t="s">
        <v>25</v>
      </c>
      <c r="F279" s="6" t="s">
        <v>50</v>
      </c>
      <c r="G279" s="7">
        <f>Table2[[#This Row],[Unit price]]-10</f>
        <v>85.42</v>
      </c>
      <c r="H279" s="7">
        <v>95.42</v>
      </c>
      <c r="I279" s="8">
        <v>4</v>
      </c>
      <c r="J279" s="8">
        <f>Table2[[#This Row],[Unit price]]*Table2[[#This Row],[Quantity]]</f>
        <v>381.68</v>
      </c>
      <c r="K279" s="8">
        <f>Table2[[#This Row],[Unit Cost]]*Table2[[#This Row],[Quantity]]</f>
        <v>341.68</v>
      </c>
      <c r="L279" s="8">
        <f>Table2[[#This Row],[Gross Sales]]-Table2[[#This Row],[COGS]]</f>
        <v>40</v>
      </c>
      <c r="M279" s="9">
        <f t="shared" si="4"/>
        <v>0.10479983232026828</v>
      </c>
      <c r="N279" s="7">
        <v>19.084</v>
      </c>
      <c r="O279" s="7">
        <v>400.76400000000001</v>
      </c>
      <c r="P279" s="10">
        <v>43498</v>
      </c>
      <c r="Q279" s="10" t="str">
        <f>TEXT(Table2[[#This Row],[Date]],"mmm")</f>
        <v>Feb</v>
      </c>
      <c r="R279" s="11">
        <v>0.55763888888888891</v>
      </c>
      <c r="S279" s="6" t="s">
        <v>27</v>
      </c>
      <c r="T279" s="7">
        <v>6.4</v>
      </c>
      <c r="U279" s="6">
        <f>IF(_xlfn.XLOOKUP(A279,[1]Data2!$A:$A,[1]Data2!$B:$B,"no")="yes",1,0)</f>
        <v>0</v>
      </c>
    </row>
    <row r="280" spans="1:21" s="6" customFormat="1" x14ac:dyDescent="0.3">
      <c r="A280" s="6" t="s">
        <v>318</v>
      </c>
      <c r="B280" s="6" t="s">
        <v>29</v>
      </c>
      <c r="C280" s="6" t="s">
        <v>30</v>
      </c>
      <c r="D280" s="6" t="s">
        <v>24</v>
      </c>
      <c r="E280" s="6" t="s">
        <v>35</v>
      </c>
      <c r="F280" s="6" t="s">
        <v>50</v>
      </c>
      <c r="G280" s="7">
        <f>Table2[[#This Row],[Unit price]]-10</f>
        <v>60.989999999999995</v>
      </c>
      <c r="H280" s="7">
        <v>70.989999999999995</v>
      </c>
      <c r="I280" s="8">
        <v>10</v>
      </c>
      <c r="J280" s="8">
        <f>Table2[[#This Row],[Unit price]]*Table2[[#This Row],[Quantity]]</f>
        <v>709.9</v>
      </c>
      <c r="K280" s="8">
        <f>Table2[[#This Row],[Unit Cost]]*Table2[[#This Row],[Quantity]]</f>
        <v>609.9</v>
      </c>
      <c r="L280" s="8">
        <f>Table2[[#This Row],[Gross Sales]]-Table2[[#This Row],[COGS]]</f>
        <v>100</v>
      </c>
      <c r="M280" s="9">
        <f t="shared" si="4"/>
        <v>0.14086491055078179</v>
      </c>
      <c r="N280" s="7">
        <v>35.494999999999997</v>
      </c>
      <c r="O280" s="7">
        <v>745.39499999999998</v>
      </c>
      <c r="P280" s="10">
        <v>43544</v>
      </c>
      <c r="Q280" s="10" t="str">
        <f>TEXT(Table2[[#This Row],[Date]],"mmm")</f>
        <v>Mar</v>
      </c>
      <c r="R280" s="11">
        <v>0.68611111111111101</v>
      </c>
      <c r="S280" s="6" t="s">
        <v>33</v>
      </c>
      <c r="T280" s="7">
        <v>5.7</v>
      </c>
      <c r="U280" s="6">
        <f>IF(_xlfn.XLOOKUP(A280,[1]Data2!$A:$A,[1]Data2!$B:$B,"no")="yes",1,0)</f>
        <v>0</v>
      </c>
    </row>
    <row r="281" spans="1:21" s="6" customFormat="1" x14ac:dyDescent="0.3">
      <c r="A281" s="6" t="s">
        <v>319</v>
      </c>
      <c r="B281" s="6" t="s">
        <v>22</v>
      </c>
      <c r="C281" s="6" t="s">
        <v>23</v>
      </c>
      <c r="D281" s="6" t="s">
        <v>24</v>
      </c>
      <c r="E281" s="6" t="s">
        <v>35</v>
      </c>
      <c r="F281" s="6" t="s">
        <v>40</v>
      </c>
      <c r="G281" s="7">
        <f>Table2[[#This Row],[Unit price]]-10</f>
        <v>34.020000000000003</v>
      </c>
      <c r="H281" s="7">
        <v>44.02</v>
      </c>
      <c r="I281" s="8">
        <v>10</v>
      </c>
      <c r="J281" s="8">
        <f>Table2[[#This Row],[Unit price]]*Table2[[#This Row],[Quantity]]</f>
        <v>440.20000000000005</v>
      </c>
      <c r="K281" s="8">
        <f>Table2[[#This Row],[Unit Cost]]*Table2[[#This Row],[Quantity]]</f>
        <v>340.20000000000005</v>
      </c>
      <c r="L281" s="8">
        <f>Table2[[#This Row],[Gross Sales]]-Table2[[#This Row],[COGS]]</f>
        <v>100</v>
      </c>
      <c r="M281" s="9">
        <f t="shared" si="4"/>
        <v>0.22716946842344388</v>
      </c>
      <c r="N281" s="7">
        <v>22.01</v>
      </c>
      <c r="O281" s="7">
        <v>462.21</v>
      </c>
      <c r="P281" s="10">
        <v>43544</v>
      </c>
      <c r="Q281" s="10" t="str">
        <f>TEXT(Table2[[#This Row],[Date]],"mmm")</f>
        <v>Mar</v>
      </c>
      <c r="R281" s="11">
        <v>0.83124999999999993</v>
      </c>
      <c r="S281" s="6" t="s">
        <v>37</v>
      </c>
      <c r="T281" s="7">
        <v>9.6</v>
      </c>
      <c r="U281" s="6">
        <f>IF(_xlfn.XLOOKUP(A281,[1]Data2!$A:$A,[1]Data2!$B:$B,"no")="yes",1,0)</f>
        <v>0</v>
      </c>
    </row>
    <row r="282" spans="1:21" s="6" customFormat="1" x14ac:dyDescent="0.3">
      <c r="A282" s="6" t="s">
        <v>320</v>
      </c>
      <c r="B282" s="6" t="s">
        <v>22</v>
      </c>
      <c r="C282" s="6" t="s">
        <v>23</v>
      </c>
      <c r="D282" s="6" t="s">
        <v>31</v>
      </c>
      <c r="E282" s="6" t="s">
        <v>25</v>
      </c>
      <c r="F282" s="6" t="s">
        <v>36</v>
      </c>
      <c r="G282" s="7">
        <f>Table2[[#This Row],[Unit price]]-10</f>
        <v>59.959999999999994</v>
      </c>
      <c r="H282" s="7">
        <v>69.959999999999994</v>
      </c>
      <c r="I282" s="8">
        <v>8</v>
      </c>
      <c r="J282" s="8">
        <f>Table2[[#This Row],[Unit price]]*Table2[[#This Row],[Quantity]]</f>
        <v>559.67999999999995</v>
      </c>
      <c r="K282" s="8">
        <f>Table2[[#This Row],[Unit Cost]]*Table2[[#This Row],[Quantity]]</f>
        <v>479.67999999999995</v>
      </c>
      <c r="L282" s="8">
        <f>Table2[[#This Row],[Gross Sales]]-Table2[[#This Row],[COGS]]</f>
        <v>80</v>
      </c>
      <c r="M282" s="9">
        <f t="shared" si="4"/>
        <v>0.14293882218410522</v>
      </c>
      <c r="N282" s="7">
        <v>27.984000000000002</v>
      </c>
      <c r="O282" s="7">
        <v>587.66399999999999</v>
      </c>
      <c r="P282" s="10">
        <v>43511</v>
      </c>
      <c r="Q282" s="10" t="str">
        <f>TEXT(Table2[[#This Row],[Date]],"mmm")</f>
        <v>Feb</v>
      </c>
      <c r="R282" s="11">
        <v>0.7090277777777777</v>
      </c>
      <c r="S282" s="6" t="s">
        <v>37</v>
      </c>
      <c r="T282" s="7">
        <v>6.4</v>
      </c>
      <c r="U282" s="6">
        <f>IF(_xlfn.XLOOKUP(A282,[1]Data2!$A:$A,[1]Data2!$B:$B,"no")="yes",1,0)</f>
        <v>1</v>
      </c>
    </row>
    <row r="283" spans="1:21" s="6" customFormat="1" x14ac:dyDescent="0.3">
      <c r="A283" s="6" t="s">
        <v>321</v>
      </c>
      <c r="B283" s="6" t="s">
        <v>29</v>
      </c>
      <c r="C283" s="6" t="s">
        <v>30</v>
      </c>
      <c r="D283" s="6" t="s">
        <v>31</v>
      </c>
      <c r="E283" s="6" t="s">
        <v>35</v>
      </c>
      <c r="F283" s="6" t="s">
        <v>36</v>
      </c>
      <c r="G283" s="7">
        <f>Table2[[#This Row],[Unit price]]-10</f>
        <v>27</v>
      </c>
      <c r="H283" s="7">
        <v>37</v>
      </c>
      <c r="I283" s="8">
        <v>1</v>
      </c>
      <c r="J283" s="8">
        <f>Table2[[#This Row],[Unit price]]*Table2[[#This Row],[Quantity]]</f>
        <v>37</v>
      </c>
      <c r="K283" s="8">
        <f>Table2[[#This Row],[Unit Cost]]*Table2[[#This Row],[Quantity]]</f>
        <v>27</v>
      </c>
      <c r="L283" s="8">
        <f>Table2[[#This Row],[Gross Sales]]-Table2[[#This Row],[COGS]]</f>
        <v>10</v>
      </c>
      <c r="M283" s="9">
        <f t="shared" si="4"/>
        <v>0.27027027027027029</v>
      </c>
      <c r="N283" s="7">
        <v>1.85</v>
      </c>
      <c r="O283" s="7">
        <v>38.85</v>
      </c>
      <c r="P283" s="10">
        <v>43530</v>
      </c>
      <c r="Q283" s="10" t="str">
        <f>TEXT(Table2[[#This Row],[Date]],"mmm")</f>
        <v>Mar</v>
      </c>
      <c r="R283" s="11">
        <v>0.56180555555555556</v>
      </c>
      <c r="S283" s="6" t="s">
        <v>37</v>
      </c>
      <c r="T283" s="7">
        <v>7.9</v>
      </c>
      <c r="U283" s="6">
        <f>IF(_xlfn.XLOOKUP(A283,[1]Data2!$A:$A,[1]Data2!$B:$B,"no")="yes",1,0)</f>
        <v>0</v>
      </c>
    </row>
    <row r="284" spans="1:21" s="6" customFormat="1" x14ac:dyDescent="0.3">
      <c r="A284" s="6" t="s">
        <v>322</v>
      </c>
      <c r="B284" s="6" t="s">
        <v>22</v>
      </c>
      <c r="C284" s="6" t="s">
        <v>23</v>
      </c>
      <c r="D284" s="6" t="s">
        <v>31</v>
      </c>
      <c r="E284" s="6" t="s">
        <v>25</v>
      </c>
      <c r="F284" s="6" t="s">
        <v>40</v>
      </c>
      <c r="G284" s="7">
        <f>Table2[[#This Row],[Unit price]]-10</f>
        <v>5.34</v>
      </c>
      <c r="H284" s="7">
        <v>15.34</v>
      </c>
      <c r="I284" s="8">
        <v>1</v>
      </c>
      <c r="J284" s="8">
        <f>Table2[[#This Row],[Unit price]]*Table2[[#This Row],[Quantity]]</f>
        <v>15.34</v>
      </c>
      <c r="K284" s="8">
        <f>Table2[[#This Row],[Unit Cost]]*Table2[[#This Row],[Quantity]]</f>
        <v>5.34</v>
      </c>
      <c r="L284" s="8">
        <f>Table2[[#This Row],[Gross Sales]]-Table2[[#This Row],[COGS]]</f>
        <v>10</v>
      </c>
      <c r="M284" s="9">
        <f t="shared" si="4"/>
        <v>0.65189048239895697</v>
      </c>
      <c r="N284" s="7">
        <v>0.76700000000000002</v>
      </c>
      <c r="O284" s="7">
        <v>16.106999999999999</v>
      </c>
      <c r="P284" s="10">
        <v>43471</v>
      </c>
      <c r="Q284" s="10" t="str">
        <f>TEXT(Table2[[#This Row],[Date]],"mmm")</f>
        <v>Jan</v>
      </c>
      <c r="R284" s="11">
        <v>0.46458333333333335</v>
      </c>
      <c r="S284" s="6" t="s">
        <v>33</v>
      </c>
      <c r="T284" s="7">
        <v>6.5</v>
      </c>
      <c r="U284" s="6">
        <f>IF(_xlfn.XLOOKUP(A284,[1]Data2!$A:$A,[1]Data2!$B:$B,"no")="yes",1,0)</f>
        <v>0</v>
      </c>
    </row>
    <row r="285" spans="1:21" s="6" customFormat="1" x14ac:dyDescent="0.3">
      <c r="A285" s="6" t="s">
        <v>323</v>
      </c>
      <c r="B285" s="6" t="s">
        <v>22</v>
      </c>
      <c r="C285" s="6" t="s">
        <v>23</v>
      </c>
      <c r="D285" s="6" t="s">
        <v>24</v>
      </c>
      <c r="E285" s="6" t="s">
        <v>35</v>
      </c>
      <c r="F285" s="6" t="s">
        <v>26</v>
      </c>
      <c r="G285" s="7">
        <f>Table2[[#This Row],[Unit price]]-10</f>
        <v>89.83</v>
      </c>
      <c r="H285" s="7">
        <v>99.83</v>
      </c>
      <c r="I285" s="8">
        <v>6</v>
      </c>
      <c r="J285" s="8">
        <f>Table2[[#This Row],[Unit price]]*Table2[[#This Row],[Quantity]]</f>
        <v>598.98</v>
      </c>
      <c r="K285" s="8">
        <f>Table2[[#This Row],[Unit Cost]]*Table2[[#This Row],[Quantity]]</f>
        <v>538.98</v>
      </c>
      <c r="L285" s="8">
        <f>Table2[[#This Row],[Gross Sales]]-Table2[[#This Row],[COGS]]</f>
        <v>60</v>
      </c>
      <c r="M285" s="9">
        <f t="shared" si="4"/>
        <v>0.10017028949213663</v>
      </c>
      <c r="N285" s="7">
        <v>29.949000000000002</v>
      </c>
      <c r="O285" s="7">
        <v>628.92899999999997</v>
      </c>
      <c r="P285" s="10">
        <v>43528</v>
      </c>
      <c r="Q285" s="10" t="str">
        <f>TEXT(Table2[[#This Row],[Date]],"mmm")</f>
        <v>Mar</v>
      </c>
      <c r="R285" s="11">
        <v>0.62638888888888888</v>
      </c>
      <c r="S285" s="6" t="s">
        <v>27</v>
      </c>
      <c r="T285" s="7">
        <v>8.5</v>
      </c>
      <c r="U285" s="6">
        <f>IF(_xlfn.XLOOKUP(A285,[1]Data2!$A:$A,[1]Data2!$B:$B,"no")="yes",1,0)</f>
        <v>0</v>
      </c>
    </row>
    <row r="286" spans="1:21" s="6" customFormat="1" x14ac:dyDescent="0.3">
      <c r="A286" s="6" t="s">
        <v>324</v>
      </c>
      <c r="B286" s="6" t="s">
        <v>22</v>
      </c>
      <c r="C286" s="6" t="s">
        <v>23</v>
      </c>
      <c r="D286" s="6" t="s">
        <v>24</v>
      </c>
      <c r="E286" s="6" t="s">
        <v>25</v>
      </c>
      <c r="F286" s="6" t="s">
        <v>26</v>
      </c>
      <c r="G286" s="7">
        <f>Table2[[#This Row],[Unit price]]-10</f>
        <v>37.67</v>
      </c>
      <c r="H286" s="7">
        <v>47.67</v>
      </c>
      <c r="I286" s="8">
        <v>4</v>
      </c>
      <c r="J286" s="8">
        <f>Table2[[#This Row],[Unit price]]*Table2[[#This Row],[Quantity]]</f>
        <v>190.68</v>
      </c>
      <c r="K286" s="8">
        <f>Table2[[#This Row],[Unit Cost]]*Table2[[#This Row],[Quantity]]</f>
        <v>150.68</v>
      </c>
      <c r="L286" s="8">
        <f>Table2[[#This Row],[Gross Sales]]-Table2[[#This Row],[COGS]]</f>
        <v>40</v>
      </c>
      <c r="M286" s="9">
        <f t="shared" si="4"/>
        <v>0.20977554017201594</v>
      </c>
      <c r="N286" s="7">
        <v>9.5340000000000007</v>
      </c>
      <c r="O286" s="7">
        <v>200.214</v>
      </c>
      <c r="P286" s="10">
        <v>43536</v>
      </c>
      <c r="Q286" s="10" t="str">
        <f>TEXT(Table2[[#This Row],[Date]],"mmm")</f>
        <v>Mar</v>
      </c>
      <c r="R286" s="11">
        <v>0.59791666666666665</v>
      </c>
      <c r="S286" s="6" t="s">
        <v>33</v>
      </c>
      <c r="T286" s="7">
        <v>9.1</v>
      </c>
      <c r="U286" s="6">
        <f>IF(_xlfn.XLOOKUP(A286,[1]Data2!$A:$A,[1]Data2!$B:$B,"no")="yes",1,0)</f>
        <v>1</v>
      </c>
    </row>
    <row r="287" spans="1:21" s="6" customFormat="1" x14ac:dyDescent="0.3">
      <c r="A287" s="6" t="s">
        <v>325</v>
      </c>
      <c r="B287" s="6" t="s">
        <v>46</v>
      </c>
      <c r="C287" s="6" t="s">
        <v>47</v>
      </c>
      <c r="D287" s="6" t="s">
        <v>31</v>
      </c>
      <c r="E287" s="6" t="s">
        <v>35</v>
      </c>
      <c r="F287" s="6" t="s">
        <v>26</v>
      </c>
      <c r="G287" s="7">
        <f>Table2[[#This Row],[Unit price]]-10</f>
        <v>56.680000000000007</v>
      </c>
      <c r="H287" s="7">
        <v>66.680000000000007</v>
      </c>
      <c r="I287" s="8">
        <v>5</v>
      </c>
      <c r="J287" s="8">
        <f>Table2[[#This Row],[Unit price]]*Table2[[#This Row],[Quantity]]</f>
        <v>333.40000000000003</v>
      </c>
      <c r="K287" s="8">
        <f>Table2[[#This Row],[Unit Cost]]*Table2[[#This Row],[Quantity]]</f>
        <v>283.40000000000003</v>
      </c>
      <c r="L287" s="8">
        <f>Table2[[#This Row],[Gross Sales]]-Table2[[#This Row],[COGS]]</f>
        <v>50</v>
      </c>
      <c r="M287" s="9">
        <f t="shared" si="4"/>
        <v>0.14997000599880023</v>
      </c>
      <c r="N287" s="7">
        <v>16.670000000000002</v>
      </c>
      <c r="O287" s="7">
        <v>350.07</v>
      </c>
      <c r="P287" s="10">
        <v>43516</v>
      </c>
      <c r="Q287" s="10" t="str">
        <f>TEXT(Table2[[#This Row],[Date]],"mmm")</f>
        <v>Feb</v>
      </c>
      <c r="R287" s="11">
        <v>0.75069444444444444</v>
      </c>
      <c r="S287" s="6" t="s">
        <v>33</v>
      </c>
      <c r="T287" s="7">
        <v>7.6</v>
      </c>
      <c r="U287" s="6">
        <f>IF(_xlfn.XLOOKUP(A287,[1]Data2!$A:$A,[1]Data2!$B:$B,"no")="yes",1,0)</f>
        <v>0</v>
      </c>
    </row>
    <row r="288" spans="1:21" s="6" customFormat="1" x14ac:dyDescent="0.3">
      <c r="A288" s="6" t="s">
        <v>326</v>
      </c>
      <c r="B288" s="6" t="s">
        <v>29</v>
      </c>
      <c r="C288" s="6" t="s">
        <v>30</v>
      </c>
      <c r="D288" s="6" t="s">
        <v>24</v>
      </c>
      <c r="E288" s="6" t="s">
        <v>35</v>
      </c>
      <c r="F288" s="6" t="s">
        <v>36</v>
      </c>
      <c r="G288" s="7">
        <f>Table2[[#This Row],[Unit price]]-10</f>
        <v>64.86</v>
      </c>
      <c r="H288" s="7">
        <v>74.86</v>
      </c>
      <c r="I288" s="8">
        <v>1</v>
      </c>
      <c r="J288" s="8">
        <f>Table2[[#This Row],[Unit price]]*Table2[[#This Row],[Quantity]]</f>
        <v>74.86</v>
      </c>
      <c r="K288" s="8">
        <f>Table2[[#This Row],[Unit Cost]]*Table2[[#This Row],[Quantity]]</f>
        <v>64.86</v>
      </c>
      <c r="L288" s="8">
        <f>Table2[[#This Row],[Gross Sales]]-Table2[[#This Row],[COGS]]</f>
        <v>10</v>
      </c>
      <c r="M288" s="9">
        <f t="shared" si="4"/>
        <v>0.1335826876836762</v>
      </c>
      <c r="N288" s="7">
        <v>3.7429999999999999</v>
      </c>
      <c r="O288" s="7">
        <v>78.602999999999994</v>
      </c>
      <c r="P288" s="10">
        <v>43548</v>
      </c>
      <c r="Q288" s="10" t="str">
        <f>TEXT(Table2[[#This Row],[Date]],"mmm")</f>
        <v>Mar</v>
      </c>
      <c r="R288" s="11">
        <v>0.61736111111111114</v>
      </c>
      <c r="S288" s="6" t="s">
        <v>33</v>
      </c>
      <c r="T288" s="7">
        <v>6.9</v>
      </c>
      <c r="U288" s="6">
        <f>IF(_xlfn.XLOOKUP(A288,[1]Data2!$A:$A,[1]Data2!$B:$B,"no")="yes",1,0)</f>
        <v>0</v>
      </c>
    </row>
    <row r="289" spans="1:21" s="6" customFormat="1" x14ac:dyDescent="0.3">
      <c r="A289" s="6" t="s">
        <v>327</v>
      </c>
      <c r="B289" s="6" t="s">
        <v>29</v>
      </c>
      <c r="C289" s="6" t="s">
        <v>30</v>
      </c>
      <c r="D289" s="6" t="s">
        <v>31</v>
      </c>
      <c r="E289" s="6" t="s">
        <v>25</v>
      </c>
      <c r="F289" s="6" t="s">
        <v>40</v>
      </c>
      <c r="G289" s="7">
        <f>Table2[[#This Row],[Unit price]]-10</f>
        <v>13.75</v>
      </c>
      <c r="H289" s="7">
        <v>23.75</v>
      </c>
      <c r="I289" s="8">
        <v>9</v>
      </c>
      <c r="J289" s="8">
        <f>Table2[[#This Row],[Unit price]]*Table2[[#This Row],[Quantity]]</f>
        <v>213.75</v>
      </c>
      <c r="K289" s="8">
        <f>Table2[[#This Row],[Unit Cost]]*Table2[[#This Row],[Quantity]]</f>
        <v>123.75</v>
      </c>
      <c r="L289" s="8">
        <f>Table2[[#This Row],[Gross Sales]]-Table2[[#This Row],[COGS]]</f>
        <v>90</v>
      </c>
      <c r="M289" s="9">
        <f t="shared" si="4"/>
        <v>0.42105263157894735</v>
      </c>
      <c r="N289" s="7">
        <v>10.6875</v>
      </c>
      <c r="O289" s="7">
        <v>224.4375</v>
      </c>
      <c r="P289" s="10">
        <v>43496</v>
      </c>
      <c r="Q289" s="10" t="str">
        <f>TEXT(Table2[[#This Row],[Date]],"mmm")</f>
        <v>Jan</v>
      </c>
      <c r="R289" s="11">
        <v>0.50138888888888888</v>
      </c>
      <c r="S289" s="6" t="s">
        <v>33</v>
      </c>
      <c r="T289" s="7">
        <v>9.5</v>
      </c>
      <c r="U289" s="6">
        <f>IF(_xlfn.XLOOKUP(A289,[1]Data2!$A:$A,[1]Data2!$B:$B,"no")="yes",1,0)</f>
        <v>0</v>
      </c>
    </row>
    <row r="290" spans="1:21" s="6" customFormat="1" x14ac:dyDescent="0.3">
      <c r="A290" s="6" t="s">
        <v>328</v>
      </c>
      <c r="B290" s="6" t="s">
        <v>46</v>
      </c>
      <c r="C290" s="6" t="s">
        <v>47</v>
      </c>
      <c r="D290" s="6" t="s">
        <v>31</v>
      </c>
      <c r="E290" s="6" t="s">
        <v>25</v>
      </c>
      <c r="F290" s="6" t="s">
        <v>48</v>
      </c>
      <c r="G290" s="7">
        <f>Table2[[#This Row],[Unit price]]-10</f>
        <v>38.51</v>
      </c>
      <c r="H290" s="7">
        <v>48.51</v>
      </c>
      <c r="I290" s="8">
        <v>7</v>
      </c>
      <c r="J290" s="8">
        <f>Table2[[#This Row],[Unit price]]*Table2[[#This Row],[Quantity]]</f>
        <v>339.57</v>
      </c>
      <c r="K290" s="8">
        <f>Table2[[#This Row],[Unit Cost]]*Table2[[#This Row],[Quantity]]</f>
        <v>269.57</v>
      </c>
      <c r="L290" s="8">
        <f>Table2[[#This Row],[Gross Sales]]-Table2[[#This Row],[COGS]]</f>
        <v>70</v>
      </c>
      <c r="M290" s="9">
        <f t="shared" si="4"/>
        <v>0.20614306328592044</v>
      </c>
      <c r="N290" s="7">
        <v>16.9785</v>
      </c>
      <c r="O290" s="7">
        <v>356.54849999999999</v>
      </c>
      <c r="P290" s="10">
        <v>43490</v>
      </c>
      <c r="Q290" s="10" t="str">
        <f>TEXT(Table2[[#This Row],[Date]],"mmm")</f>
        <v>Jan</v>
      </c>
      <c r="R290" s="11">
        <v>0.5625</v>
      </c>
      <c r="S290" s="6" t="s">
        <v>37</v>
      </c>
      <c r="T290" s="7">
        <v>5.2</v>
      </c>
      <c r="U290" s="6">
        <f>IF(_xlfn.XLOOKUP(A290,[1]Data2!$A:$A,[1]Data2!$B:$B,"no")="yes",1,0)</f>
        <v>1</v>
      </c>
    </row>
    <row r="291" spans="1:21" s="6" customFormat="1" x14ac:dyDescent="0.3">
      <c r="A291" s="6" t="s">
        <v>329</v>
      </c>
      <c r="B291" s="6" t="s">
        <v>22</v>
      </c>
      <c r="C291" s="6" t="s">
        <v>23</v>
      </c>
      <c r="D291" s="6" t="s">
        <v>24</v>
      </c>
      <c r="E291" s="6" t="s">
        <v>25</v>
      </c>
      <c r="F291" s="6" t="s">
        <v>36</v>
      </c>
      <c r="G291" s="7">
        <f>Table2[[#This Row],[Unit price]]-10</f>
        <v>84.88</v>
      </c>
      <c r="H291" s="7">
        <v>94.88</v>
      </c>
      <c r="I291" s="8">
        <v>7</v>
      </c>
      <c r="J291" s="8">
        <f>Table2[[#This Row],[Unit price]]*Table2[[#This Row],[Quantity]]</f>
        <v>664.16</v>
      </c>
      <c r="K291" s="8">
        <f>Table2[[#This Row],[Unit Cost]]*Table2[[#This Row],[Quantity]]</f>
        <v>594.16</v>
      </c>
      <c r="L291" s="8">
        <f>Table2[[#This Row],[Gross Sales]]-Table2[[#This Row],[COGS]]</f>
        <v>70</v>
      </c>
      <c r="M291" s="9">
        <f t="shared" si="4"/>
        <v>0.10539629005059023</v>
      </c>
      <c r="N291" s="7">
        <v>33.207999999999998</v>
      </c>
      <c r="O291" s="7">
        <v>697.36800000000005</v>
      </c>
      <c r="P291" s="10">
        <v>43499</v>
      </c>
      <c r="Q291" s="10" t="str">
        <f>TEXT(Table2[[#This Row],[Date]],"mmm")</f>
        <v>Feb</v>
      </c>
      <c r="R291" s="11">
        <v>0.60972222222222217</v>
      </c>
      <c r="S291" s="6" t="s">
        <v>33</v>
      </c>
      <c r="T291" s="7">
        <v>4.2</v>
      </c>
      <c r="U291" s="6">
        <f>IF(_xlfn.XLOOKUP(A291,[1]Data2!$A:$A,[1]Data2!$B:$B,"no")="yes",1,0)</f>
        <v>0</v>
      </c>
    </row>
    <row r="292" spans="1:21" s="6" customFormat="1" x14ac:dyDescent="0.3">
      <c r="A292" s="6" t="s">
        <v>330</v>
      </c>
      <c r="B292" s="6" t="s">
        <v>46</v>
      </c>
      <c r="C292" s="6" t="s">
        <v>47</v>
      </c>
      <c r="D292" s="6" t="s">
        <v>24</v>
      </c>
      <c r="E292" s="6" t="s">
        <v>35</v>
      </c>
      <c r="F292" s="6" t="s">
        <v>32</v>
      </c>
      <c r="G292" s="7">
        <f>Table2[[#This Row],[Unit price]]-10</f>
        <v>30.299999999999997</v>
      </c>
      <c r="H292" s="7">
        <v>40.299999999999997</v>
      </c>
      <c r="I292" s="8">
        <v>10</v>
      </c>
      <c r="J292" s="8">
        <f>Table2[[#This Row],[Unit price]]*Table2[[#This Row],[Quantity]]</f>
        <v>403</v>
      </c>
      <c r="K292" s="8">
        <f>Table2[[#This Row],[Unit Cost]]*Table2[[#This Row],[Quantity]]</f>
        <v>303</v>
      </c>
      <c r="L292" s="8">
        <f>Table2[[#This Row],[Gross Sales]]-Table2[[#This Row],[COGS]]</f>
        <v>100</v>
      </c>
      <c r="M292" s="9">
        <f t="shared" si="4"/>
        <v>0.24813895781637718</v>
      </c>
      <c r="N292" s="7">
        <v>20.149999999999999</v>
      </c>
      <c r="O292" s="7">
        <v>423.15</v>
      </c>
      <c r="P292" s="10">
        <v>43489</v>
      </c>
      <c r="Q292" s="10" t="str">
        <f>TEXT(Table2[[#This Row],[Date]],"mmm")</f>
        <v>Jan</v>
      </c>
      <c r="R292" s="11">
        <v>0.73402777777777783</v>
      </c>
      <c r="S292" s="6" t="s">
        <v>37</v>
      </c>
      <c r="T292" s="7">
        <v>7</v>
      </c>
      <c r="U292" s="6">
        <f>IF(_xlfn.XLOOKUP(A292,[1]Data2!$A:$A,[1]Data2!$B:$B,"no")="yes",1,0)</f>
        <v>0</v>
      </c>
    </row>
    <row r="293" spans="1:21" s="6" customFormat="1" x14ac:dyDescent="0.3">
      <c r="A293" s="6" t="s">
        <v>331</v>
      </c>
      <c r="B293" s="6" t="s">
        <v>29</v>
      </c>
      <c r="C293" s="6" t="s">
        <v>30</v>
      </c>
      <c r="D293" s="6" t="s">
        <v>31</v>
      </c>
      <c r="E293" s="6" t="s">
        <v>35</v>
      </c>
      <c r="F293" s="6" t="s">
        <v>32</v>
      </c>
      <c r="G293" s="7">
        <f>Table2[[#This Row],[Unit price]]-10</f>
        <v>17.850000000000001</v>
      </c>
      <c r="H293" s="7">
        <v>27.85</v>
      </c>
      <c r="I293" s="8">
        <v>7</v>
      </c>
      <c r="J293" s="8">
        <f>Table2[[#This Row],[Unit price]]*Table2[[#This Row],[Quantity]]</f>
        <v>194.95000000000002</v>
      </c>
      <c r="K293" s="8">
        <f>Table2[[#This Row],[Unit Cost]]*Table2[[#This Row],[Quantity]]</f>
        <v>124.95000000000002</v>
      </c>
      <c r="L293" s="8">
        <f>Table2[[#This Row],[Gross Sales]]-Table2[[#This Row],[COGS]]</f>
        <v>70</v>
      </c>
      <c r="M293" s="9">
        <f t="shared" si="4"/>
        <v>0.35906642728904842</v>
      </c>
      <c r="N293" s="7">
        <v>9.7475000000000005</v>
      </c>
      <c r="O293" s="7">
        <v>204.69749999999999</v>
      </c>
      <c r="P293" s="10">
        <v>43538</v>
      </c>
      <c r="Q293" s="10" t="str">
        <f>TEXT(Table2[[#This Row],[Date]],"mmm")</f>
        <v>Mar</v>
      </c>
      <c r="R293" s="11">
        <v>0.72222222222222221</v>
      </c>
      <c r="S293" s="6" t="s">
        <v>27</v>
      </c>
      <c r="T293" s="7">
        <v>6</v>
      </c>
      <c r="U293" s="6">
        <f>IF(_xlfn.XLOOKUP(A293,[1]Data2!$A:$A,[1]Data2!$B:$B,"no")="yes",1,0)</f>
        <v>0</v>
      </c>
    </row>
    <row r="294" spans="1:21" s="6" customFormat="1" x14ac:dyDescent="0.3">
      <c r="A294" s="6" t="s">
        <v>332</v>
      </c>
      <c r="B294" s="6" t="s">
        <v>22</v>
      </c>
      <c r="C294" s="6" t="s">
        <v>23</v>
      </c>
      <c r="D294" s="6" t="s">
        <v>24</v>
      </c>
      <c r="E294" s="6" t="s">
        <v>25</v>
      </c>
      <c r="F294" s="6" t="s">
        <v>32</v>
      </c>
      <c r="G294" s="7">
        <f>Table2[[#This Row],[Unit price]]-10</f>
        <v>52.48</v>
      </c>
      <c r="H294" s="7">
        <v>62.48</v>
      </c>
      <c r="I294" s="8">
        <v>1</v>
      </c>
      <c r="J294" s="8">
        <f>Table2[[#This Row],[Unit price]]*Table2[[#This Row],[Quantity]]</f>
        <v>62.48</v>
      </c>
      <c r="K294" s="8">
        <f>Table2[[#This Row],[Unit Cost]]*Table2[[#This Row],[Quantity]]</f>
        <v>52.48</v>
      </c>
      <c r="L294" s="8">
        <f>Table2[[#This Row],[Gross Sales]]-Table2[[#This Row],[COGS]]</f>
        <v>10</v>
      </c>
      <c r="M294" s="9">
        <f t="shared" si="4"/>
        <v>0.16005121638924458</v>
      </c>
      <c r="N294" s="7">
        <v>3.1240000000000001</v>
      </c>
      <c r="O294" s="7">
        <v>65.603999999999999</v>
      </c>
      <c r="P294" s="10">
        <v>43514</v>
      </c>
      <c r="Q294" s="10" t="str">
        <f>TEXT(Table2[[#This Row],[Date]],"mmm")</f>
        <v>Feb</v>
      </c>
      <c r="R294" s="11">
        <v>0.8534722222222223</v>
      </c>
      <c r="S294" s="6" t="s">
        <v>33</v>
      </c>
      <c r="T294" s="7">
        <v>4.7</v>
      </c>
      <c r="U294" s="6">
        <f>IF(_xlfn.XLOOKUP(A294,[1]Data2!$A:$A,[1]Data2!$B:$B,"no")="yes",1,0)</f>
        <v>1</v>
      </c>
    </row>
    <row r="295" spans="1:21" s="6" customFormat="1" x14ac:dyDescent="0.3">
      <c r="A295" s="6" t="s">
        <v>333</v>
      </c>
      <c r="B295" s="6" t="s">
        <v>22</v>
      </c>
      <c r="C295" s="6" t="s">
        <v>23</v>
      </c>
      <c r="D295" s="6" t="s">
        <v>24</v>
      </c>
      <c r="E295" s="6" t="s">
        <v>25</v>
      </c>
      <c r="F295" s="6" t="s">
        <v>48</v>
      </c>
      <c r="G295" s="7">
        <f>Table2[[#This Row],[Unit price]]-10</f>
        <v>26.36</v>
      </c>
      <c r="H295" s="7">
        <v>36.36</v>
      </c>
      <c r="I295" s="8">
        <v>2</v>
      </c>
      <c r="J295" s="8">
        <f>Table2[[#This Row],[Unit price]]*Table2[[#This Row],[Quantity]]</f>
        <v>72.72</v>
      </c>
      <c r="K295" s="8">
        <f>Table2[[#This Row],[Unit Cost]]*Table2[[#This Row],[Quantity]]</f>
        <v>52.72</v>
      </c>
      <c r="L295" s="8">
        <f>Table2[[#This Row],[Gross Sales]]-Table2[[#This Row],[COGS]]</f>
        <v>20</v>
      </c>
      <c r="M295" s="9">
        <f t="shared" si="4"/>
        <v>0.27502750275027504</v>
      </c>
      <c r="N295" s="7">
        <v>3.6360000000000001</v>
      </c>
      <c r="O295" s="7">
        <v>76.355999999999995</v>
      </c>
      <c r="P295" s="10">
        <v>43486</v>
      </c>
      <c r="Q295" s="10" t="str">
        <f>TEXT(Table2[[#This Row],[Date]],"mmm")</f>
        <v>Jan</v>
      </c>
      <c r="R295" s="11">
        <v>0.41666666666666669</v>
      </c>
      <c r="S295" s="6" t="s">
        <v>33</v>
      </c>
      <c r="T295" s="7">
        <v>7.1</v>
      </c>
      <c r="U295" s="6">
        <f>IF(_xlfn.XLOOKUP(A295,[1]Data2!$A:$A,[1]Data2!$B:$B,"no")="yes",1,0)</f>
        <v>0</v>
      </c>
    </row>
    <row r="296" spans="1:21" s="6" customFormat="1" x14ac:dyDescent="0.3">
      <c r="A296" s="6" t="s">
        <v>334</v>
      </c>
      <c r="B296" s="6" t="s">
        <v>46</v>
      </c>
      <c r="C296" s="6" t="s">
        <v>47</v>
      </c>
      <c r="D296" s="6" t="s">
        <v>31</v>
      </c>
      <c r="E296" s="6" t="s">
        <v>35</v>
      </c>
      <c r="F296" s="6" t="s">
        <v>26</v>
      </c>
      <c r="G296" s="7">
        <f>Table2[[#This Row],[Unit price]]-10</f>
        <v>8.11</v>
      </c>
      <c r="H296" s="7">
        <v>18.11</v>
      </c>
      <c r="I296" s="8">
        <v>10</v>
      </c>
      <c r="J296" s="8">
        <f>Table2[[#This Row],[Unit price]]*Table2[[#This Row],[Quantity]]</f>
        <v>181.1</v>
      </c>
      <c r="K296" s="8">
        <f>Table2[[#This Row],[Unit Cost]]*Table2[[#This Row],[Quantity]]</f>
        <v>81.099999999999994</v>
      </c>
      <c r="L296" s="8">
        <f>Table2[[#This Row],[Gross Sales]]-Table2[[#This Row],[COGS]]</f>
        <v>100</v>
      </c>
      <c r="M296" s="9">
        <f t="shared" si="4"/>
        <v>0.55218111540585313</v>
      </c>
      <c r="N296" s="7">
        <v>9.0549999999999997</v>
      </c>
      <c r="O296" s="7">
        <v>190.155</v>
      </c>
      <c r="P296" s="10">
        <v>43537</v>
      </c>
      <c r="Q296" s="10" t="str">
        <f>TEXT(Table2[[#This Row],[Date]],"mmm")</f>
        <v>Mar</v>
      </c>
      <c r="R296" s="11">
        <v>0.49027777777777781</v>
      </c>
      <c r="S296" s="6" t="s">
        <v>27</v>
      </c>
      <c r="T296" s="7">
        <v>5.9</v>
      </c>
      <c r="U296" s="6">
        <f>IF(_xlfn.XLOOKUP(A296,[1]Data2!$A:$A,[1]Data2!$B:$B,"no")="yes",1,0)</f>
        <v>0</v>
      </c>
    </row>
    <row r="297" spans="1:21" s="6" customFormat="1" x14ac:dyDescent="0.3">
      <c r="A297" s="6" t="s">
        <v>335</v>
      </c>
      <c r="B297" s="6" t="s">
        <v>29</v>
      </c>
      <c r="C297" s="6" t="s">
        <v>30</v>
      </c>
      <c r="D297" s="6" t="s">
        <v>24</v>
      </c>
      <c r="E297" s="6" t="s">
        <v>25</v>
      </c>
      <c r="F297" s="6" t="s">
        <v>32</v>
      </c>
      <c r="G297" s="7">
        <f>Table2[[#This Row],[Unit price]]-10</f>
        <v>41.92</v>
      </c>
      <c r="H297" s="7">
        <v>51.92</v>
      </c>
      <c r="I297" s="8">
        <v>5</v>
      </c>
      <c r="J297" s="8">
        <f>Table2[[#This Row],[Unit price]]*Table2[[#This Row],[Quantity]]</f>
        <v>259.60000000000002</v>
      </c>
      <c r="K297" s="8">
        <f>Table2[[#This Row],[Unit Cost]]*Table2[[#This Row],[Quantity]]</f>
        <v>209.60000000000002</v>
      </c>
      <c r="L297" s="8">
        <f>Table2[[#This Row],[Gross Sales]]-Table2[[#This Row],[COGS]]</f>
        <v>50</v>
      </c>
      <c r="M297" s="9">
        <f t="shared" si="4"/>
        <v>0.19260400616332818</v>
      </c>
      <c r="N297" s="7">
        <v>12.98</v>
      </c>
      <c r="O297" s="7">
        <v>272.58</v>
      </c>
      <c r="P297" s="10">
        <v>43527</v>
      </c>
      <c r="Q297" s="10" t="str">
        <f>TEXT(Table2[[#This Row],[Date]],"mmm")</f>
        <v>Mar</v>
      </c>
      <c r="R297" s="11">
        <v>0.5708333333333333</v>
      </c>
      <c r="S297" s="6" t="s">
        <v>33</v>
      </c>
      <c r="T297" s="7">
        <v>7.5</v>
      </c>
      <c r="U297" s="6">
        <f>IF(_xlfn.XLOOKUP(A297,[1]Data2!$A:$A,[1]Data2!$B:$B,"no")="yes",1,0)</f>
        <v>0</v>
      </c>
    </row>
    <row r="298" spans="1:21" s="6" customFormat="1" x14ac:dyDescent="0.3">
      <c r="A298" s="6" t="s">
        <v>336</v>
      </c>
      <c r="B298" s="6" t="s">
        <v>29</v>
      </c>
      <c r="C298" s="6" t="s">
        <v>30</v>
      </c>
      <c r="D298" s="6" t="s">
        <v>31</v>
      </c>
      <c r="E298" s="6" t="s">
        <v>35</v>
      </c>
      <c r="F298" s="6" t="s">
        <v>32</v>
      </c>
      <c r="G298" s="7">
        <f>Table2[[#This Row],[Unit price]]-10</f>
        <v>18.84</v>
      </c>
      <c r="H298" s="7">
        <v>28.84</v>
      </c>
      <c r="I298" s="8">
        <v>4</v>
      </c>
      <c r="J298" s="8">
        <f>Table2[[#This Row],[Unit price]]*Table2[[#This Row],[Quantity]]</f>
        <v>115.36</v>
      </c>
      <c r="K298" s="8">
        <f>Table2[[#This Row],[Unit Cost]]*Table2[[#This Row],[Quantity]]</f>
        <v>75.36</v>
      </c>
      <c r="L298" s="8">
        <f>Table2[[#This Row],[Gross Sales]]-Table2[[#This Row],[COGS]]</f>
        <v>40</v>
      </c>
      <c r="M298" s="9">
        <f t="shared" si="4"/>
        <v>0.34674063800277394</v>
      </c>
      <c r="N298" s="7">
        <v>5.7679999999999998</v>
      </c>
      <c r="O298" s="7">
        <v>121.128</v>
      </c>
      <c r="P298" s="10">
        <v>43553</v>
      </c>
      <c r="Q298" s="10" t="str">
        <f>TEXT(Table2[[#This Row],[Date]],"mmm")</f>
        <v>Mar</v>
      </c>
      <c r="R298" s="11">
        <v>0.61388888888888882</v>
      </c>
      <c r="S298" s="6" t="s">
        <v>33</v>
      </c>
      <c r="T298" s="7">
        <v>6.4</v>
      </c>
      <c r="U298" s="6">
        <f>IF(_xlfn.XLOOKUP(A298,[1]Data2!$A:$A,[1]Data2!$B:$B,"no")="yes",1,0)</f>
        <v>1</v>
      </c>
    </row>
    <row r="299" spans="1:21" s="6" customFormat="1" x14ac:dyDescent="0.3">
      <c r="A299" s="6" t="s">
        <v>337</v>
      </c>
      <c r="B299" s="6" t="s">
        <v>22</v>
      </c>
      <c r="C299" s="6" t="s">
        <v>23</v>
      </c>
      <c r="D299" s="6" t="s">
        <v>24</v>
      </c>
      <c r="E299" s="6" t="s">
        <v>35</v>
      </c>
      <c r="F299" s="6" t="s">
        <v>36</v>
      </c>
      <c r="G299" s="7">
        <f>Table2[[#This Row],[Unit price]]-10</f>
        <v>68.38</v>
      </c>
      <c r="H299" s="7">
        <v>78.38</v>
      </c>
      <c r="I299" s="8">
        <v>6</v>
      </c>
      <c r="J299" s="8">
        <f>Table2[[#This Row],[Unit price]]*Table2[[#This Row],[Quantity]]</f>
        <v>470.28</v>
      </c>
      <c r="K299" s="8">
        <f>Table2[[#This Row],[Unit Cost]]*Table2[[#This Row],[Quantity]]</f>
        <v>410.28</v>
      </c>
      <c r="L299" s="8">
        <f>Table2[[#This Row],[Gross Sales]]-Table2[[#This Row],[COGS]]</f>
        <v>60</v>
      </c>
      <c r="M299" s="9">
        <f t="shared" si="4"/>
        <v>0.12758356723653994</v>
      </c>
      <c r="N299" s="7">
        <v>23.513999999999999</v>
      </c>
      <c r="O299" s="7">
        <v>493.79399999999998</v>
      </c>
      <c r="P299" s="10">
        <v>43475</v>
      </c>
      <c r="Q299" s="10" t="str">
        <f>TEXT(Table2[[#This Row],[Date]],"mmm")</f>
        <v>Jan</v>
      </c>
      <c r="R299" s="11">
        <v>0.59444444444444444</v>
      </c>
      <c r="S299" s="6" t="s">
        <v>27</v>
      </c>
      <c r="T299" s="7">
        <v>5.8</v>
      </c>
      <c r="U299" s="6">
        <f>IF(_xlfn.XLOOKUP(A299,[1]Data2!$A:$A,[1]Data2!$B:$B,"no")="yes",1,0)</f>
        <v>0</v>
      </c>
    </row>
    <row r="300" spans="1:21" s="6" customFormat="1" x14ac:dyDescent="0.3">
      <c r="A300" s="6" t="s">
        <v>338</v>
      </c>
      <c r="B300" s="6" t="s">
        <v>22</v>
      </c>
      <c r="C300" s="6" t="s">
        <v>23</v>
      </c>
      <c r="D300" s="6" t="s">
        <v>24</v>
      </c>
      <c r="E300" s="6" t="s">
        <v>35</v>
      </c>
      <c r="F300" s="6" t="s">
        <v>36</v>
      </c>
      <c r="G300" s="7">
        <f>Table2[[#This Row],[Unit price]]-10</f>
        <v>50.01</v>
      </c>
      <c r="H300" s="7">
        <v>60.01</v>
      </c>
      <c r="I300" s="8">
        <v>4</v>
      </c>
      <c r="J300" s="8">
        <f>Table2[[#This Row],[Unit price]]*Table2[[#This Row],[Quantity]]</f>
        <v>240.04</v>
      </c>
      <c r="K300" s="8">
        <f>Table2[[#This Row],[Unit Cost]]*Table2[[#This Row],[Quantity]]</f>
        <v>200.04</v>
      </c>
      <c r="L300" s="8">
        <f>Table2[[#This Row],[Gross Sales]]-Table2[[#This Row],[COGS]]</f>
        <v>40</v>
      </c>
      <c r="M300" s="9">
        <f t="shared" si="4"/>
        <v>0.16663889351774705</v>
      </c>
      <c r="N300" s="7">
        <v>12.002000000000001</v>
      </c>
      <c r="O300" s="7">
        <v>252.042</v>
      </c>
      <c r="P300" s="10">
        <v>43490</v>
      </c>
      <c r="Q300" s="10" t="str">
        <f>TEXT(Table2[[#This Row],[Date]],"mmm")</f>
        <v>Jan</v>
      </c>
      <c r="R300" s="11">
        <v>0.66249999999999998</v>
      </c>
      <c r="S300" s="6" t="s">
        <v>33</v>
      </c>
      <c r="T300" s="7">
        <v>4.5</v>
      </c>
      <c r="U300" s="6">
        <f>IF(_xlfn.XLOOKUP(A300,[1]Data2!$A:$A,[1]Data2!$B:$B,"no")="yes",1,0)</f>
        <v>0</v>
      </c>
    </row>
    <row r="301" spans="1:21" s="6" customFormat="1" x14ac:dyDescent="0.3">
      <c r="A301" s="6" t="s">
        <v>339</v>
      </c>
      <c r="B301" s="6" t="s">
        <v>29</v>
      </c>
      <c r="C301" s="6" t="s">
        <v>30</v>
      </c>
      <c r="D301" s="6" t="s">
        <v>24</v>
      </c>
      <c r="E301" s="6" t="s">
        <v>25</v>
      </c>
      <c r="F301" s="6" t="s">
        <v>36</v>
      </c>
      <c r="G301" s="7">
        <f>Table2[[#This Row],[Unit price]]-10</f>
        <v>78.61</v>
      </c>
      <c r="H301" s="7">
        <v>88.61</v>
      </c>
      <c r="I301" s="8">
        <v>1</v>
      </c>
      <c r="J301" s="8">
        <f>Table2[[#This Row],[Unit price]]*Table2[[#This Row],[Quantity]]</f>
        <v>88.61</v>
      </c>
      <c r="K301" s="8">
        <f>Table2[[#This Row],[Unit Cost]]*Table2[[#This Row],[Quantity]]</f>
        <v>78.61</v>
      </c>
      <c r="L301" s="8">
        <f>Table2[[#This Row],[Gross Sales]]-Table2[[#This Row],[COGS]]</f>
        <v>10</v>
      </c>
      <c r="M301" s="9">
        <f t="shared" si="4"/>
        <v>0.11285407967498025</v>
      </c>
      <c r="N301" s="7">
        <v>4.4305000000000003</v>
      </c>
      <c r="O301" s="7">
        <v>93.040499999999994</v>
      </c>
      <c r="P301" s="10">
        <v>43484</v>
      </c>
      <c r="Q301" s="10" t="str">
        <f>TEXT(Table2[[#This Row],[Date]],"mmm")</f>
        <v>Jan</v>
      </c>
      <c r="R301" s="11">
        <v>0.43124999999999997</v>
      </c>
      <c r="S301" s="6" t="s">
        <v>33</v>
      </c>
      <c r="T301" s="7">
        <v>7.7</v>
      </c>
      <c r="U301" s="6">
        <f>IF(_xlfn.XLOOKUP(A301,[1]Data2!$A:$A,[1]Data2!$B:$B,"no")="yes",1,0)</f>
        <v>0</v>
      </c>
    </row>
    <row r="302" spans="1:21" s="6" customFormat="1" x14ac:dyDescent="0.3">
      <c r="A302" s="6" t="s">
        <v>340</v>
      </c>
      <c r="B302" s="6" t="s">
        <v>29</v>
      </c>
      <c r="C302" s="6" t="s">
        <v>30</v>
      </c>
      <c r="D302" s="6" t="s">
        <v>31</v>
      </c>
      <c r="E302" s="6" t="s">
        <v>35</v>
      </c>
      <c r="F302" s="6" t="s">
        <v>50</v>
      </c>
      <c r="G302" s="7">
        <f>Table2[[#This Row],[Unit price]]-10</f>
        <v>89.82</v>
      </c>
      <c r="H302" s="7">
        <v>99.82</v>
      </c>
      <c r="I302" s="8">
        <v>2</v>
      </c>
      <c r="J302" s="8">
        <f>Table2[[#This Row],[Unit price]]*Table2[[#This Row],[Quantity]]</f>
        <v>199.64</v>
      </c>
      <c r="K302" s="8">
        <f>Table2[[#This Row],[Unit Cost]]*Table2[[#This Row],[Quantity]]</f>
        <v>179.64</v>
      </c>
      <c r="L302" s="8">
        <f>Table2[[#This Row],[Gross Sales]]-Table2[[#This Row],[COGS]]</f>
        <v>20</v>
      </c>
      <c r="M302" s="9">
        <f t="shared" si="4"/>
        <v>0.10018032458425166</v>
      </c>
      <c r="N302" s="7">
        <v>9.9819999999999993</v>
      </c>
      <c r="O302" s="7">
        <v>209.62200000000001</v>
      </c>
      <c r="P302" s="10">
        <v>43467</v>
      </c>
      <c r="Q302" s="10" t="str">
        <f>TEXT(Table2[[#This Row],[Date]],"mmm")</f>
        <v>Jan</v>
      </c>
      <c r="R302" s="11">
        <v>0.75624999999999998</v>
      </c>
      <c r="S302" s="6" t="s">
        <v>37</v>
      </c>
      <c r="T302" s="7">
        <v>6.7</v>
      </c>
      <c r="U302" s="6">
        <f>IF(_xlfn.XLOOKUP(A302,[1]Data2!$A:$A,[1]Data2!$B:$B,"no")="yes",1,0)</f>
        <v>1</v>
      </c>
    </row>
    <row r="303" spans="1:21" s="6" customFormat="1" x14ac:dyDescent="0.3">
      <c r="A303" s="6" t="s">
        <v>341</v>
      </c>
      <c r="B303" s="6" t="s">
        <v>46</v>
      </c>
      <c r="C303" s="6" t="s">
        <v>47</v>
      </c>
      <c r="D303" s="6" t="s">
        <v>24</v>
      </c>
      <c r="E303" s="6" t="s">
        <v>35</v>
      </c>
      <c r="F303" s="6" t="s">
        <v>26</v>
      </c>
      <c r="G303" s="7">
        <f>Table2[[#This Row],[Unit price]]-10</f>
        <v>29.009999999999998</v>
      </c>
      <c r="H303" s="7">
        <v>39.01</v>
      </c>
      <c r="I303" s="8">
        <v>1</v>
      </c>
      <c r="J303" s="8">
        <f>Table2[[#This Row],[Unit price]]*Table2[[#This Row],[Quantity]]</f>
        <v>39.01</v>
      </c>
      <c r="K303" s="8">
        <f>Table2[[#This Row],[Unit Cost]]*Table2[[#This Row],[Quantity]]</f>
        <v>29.009999999999998</v>
      </c>
      <c r="L303" s="8">
        <f>Table2[[#This Row],[Gross Sales]]-Table2[[#This Row],[COGS]]</f>
        <v>10</v>
      </c>
      <c r="M303" s="9">
        <f t="shared" si="4"/>
        <v>0.25634452704434763</v>
      </c>
      <c r="N303" s="7">
        <v>1.9504999999999999</v>
      </c>
      <c r="O303" s="7">
        <v>40.960500000000003</v>
      </c>
      <c r="P303" s="10">
        <v>43536</v>
      </c>
      <c r="Q303" s="10" t="str">
        <f>TEXT(Table2[[#This Row],[Date]],"mmm")</f>
        <v>Mar</v>
      </c>
      <c r="R303" s="11">
        <v>0.69861111111111107</v>
      </c>
      <c r="S303" s="6" t="s">
        <v>37</v>
      </c>
      <c r="T303" s="7">
        <v>4.7</v>
      </c>
      <c r="U303" s="6">
        <f>IF(_xlfn.XLOOKUP(A303,[1]Data2!$A:$A,[1]Data2!$B:$B,"no")="yes",1,0)</f>
        <v>0</v>
      </c>
    </row>
    <row r="304" spans="1:21" s="6" customFormat="1" x14ac:dyDescent="0.3">
      <c r="A304" s="6" t="s">
        <v>342</v>
      </c>
      <c r="B304" s="6" t="s">
        <v>29</v>
      </c>
      <c r="C304" s="6" t="s">
        <v>30</v>
      </c>
      <c r="D304" s="6" t="s">
        <v>31</v>
      </c>
      <c r="E304" s="6" t="s">
        <v>35</v>
      </c>
      <c r="F304" s="6" t="s">
        <v>48</v>
      </c>
      <c r="G304" s="7">
        <f>Table2[[#This Row],[Unit price]]-10</f>
        <v>38.61</v>
      </c>
      <c r="H304" s="7">
        <v>48.61</v>
      </c>
      <c r="I304" s="8">
        <v>1</v>
      </c>
      <c r="J304" s="8">
        <f>Table2[[#This Row],[Unit price]]*Table2[[#This Row],[Quantity]]</f>
        <v>48.61</v>
      </c>
      <c r="K304" s="8">
        <f>Table2[[#This Row],[Unit Cost]]*Table2[[#This Row],[Quantity]]</f>
        <v>38.61</v>
      </c>
      <c r="L304" s="8">
        <f>Table2[[#This Row],[Gross Sales]]-Table2[[#This Row],[COGS]]</f>
        <v>10</v>
      </c>
      <c r="M304" s="9">
        <f t="shared" si="4"/>
        <v>0.20571898786257972</v>
      </c>
      <c r="N304" s="7">
        <v>2.4304999999999999</v>
      </c>
      <c r="O304" s="7">
        <v>51.040500000000002</v>
      </c>
      <c r="P304" s="10">
        <v>43521</v>
      </c>
      <c r="Q304" s="10" t="str">
        <f>TEXT(Table2[[#This Row],[Date]],"mmm")</f>
        <v>Feb</v>
      </c>
      <c r="R304" s="11">
        <v>0.64652777777777781</v>
      </c>
      <c r="S304" s="6" t="s">
        <v>33</v>
      </c>
      <c r="T304" s="7">
        <v>4.4000000000000004</v>
      </c>
      <c r="U304" s="6">
        <f>IF(_xlfn.XLOOKUP(A304,[1]Data2!$A:$A,[1]Data2!$B:$B,"no")="yes",1,0)</f>
        <v>0</v>
      </c>
    </row>
    <row r="305" spans="1:21" s="6" customFormat="1" x14ac:dyDescent="0.3">
      <c r="A305" s="6" t="s">
        <v>343</v>
      </c>
      <c r="B305" s="6" t="s">
        <v>22</v>
      </c>
      <c r="C305" s="6" t="s">
        <v>23</v>
      </c>
      <c r="D305" s="6" t="s">
        <v>31</v>
      </c>
      <c r="E305" s="6" t="s">
        <v>25</v>
      </c>
      <c r="F305" s="6" t="s">
        <v>32</v>
      </c>
      <c r="G305" s="7">
        <f>Table2[[#This Row],[Unit price]]-10</f>
        <v>41.19</v>
      </c>
      <c r="H305" s="7">
        <v>51.19</v>
      </c>
      <c r="I305" s="8">
        <v>4</v>
      </c>
      <c r="J305" s="8">
        <f>Table2[[#This Row],[Unit price]]*Table2[[#This Row],[Quantity]]</f>
        <v>204.76</v>
      </c>
      <c r="K305" s="8">
        <f>Table2[[#This Row],[Unit Cost]]*Table2[[#This Row],[Quantity]]</f>
        <v>164.76</v>
      </c>
      <c r="L305" s="8">
        <f>Table2[[#This Row],[Gross Sales]]-Table2[[#This Row],[COGS]]</f>
        <v>40</v>
      </c>
      <c r="M305" s="9">
        <f t="shared" si="4"/>
        <v>0.19535065442469232</v>
      </c>
      <c r="N305" s="7">
        <v>10.238</v>
      </c>
      <c r="O305" s="7">
        <v>214.99799999999999</v>
      </c>
      <c r="P305" s="10">
        <v>43542</v>
      </c>
      <c r="Q305" s="10" t="str">
        <f>TEXT(Table2[[#This Row],[Date]],"mmm")</f>
        <v>Mar</v>
      </c>
      <c r="R305" s="11">
        <v>0.71875</v>
      </c>
      <c r="S305" s="6" t="s">
        <v>37</v>
      </c>
      <c r="T305" s="7">
        <v>4.7</v>
      </c>
      <c r="U305" s="6">
        <f>IF(_xlfn.XLOOKUP(A305,[1]Data2!$A:$A,[1]Data2!$B:$B,"no")="yes",1,0)</f>
        <v>0</v>
      </c>
    </row>
    <row r="306" spans="1:21" s="6" customFormat="1" x14ac:dyDescent="0.3">
      <c r="A306" s="6" t="s">
        <v>344</v>
      </c>
      <c r="B306" s="6" t="s">
        <v>46</v>
      </c>
      <c r="C306" s="6" t="s">
        <v>47</v>
      </c>
      <c r="D306" s="6" t="s">
        <v>31</v>
      </c>
      <c r="E306" s="6" t="s">
        <v>25</v>
      </c>
      <c r="F306" s="6" t="s">
        <v>32</v>
      </c>
      <c r="G306" s="7">
        <f>Table2[[#This Row],[Unit price]]-10</f>
        <v>4.9600000000000009</v>
      </c>
      <c r="H306" s="7">
        <v>14.96</v>
      </c>
      <c r="I306" s="8">
        <v>8</v>
      </c>
      <c r="J306" s="8">
        <f>Table2[[#This Row],[Unit price]]*Table2[[#This Row],[Quantity]]</f>
        <v>119.68</v>
      </c>
      <c r="K306" s="8">
        <f>Table2[[#This Row],[Unit Cost]]*Table2[[#This Row],[Quantity]]</f>
        <v>39.680000000000007</v>
      </c>
      <c r="L306" s="8">
        <f>Table2[[#This Row],[Gross Sales]]-Table2[[#This Row],[COGS]]</f>
        <v>80</v>
      </c>
      <c r="M306" s="9">
        <f t="shared" si="4"/>
        <v>0.66844919786096257</v>
      </c>
      <c r="N306" s="7">
        <v>5.984</v>
      </c>
      <c r="O306" s="7">
        <v>125.664</v>
      </c>
      <c r="P306" s="10">
        <v>43519</v>
      </c>
      <c r="Q306" s="10" t="str">
        <f>TEXT(Table2[[#This Row],[Date]],"mmm")</f>
        <v>Feb</v>
      </c>
      <c r="R306" s="11">
        <v>0.52013888888888882</v>
      </c>
      <c r="S306" s="6" t="s">
        <v>33</v>
      </c>
      <c r="T306" s="7">
        <v>8.6</v>
      </c>
      <c r="U306" s="6">
        <f>IF(_xlfn.XLOOKUP(A306,[1]Data2!$A:$A,[1]Data2!$B:$B,"no")="yes",1,0)</f>
        <v>1</v>
      </c>
    </row>
    <row r="307" spans="1:21" s="6" customFormat="1" x14ac:dyDescent="0.3">
      <c r="A307" s="6" t="s">
        <v>345</v>
      </c>
      <c r="B307" s="6" t="s">
        <v>22</v>
      </c>
      <c r="C307" s="6" t="s">
        <v>23</v>
      </c>
      <c r="D307" s="6" t="s">
        <v>24</v>
      </c>
      <c r="E307" s="6" t="s">
        <v>35</v>
      </c>
      <c r="F307" s="6" t="s">
        <v>32</v>
      </c>
      <c r="G307" s="7">
        <f>Table2[[#This Row],[Unit price]]-10</f>
        <v>62.2</v>
      </c>
      <c r="H307" s="7">
        <v>72.2</v>
      </c>
      <c r="I307" s="8">
        <v>7</v>
      </c>
      <c r="J307" s="8">
        <f>Table2[[#This Row],[Unit price]]*Table2[[#This Row],[Quantity]]</f>
        <v>505.40000000000003</v>
      </c>
      <c r="K307" s="8">
        <f>Table2[[#This Row],[Unit Cost]]*Table2[[#This Row],[Quantity]]</f>
        <v>435.40000000000003</v>
      </c>
      <c r="L307" s="8">
        <f>Table2[[#This Row],[Gross Sales]]-Table2[[#This Row],[COGS]]</f>
        <v>70</v>
      </c>
      <c r="M307" s="9">
        <f t="shared" si="4"/>
        <v>0.13850415512465372</v>
      </c>
      <c r="N307" s="7">
        <v>25.27</v>
      </c>
      <c r="O307" s="7">
        <v>530.66999999999996</v>
      </c>
      <c r="P307" s="10">
        <v>43550</v>
      </c>
      <c r="Q307" s="10" t="str">
        <f>TEXT(Table2[[#This Row],[Date]],"mmm")</f>
        <v>Mar</v>
      </c>
      <c r="R307" s="11">
        <v>0.84305555555555556</v>
      </c>
      <c r="S307" s="6" t="s">
        <v>27</v>
      </c>
      <c r="T307" s="7">
        <v>4.3</v>
      </c>
      <c r="U307" s="6">
        <f>IF(_xlfn.XLOOKUP(A307,[1]Data2!$A:$A,[1]Data2!$B:$B,"no")="yes",1,0)</f>
        <v>0</v>
      </c>
    </row>
    <row r="308" spans="1:21" s="6" customFormat="1" x14ac:dyDescent="0.3">
      <c r="A308" s="6" t="s">
        <v>346</v>
      </c>
      <c r="B308" s="6" t="s">
        <v>22</v>
      </c>
      <c r="C308" s="6" t="s">
        <v>23</v>
      </c>
      <c r="D308" s="6" t="s">
        <v>31</v>
      </c>
      <c r="E308" s="6" t="s">
        <v>25</v>
      </c>
      <c r="F308" s="6" t="s">
        <v>40</v>
      </c>
      <c r="G308" s="7">
        <f>Table2[[#This Row],[Unit price]]-10</f>
        <v>30.229999999999997</v>
      </c>
      <c r="H308" s="7">
        <v>40.229999999999997</v>
      </c>
      <c r="I308" s="8">
        <v>7</v>
      </c>
      <c r="J308" s="8">
        <f>Table2[[#This Row],[Unit price]]*Table2[[#This Row],[Quantity]]</f>
        <v>281.60999999999996</v>
      </c>
      <c r="K308" s="8">
        <f>Table2[[#This Row],[Unit Cost]]*Table2[[#This Row],[Quantity]]</f>
        <v>211.60999999999999</v>
      </c>
      <c r="L308" s="8">
        <f>Table2[[#This Row],[Gross Sales]]-Table2[[#This Row],[COGS]]</f>
        <v>69.999999999999972</v>
      </c>
      <c r="M308" s="9">
        <f t="shared" si="4"/>
        <v>0.24857071836937603</v>
      </c>
      <c r="N308" s="7">
        <v>14.080500000000001</v>
      </c>
      <c r="O308" s="7">
        <v>295.69049999999999</v>
      </c>
      <c r="P308" s="10">
        <v>43554</v>
      </c>
      <c r="Q308" s="10" t="str">
        <f>TEXT(Table2[[#This Row],[Date]],"mmm")</f>
        <v>Mar</v>
      </c>
      <c r="R308" s="11">
        <v>0.55694444444444446</v>
      </c>
      <c r="S308" s="6" t="s">
        <v>33</v>
      </c>
      <c r="T308" s="7">
        <v>9.6</v>
      </c>
      <c r="U308" s="6">
        <f>IF(_xlfn.XLOOKUP(A308,[1]Data2!$A:$A,[1]Data2!$B:$B,"no")="yes",1,0)</f>
        <v>0</v>
      </c>
    </row>
    <row r="309" spans="1:21" s="6" customFormat="1" x14ac:dyDescent="0.3">
      <c r="A309" s="6" t="s">
        <v>347</v>
      </c>
      <c r="B309" s="6" t="s">
        <v>22</v>
      </c>
      <c r="C309" s="6" t="s">
        <v>23</v>
      </c>
      <c r="D309" s="6" t="s">
        <v>24</v>
      </c>
      <c r="E309" s="6" t="s">
        <v>25</v>
      </c>
      <c r="F309" s="6" t="s">
        <v>36</v>
      </c>
      <c r="G309" s="7">
        <f>Table2[[#This Row],[Unit price]]-10</f>
        <v>78.790000000000006</v>
      </c>
      <c r="H309" s="7">
        <v>88.79</v>
      </c>
      <c r="I309" s="8">
        <v>8</v>
      </c>
      <c r="J309" s="8">
        <f>Table2[[#This Row],[Unit price]]*Table2[[#This Row],[Quantity]]</f>
        <v>710.32</v>
      </c>
      <c r="K309" s="8">
        <f>Table2[[#This Row],[Unit Cost]]*Table2[[#This Row],[Quantity]]</f>
        <v>630.32000000000005</v>
      </c>
      <c r="L309" s="8">
        <f>Table2[[#This Row],[Gross Sales]]-Table2[[#This Row],[COGS]]</f>
        <v>80</v>
      </c>
      <c r="M309" s="9">
        <f t="shared" si="4"/>
        <v>0.11262529564140106</v>
      </c>
      <c r="N309" s="7">
        <v>35.515999999999998</v>
      </c>
      <c r="O309" s="7">
        <v>745.83600000000001</v>
      </c>
      <c r="P309" s="10">
        <v>43513</v>
      </c>
      <c r="Q309" s="10" t="str">
        <f>TEXT(Table2[[#This Row],[Date]],"mmm")</f>
        <v>Feb</v>
      </c>
      <c r="R309" s="11">
        <v>0.71458333333333324</v>
      </c>
      <c r="S309" s="6" t="s">
        <v>33</v>
      </c>
      <c r="T309" s="7">
        <v>4.0999999999999996</v>
      </c>
      <c r="U309" s="6">
        <f>IF(_xlfn.XLOOKUP(A309,[1]Data2!$A:$A,[1]Data2!$B:$B,"no")="yes",1,0)</f>
        <v>0</v>
      </c>
    </row>
    <row r="310" spans="1:21" s="6" customFormat="1" x14ac:dyDescent="0.3">
      <c r="A310" s="6" t="s">
        <v>348</v>
      </c>
      <c r="B310" s="6" t="s">
        <v>22</v>
      </c>
      <c r="C310" s="6" t="s">
        <v>23</v>
      </c>
      <c r="D310" s="6" t="s">
        <v>24</v>
      </c>
      <c r="E310" s="6" t="s">
        <v>25</v>
      </c>
      <c r="F310" s="6" t="s">
        <v>32</v>
      </c>
      <c r="G310" s="7">
        <f>Table2[[#This Row],[Unit price]]-10</f>
        <v>16.48</v>
      </c>
      <c r="H310" s="7">
        <v>26.48</v>
      </c>
      <c r="I310" s="8">
        <v>3</v>
      </c>
      <c r="J310" s="8">
        <f>Table2[[#This Row],[Unit price]]*Table2[[#This Row],[Quantity]]</f>
        <v>79.44</v>
      </c>
      <c r="K310" s="8">
        <f>Table2[[#This Row],[Unit Cost]]*Table2[[#This Row],[Quantity]]</f>
        <v>49.44</v>
      </c>
      <c r="L310" s="8">
        <f>Table2[[#This Row],[Gross Sales]]-Table2[[#This Row],[COGS]]</f>
        <v>30</v>
      </c>
      <c r="M310" s="9">
        <f t="shared" si="4"/>
        <v>0.37764350453172207</v>
      </c>
      <c r="N310" s="7">
        <v>3.972</v>
      </c>
      <c r="O310" s="7">
        <v>83.412000000000006</v>
      </c>
      <c r="P310" s="10">
        <v>43545</v>
      </c>
      <c r="Q310" s="10" t="str">
        <f>TEXT(Table2[[#This Row],[Date]],"mmm")</f>
        <v>Mar</v>
      </c>
      <c r="R310" s="11">
        <v>0.44444444444444442</v>
      </c>
      <c r="S310" s="6" t="s">
        <v>27</v>
      </c>
      <c r="T310" s="7">
        <v>4.7</v>
      </c>
      <c r="U310" s="6">
        <f>IF(_xlfn.XLOOKUP(A310,[1]Data2!$A:$A,[1]Data2!$B:$B,"no")="yes",1,0)</f>
        <v>1</v>
      </c>
    </row>
    <row r="311" spans="1:21" s="6" customFormat="1" x14ac:dyDescent="0.3">
      <c r="A311" s="6" t="s">
        <v>349</v>
      </c>
      <c r="B311" s="6" t="s">
        <v>22</v>
      </c>
      <c r="C311" s="6" t="s">
        <v>23</v>
      </c>
      <c r="D311" s="6" t="s">
        <v>31</v>
      </c>
      <c r="E311" s="6" t="s">
        <v>25</v>
      </c>
      <c r="F311" s="6" t="s">
        <v>50</v>
      </c>
      <c r="G311" s="7">
        <f>Table2[[#This Row],[Unit price]]-10</f>
        <v>71.91</v>
      </c>
      <c r="H311" s="7">
        <v>81.91</v>
      </c>
      <c r="I311" s="8">
        <v>2</v>
      </c>
      <c r="J311" s="8">
        <f>Table2[[#This Row],[Unit price]]*Table2[[#This Row],[Quantity]]</f>
        <v>163.82</v>
      </c>
      <c r="K311" s="8">
        <f>Table2[[#This Row],[Unit Cost]]*Table2[[#This Row],[Quantity]]</f>
        <v>143.82</v>
      </c>
      <c r="L311" s="8">
        <f>Table2[[#This Row],[Gross Sales]]-Table2[[#This Row],[COGS]]</f>
        <v>20</v>
      </c>
      <c r="M311" s="9">
        <f t="shared" si="4"/>
        <v>0.12208521548040532</v>
      </c>
      <c r="N311" s="7">
        <v>8.1910000000000007</v>
      </c>
      <c r="O311" s="7">
        <v>172.011</v>
      </c>
      <c r="P311" s="10">
        <v>43529</v>
      </c>
      <c r="Q311" s="10" t="str">
        <f>TEXT(Table2[[#This Row],[Date]],"mmm")</f>
        <v>Mar</v>
      </c>
      <c r="R311" s="11">
        <v>0.73819444444444438</v>
      </c>
      <c r="S311" s="6" t="s">
        <v>33</v>
      </c>
      <c r="T311" s="7">
        <v>7.8</v>
      </c>
      <c r="U311" s="6">
        <f>IF(_xlfn.XLOOKUP(A311,[1]Data2!$A:$A,[1]Data2!$B:$B,"no")="yes",1,0)</f>
        <v>0</v>
      </c>
    </row>
    <row r="312" spans="1:21" s="6" customFormat="1" x14ac:dyDescent="0.3">
      <c r="A312" s="6" t="s">
        <v>350</v>
      </c>
      <c r="B312" s="6" t="s">
        <v>46</v>
      </c>
      <c r="C312" s="6" t="s">
        <v>47</v>
      </c>
      <c r="D312" s="6" t="s">
        <v>24</v>
      </c>
      <c r="E312" s="6" t="s">
        <v>35</v>
      </c>
      <c r="F312" s="6" t="s">
        <v>40</v>
      </c>
      <c r="G312" s="7">
        <f>Table2[[#This Row],[Unit price]]-10</f>
        <v>69.930000000000007</v>
      </c>
      <c r="H312" s="7">
        <v>79.930000000000007</v>
      </c>
      <c r="I312" s="8">
        <v>6</v>
      </c>
      <c r="J312" s="8">
        <f>Table2[[#This Row],[Unit price]]*Table2[[#This Row],[Quantity]]</f>
        <v>479.58000000000004</v>
      </c>
      <c r="K312" s="8">
        <f>Table2[[#This Row],[Unit Cost]]*Table2[[#This Row],[Quantity]]</f>
        <v>419.58000000000004</v>
      </c>
      <c r="L312" s="8">
        <f>Table2[[#This Row],[Gross Sales]]-Table2[[#This Row],[COGS]]</f>
        <v>60</v>
      </c>
      <c r="M312" s="9">
        <f t="shared" si="4"/>
        <v>0.12510947078693857</v>
      </c>
      <c r="N312" s="7">
        <v>23.978999999999999</v>
      </c>
      <c r="O312" s="7">
        <v>503.55900000000003</v>
      </c>
      <c r="P312" s="10">
        <v>43496</v>
      </c>
      <c r="Q312" s="10" t="str">
        <f>TEXT(Table2[[#This Row],[Date]],"mmm")</f>
        <v>Jan</v>
      </c>
      <c r="R312" s="11">
        <v>0.58611111111111114</v>
      </c>
      <c r="S312" s="6" t="s">
        <v>33</v>
      </c>
      <c r="T312" s="7">
        <v>5.5</v>
      </c>
      <c r="U312" s="6">
        <f>IF(_xlfn.XLOOKUP(A312,[1]Data2!$A:$A,[1]Data2!$B:$B,"no")="yes",1,0)</f>
        <v>0</v>
      </c>
    </row>
    <row r="313" spans="1:21" s="6" customFormat="1" x14ac:dyDescent="0.3">
      <c r="A313" s="6" t="s">
        <v>351</v>
      </c>
      <c r="B313" s="6" t="s">
        <v>29</v>
      </c>
      <c r="C313" s="6" t="s">
        <v>30</v>
      </c>
      <c r="D313" s="6" t="s">
        <v>24</v>
      </c>
      <c r="E313" s="6" t="s">
        <v>35</v>
      </c>
      <c r="F313" s="6" t="s">
        <v>50</v>
      </c>
      <c r="G313" s="7">
        <f>Table2[[#This Row],[Unit price]]-10</f>
        <v>59.33</v>
      </c>
      <c r="H313" s="7">
        <v>69.33</v>
      </c>
      <c r="I313" s="8">
        <v>2</v>
      </c>
      <c r="J313" s="8">
        <f>Table2[[#This Row],[Unit price]]*Table2[[#This Row],[Quantity]]</f>
        <v>138.66</v>
      </c>
      <c r="K313" s="8">
        <f>Table2[[#This Row],[Unit Cost]]*Table2[[#This Row],[Quantity]]</f>
        <v>118.66</v>
      </c>
      <c r="L313" s="8">
        <f>Table2[[#This Row],[Gross Sales]]-Table2[[#This Row],[COGS]]</f>
        <v>20</v>
      </c>
      <c r="M313" s="9">
        <f t="shared" si="4"/>
        <v>0.14423770373575653</v>
      </c>
      <c r="N313" s="7">
        <v>6.9329999999999998</v>
      </c>
      <c r="O313" s="7">
        <v>145.59299999999999</v>
      </c>
      <c r="P313" s="10">
        <v>43501</v>
      </c>
      <c r="Q313" s="10" t="str">
        <f>TEXT(Table2[[#This Row],[Date]],"mmm")</f>
        <v>Feb</v>
      </c>
      <c r="R313" s="11">
        <v>0.79513888888888884</v>
      </c>
      <c r="S313" s="6" t="s">
        <v>27</v>
      </c>
      <c r="T313" s="7">
        <v>9.6999999999999993</v>
      </c>
      <c r="U313" s="6">
        <f>IF(_xlfn.XLOOKUP(A313,[1]Data2!$A:$A,[1]Data2!$B:$B,"no")="yes",1,0)</f>
        <v>0</v>
      </c>
    </row>
    <row r="314" spans="1:21" s="6" customFormat="1" x14ac:dyDescent="0.3">
      <c r="A314" s="6" t="s">
        <v>352</v>
      </c>
      <c r="B314" s="6" t="s">
        <v>22</v>
      </c>
      <c r="C314" s="6" t="s">
        <v>23</v>
      </c>
      <c r="D314" s="6" t="s">
        <v>24</v>
      </c>
      <c r="E314" s="6" t="s">
        <v>25</v>
      </c>
      <c r="F314" s="6" t="s">
        <v>48</v>
      </c>
      <c r="G314" s="7">
        <f>Table2[[#This Row],[Unit price]]-10</f>
        <v>4.2300000000000004</v>
      </c>
      <c r="H314" s="7">
        <v>14.23</v>
      </c>
      <c r="I314" s="8">
        <v>5</v>
      </c>
      <c r="J314" s="8">
        <f>Table2[[#This Row],[Unit price]]*Table2[[#This Row],[Quantity]]</f>
        <v>71.150000000000006</v>
      </c>
      <c r="K314" s="8">
        <f>Table2[[#This Row],[Unit Cost]]*Table2[[#This Row],[Quantity]]</f>
        <v>21.150000000000002</v>
      </c>
      <c r="L314" s="8">
        <f>Table2[[#This Row],[Gross Sales]]-Table2[[#This Row],[COGS]]</f>
        <v>50</v>
      </c>
      <c r="M314" s="9">
        <f t="shared" si="4"/>
        <v>0.7027406886858748</v>
      </c>
      <c r="N314" s="7">
        <v>3.5575000000000001</v>
      </c>
      <c r="O314" s="7">
        <v>74.707499999999996</v>
      </c>
      <c r="P314" s="10">
        <v>43497</v>
      </c>
      <c r="Q314" s="10" t="str">
        <f>TEXT(Table2[[#This Row],[Date]],"mmm")</f>
        <v>Feb</v>
      </c>
      <c r="R314" s="11">
        <v>0.42222222222222222</v>
      </c>
      <c r="S314" s="6" t="s">
        <v>37</v>
      </c>
      <c r="T314" s="7">
        <v>4.4000000000000004</v>
      </c>
      <c r="U314" s="6">
        <f>IF(_xlfn.XLOOKUP(A314,[1]Data2!$A:$A,[1]Data2!$B:$B,"no")="yes",1,0)</f>
        <v>1</v>
      </c>
    </row>
    <row r="315" spans="1:21" s="6" customFormat="1" x14ac:dyDescent="0.3">
      <c r="A315" s="6" t="s">
        <v>353</v>
      </c>
      <c r="B315" s="6" t="s">
        <v>22</v>
      </c>
      <c r="C315" s="6" t="s">
        <v>23</v>
      </c>
      <c r="D315" s="6" t="s">
        <v>24</v>
      </c>
      <c r="E315" s="6" t="s">
        <v>25</v>
      </c>
      <c r="F315" s="6" t="s">
        <v>26</v>
      </c>
      <c r="G315" s="7">
        <f>Table2[[#This Row],[Unit price]]-10</f>
        <v>5.5500000000000007</v>
      </c>
      <c r="H315" s="7">
        <v>15.55</v>
      </c>
      <c r="I315" s="8">
        <v>9</v>
      </c>
      <c r="J315" s="8">
        <f>Table2[[#This Row],[Unit price]]*Table2[[#This Row],[Quantity]]</f>
        <v>139.95000000000002</v>
      </c>
      <c r="K315" s="8">
        <f>Table2[[#This Row],[Unit Cost]]*Table2[[#This Row],[Quantity]]</f>
        <v>49.95</v>
      </c>
      <c r="L315" s="8">
        <f>Table2[[#This Row],[Gross Sales]]-Table2[[#This Row],[COGS]]</f>
        <v>90.000000000000014</v>
      </c>
      <c r="M315" s="9">
        <f t="shared" si="4"/>
        <v>0.64308681672025725</v>
      </c>
      <c r="N315" s="7">
        <v>6.9974999999999996</v>
      </c>
      <c r="O315" s="7">
        <v>146.94749999999999</v>
      </c>
      <c r="P315" s="10">
        <v>43531</v>
      </c>
      <c r="Q315" s="10" t="str">
        <f>TEXT(Table2[[#This Row],[Date]],"mmm")</f>
        <v>Mar</v>
      </c>
      <c r="R315" s="11">
        <v>0.54999999999999993</v>
      </c>
      <c r="S315" s="6" t="s">
        <v>33</v>
      </c>
      <c r="T315" s="7">
        <v>5</v>
      </c>
      <c r="U315" s="6">
        <f>IF(_xlfn.XLOOKUP(A315,[1]Data2!$A:$A,[1]Data2!$B:$B,"no")="yes",1,0)</f>
        <v>0</v>
      </c>
    </row>
    <row r="316" spans="1:21" s="6" customFormat="1" x14ac:dyDescent="0.3">
      <c r="A316" s="6" t="s">
        <v>354</v>
      </c>
      <c r="B316" s="6" t="s">
        <v>29</v>
      </c>
      <c r="C316" s="6" t="s">
        <v>30</v>
      </c>
      <c r="D316" s="6" t="s">
        <v>24</v>
      </c>
      <c r="E316" s="6" t="s">
        <v>25</v>
      </c>
      <c r="F316" s="6" t="s">
        <v>32</v>
      </c>
      <c r="G316" s="7">
        <f>Table2[[#This Row],[Unit price]]-10</f>
        <v>68.13</v>
      </c>
      <c r="H316" s="7">
        <v>78.13</v>
      </c>
      <c r="I316" s="8">
        <v>10</v>
      </c>
      <c r="J316" s="8">
        <f>Table2[[#This Row],[Unit price]]*Table2[[#This Row],[Quantity]]</f>
        <v>781.3</v>
      </c>
      <c r="K316" s="8">
        <f>Table2[[#This Row],[Unit Cost]]*Table2[[#This Row],[Quantity]]</f>
        <v>681.3</v>
      </c>
      <c r="L316" s="8">
        <f>Table2[[#This Row],[Gross Sales]]-Table2[[#This Row],[COGS]]</f>
        <v>100</v>
      </c>
      <c r="M316" s="9">
        <f t="shared" si="4"/>
        <v>0.12799180852425446</v>
      </c>
      <c r="N316" s="7">
        <v>39.064999999999998</v>
      </c>
      <c r="O316" s="7">
        <v>820.36500000000001</v>
      </c>
      <c r="P316" s="10">
        <v>43506</v>
      </c>
      <c r="Q316" s="10" t="str">
        <f>TEXT(Table2[[#This Row],[Date]],"mmm")</f>
        <v>Feb</v>
      </c>
      <c r="R316" s="11">
        <v>0.86875000000000002</v>
      </c>
      <c r="S316" s="6" t="s">
        <v>33</v>
      </c>
      <c r="T316" s="7">
        <v>4.4000000000000004</v>
      </c>
      <c r="U316" s="6">
        <f>IF(_xlfn.XLOOKUP(A316,[1]Data2!$A:$A,[1]Data2!$B:$B,"no")="yes",1,0)</f>
        <v>0</v>
      </c>
    </row>
    <row r="317" spans="1:21" s="6" customFormat="1" x14ac:dyDescent="0.3">
      <c r="A317" s="6" t="s">
        <v>355</v>
      </c>
      <c r="B317" s="6" t="s">
        <v>29</v>
      </c>
      <c r="C317" s="6" t="s">
        <v>30</v>
      </c>
      <c r="D317" s="6" t="s">
        <v>24</v>
      </c>
      <c r="E317" s="6" t="s">
        <v>35</v>
      </c>
      <c r="F317" s="6" t="s">
        <v>48</v>
      </c>
      <c r="G317" s="7">
        <f>Table2[[#This Row],[Unit price]]-10</f>
        <v>89.37</v>
      </c>
      <c r="H317" s="7">
        <v>99.37</v>
      </c>
      <c r="I317" s="8">
        <v>2</v>
      </c>
      <c r="J317" s="8">
        <f>Table2[[#This Row],[Unit price]]*Table2[[#This Row],[Quantity]]</f>
        <v>198.74</v>
      </c>
      <c r="K317" s="8">
        <f>Table2[[#This Row],[Unit Cost]]*Table2[[#This Row],[Quantity]]</f>
        <v>178.74</v>
      </c>
      <c r="L317" s="8">
        <f>Table2[[#This Row],[Gross Sales]]-Table2[[#This Row],[COGS]]</f>
        <v>20</v>
      </c>
      <c r="M317" s="9">
        <f t="shared" si="4"/>
        <v>0.10063399416322834</v>
      </c>
      <c r="N317" s="7">
        <v>9.9369999999999994</v>
      </c>
      <c r="O317" s="7">
        <v>208.67699999999999</v>
      </c>
      <c r="P317" s="10">
        <v>43510</v>
      </c>
      <c r="Q317" s="10" t="str">
        <f>TEXT(Table2[[#This Row],[Date]],"mmm")</f>
        <v>Feb</v>
      </c>
      <c r="R317" s="11">
        <v>0.7284722222222223</v>
      </c>
      <c r="S317" s="6" t="s">
        <v>33</v>
      </c>
      <c r="T317" s="7">
        <v>5.2</v>
      </c>
      <c r="U317" s="6">
        <f>IF(_xlfn.XLOOKUP(A317,[1]Data2!$A:$A,[1]Data2!$B:$B,"no")="yes",1,0)</f>
        <v>0</v>
      </c>
    </row>
    <row r="318" spans="1:21" s="6" customFormat="1" x14ac:dyDescent="0.3">
      <c r="A318" s="6" t="s">
        <v>356</v>
      </c>
      <c r="B318" s="6" t="s">
        <v>29</v>
      </c>
      <c r="C318" s="6" t="s">
        <v>30</v>
      </c>
      <c r="D318" s="6" t="s">
        <v>24</v>
      </c>
      <c r="E318" s="6" t="s">
        <v>25</v>
      </c>
      <c r="F318" s="6" t="s">
        <v>48</v>
      </c>
      <c r="G318" s="7">
        <f>Table2[[#This Row],[Unit price]]-10</f>
        <v>11.079999999999998</v>
      </c>
      <c r="H318" s="7">
        <v>21.08</v>
      </c>
      <c r="I318" s="8">
        <v>3</v>
      </c>
      <c r="J318" s="8">
        <f>Table2[[#This Row],[Unit price]]*Table2[[#This Row],[Quantity]]</f>
        <v>63.239999999999995</v>
      </c>
      <c r="K318" s="8">
        <f>Table2[[#This Row],[Unit Cost]]*Table2[[#This Row],[Quantity]]</f>
        <v>33.239999999999995</v>
      </c>
      <c r="L318" s="8">
        <f>Table2[[#This Row],[Gross Sales]]-Table2[[#This Row],[COGS]]</f>
        <v>30</v>
      </c>
      <c r="M318" s="9">
        <f t="shared" si="4"/>
        <v>0.47438330170777993</v>
      </c>
      <c r="N318" s="7">
        <v>3.1619999999999999</v>
      </c>
      <c r="O318" s="7">
        <v>66.402000000000001</v>
      </c>
      <c r="P318" s="10">
        <v>43505</v>
      </c>
      <c r="Q318" s="10" t="str">
        <f>TEXT(Table2[[#This Row],[Date]],"mmm")</f>
        <v>Feb</v>
      </c>
      <c r="R318" s="11">
        <v>0.43402777777777773</v>
      </c>
      <c r="S318" s="6" t="s">
        <v>33</v>
      </c>
      <c r="T318" s="7">
        <v>7.3</v>
      </c>
      <c r="U318" s="6">
        <f>IF(_xlfn.XLOOKUP(A318,[1]Data2!$A:$A,[1]Data2!$B:$B,"no")="yes",1,0)</f>
        <v>1</v>
      </c>
    </row>
    <row r="319" spans="1:21" s="6" customFormat="1" x14ac:dyDescent="0.3">
      <c r="A319" s="6" t="s">
        <v>357</v>
      </c>
      <c r="B319" s="6" t="s">
        <v>29</v>
      </c>
      <c r="C319" s="6" t="s">
        <v>30</v>
      </c>
      <c r="D319" s="6" t="s">
        <v>24</v>
      </c>
      <c r="E319" s="6" t="s">
        <v>35</v>
      </c>
      <c r="F319" s="6" t="s">
        <v>32</v>
      </c>
      <c r="G319" s="7">
        <f>Table2[[#This Row],[Unit price]]-10</f>
        <v>64.790000000000006</v>
      </c>
      <c r="H319" s="7">
        <v>74.790000000000006</v>
      </c>
      <c r="I319" s="8">
        <v>5</v>
      </c>
      <c r="J319" s="8">
        <f>Table2[[#This Row],[Unit price]]*Table2[[#This Row],[Quantity]]</f>
        <v>373.95000000000005</v>
      </c>
      <c r="K319" s="8">
        <f>Table2[[#This Row],[Unit Cost]]*Table2[[#This Row],[Quantity]]</f>
        <v>323.95000000000005</v>
      </c>
      <c r="L319" s="8">
        <f>Table2[[#This Row],[Gross Sales]]-Table2[[#This Row],[COGS]]</f>
        <v>50</v>
      </c>
      <c r="M319" s="9">
        <f t="shared" si="4"/>
        <v>0.13370771493515174</v>
      </c>
      <c r="N319" s="7">
        <v>18.697500000000002</v>
      </c>
      <c r="O319" s="7">
        <v>392.64749999999998</v>
      </c>
      <c r="P319" s="10">
        <v>43475</v>
      </c>
      <c r="Q319" s="10" t="str">
        <f>TEXT(Table2[[#This Row],[Date]],"mmm")</f>
        <v>Jan</v>
      </c>
      <c r="R319" s="11">
        <v>0.48194444444444445</v>
      </c>
      <c r="S319" s="6" t="s">
        <v>33</v>
      </c>
      <c r="T319" s="7">
        <v>4.9000000000000004</v>
      </c>
      <c r="U319" s="6">
        <f>IF(_xlfn.XLOOKUP(A319,[1]Data2!$A:$A,[1]Data2!$B:$B,"no")="yes",1,0)</f>
        <v>0</v>
      </c>
    </row>
    <row r="320" spans="1:21" s="6" customFormat="1" x14ac:dyDescent="0.3">
      <c r="A320" s="6" t="s">
        <v>358</v>
      </c>
      <c r="B320" s="6" t="s">
        <v>29</v>
      </c>
      <c r="C320" s="6" t="s">
        <v>30</v>
      </c>
      <c r="D320" s="6" t="s">
        <v>24</v>
      </c>
      <c r="E320" s="6" t="s">
        <v>25</v>
      </c>
      <c r="F320" s="6" t="s">
        <v>26</v>
      </c>
      <c r="G320" s="7">
        <f>Table2[[#This Row],[Unit price]]-10</f>
        <v>19.670000000000002</v>
      </c>
      <c r="H320" s="7">
        <v>29.67</v>
      </c>
      <c r="I320" s="8">
        <v>7</v>
      </c>
      <c r="J320" s="8">
        <f>Table2[[#This Row],[Unit price]]*Table2[[#This Row],[Quantity]]</f>
        <v>207.69</v>
      </c>
      <c r="K320" s="8">
        <f>Table2[[#This Row],[Unit Cost]]*Table2[[#This Row],[Quantity]]</f>
        <v>137.69</v>
      </c>
      <c r="L320" s="8">
        <f>Table2[[#This Row],[Gross Sales]]-Table2[[#This Row],[COGS]]</f>
        <v>70</v>
      </c>
      <c r="M320" s="9">
        <f t="shared" si="4"/>
        <v>0.33704078193461406</v>
      </c>
      <c r="N320" s="7">
        <v>10.384499999999999</v>
      </c>
      <c r="O320" s="7">
        <v>218.0745</v>
      </c>
      <c r="P320" s="10">
        <v>43535</v>
      </c>
      <c r="Q320" s="10" t="str">
        <f>TEXT(Table2[[#This Row],[Date]],"mmm")</f>
        <v>Mar</v>
      </c>
      <c r="R320" s="11">
        <v>0.79027777777777775</v>
      </c>
      <c r="S320" s="6" t="s">
        <v>37</v>
      </c>
      <c r="T320" s="7">
        <v>8.1</v>
      </c>
      <c r="U320" s="6">
        <f>IF(_xlfn.XLOOKUP(A320,[1]Data2!$A:$A,[1]Data2!$B:$B,"no")="yes",1,0)</f>
        <v>0</v>
      </c>
    </row>
    <row r="321" spans="1:21" s="6" customFormat="1" x14ac:dyDescent="0.3">
      <c r="A321" s="6" t="s">
        <v>359</v>
      </c>
      <c r="B321" s="6" t="s">
        <v>29</v>
      </c>
      <c r="C321" s="6" t="s">
        <v>30</v>
      </c>
      <c r="D321" s="6" t="s">
        <v>24</v>
      </c>
      <c r="E321" s="6" t="s">
        <v>35</v>
      </c>
      <c r="F321" s="6" t="s">
        <v>26</v>
      </c>
      <c r="G321" s="7">
        <f>Table2[[#This Row],[Unit price]]-10</f>
        <v>34.07</v>
      </c>
      <c r="H321" s="7">
        <v>44.07</v>
      </c>
      <c r="I321" s="8">
        <v>4</v>
      </c>
      <c r="J321" s="8">
        <f>Table2[[#This Row],[Unit price]]*Table2[[#This Row],[Quantity]]</f>
        <v>176.28</v>
      </c>
      <c r="K321" s="8">
        <f>Table2[[#This Row],[Unit Cost]]*Table2[[#This Row],[Quantity]]</f>
        <v>136.28</v>
      </c>
      <c r="L321" s="8">
        <f>Table2[[#This Row],[Gross Sales]]-Table2[[#This Row],[COGS]]</f>
        <v>40</v>
      </c>
      <c r="M321" s="9">
        <f t="shared" si="4"/>
        <v>0.2269117313365101</v>
      </c>
      <c r="N321" s="7">
        <v>8.8140000000000001</v>
      </c>
      <c r="O321" s="7">
        <v>185.09399999999999</v>
      </c>
      <c r="P321" s="10">
        <v>43514</v>
      </c>
      <c r="Q321" s="10" t="str">
        <f>TEXT(Table2[[#This Row],[Date]],"mmm")</f>
        <v>Feb</v>
      </c>
      <c r="R321" s="11">
        <v>0.68611111111111101</v>
      </c>
      <c r="S321" s="6" t="s">
        <v>27</v>
      </c>
      <c r="T321" s="7">
        <v>8.4</v>
      </c>
      <c r="U321" s="6">
        <f>IF(_xlfn.XLOOKUP(A321,[1]Data2!$A:$A,[1]Data2!$B:$B,"no")="yes",1,0)</f>
        <v>0</v>
      </c>
    </row>
    <row r="322" spans="1:21" s="6" customFormat="1" x14ac:dyDescent="0.3">
      <c r="A322" s="6" t="s">
        <v>360</v>
      </c>
      <c r="B322" s="6" t="s">
        <v>29</v>
      </c>
      <c r="C322" s="6" t="s">
        <v>30</v>
      </c>
      <c r="D322" s="6" t="s">
        <v>31</v>
      </c>
      <c r="E322" s="6" t="s">
        <v>25</v>
      </c>
      <c r="F322" s="6" t="s">
        <v>48</v>
      </c>
      <c r="G322" s="7">
        <f>Table2[[#This Row],[Unit price]]-10</f>
        <v>12.93</v>
      </c>
      <c r="H322" s="7">
        <v>22.93</v>
      </c>
      <c r="I322" s="8">
        <v>9</v>
      </c>
      <c r="J322" s="8">
        <f>Table2[[#This Row],[Unit price]]*Table2[[#This Row],[Quantity]]</f>
        <v>206.37</v>
      </c>
      <c r="K322" s="8">
        <f>Table2[[#This Row],[Unit Cost]]*Table2[[#This Row],[Quantity]]</f>
        <v>116.37</v>
      </c>
      <c r="L322" s="8">
        <f>Table2[[#This Row],[Gross Sales]]-Table2[[#This Row],[COGS]]</f>
        <v>90</v>
      </c>
      <c r="M322" s="9">
        <f t="shared" si="4"/>
        <v>0.43610989969472308</v>
      </c>
      <c r="N322" s="7">
        <v>10.3185</v>
      </c>
      <c r="O322" s="7">
        <v>216.6885</v>
      </c>
      <c r="P322" s="10">
        <v>43522</v>
      </c>
      <c r="Q322" s="10" t="str">
        <f>TEXT(Table2[[#This Row],[Date]],"mmm")</f>
        <v>Feb</v>
      </c>
      <c r="R322" s="11">
        <v>0.85138888888888886</v>
      </c>
      <c r="S322" s="6" t="s">
        <v>33</v>
      </c>
      <c r="T322" s="7">
        <v>5.5</v>
      </c>
      <c r="U322" s="6">
        <f>IF(_xlfn.XLOOKUP(A322,[1]Data2!$A:$A,[1]Data2!$B:$B,"no")="yes",1,0)</f>
        <v>1</v>
      </c>
    </row>
    <row r="323" spans="1:21" s="6" customFormat="1" x14ac:dyDescent="0.3">
      <c r="A323" s="6" t="s">
        <v>361</v>
      </c>
      <c r="B323" s="6" t="s">
        <v>29</v>
      </c>
      <c r="C323" s="6" t="s">
        <v>30</v>
      </c>
      <c r="D323" s="6" t="s">
        <v>31</v>
      </c>
      <c r="E323" s="6" t="s">
        <v>25</v>
      </c>
      <c r="F323" s="6" t="s">
        <v>26</v>
      </c>
      <c r="G323" s="7">
        <f>Table2[[#This Row],[Unit price]]-10</f>
        <v>29.42</v>
      </c>
      <c r="H323" s="7">
        <v>39.42</v>
      </c>
      <c r="I323" s="8">
        <v>1</v>
      </c>
      <c r="J323" s="8">
        <f>Table2[[#This Row],[Unit price]]*Table2[[#This Row],[Quantity]]</f>
        <v>39.42</v>
      </c>
      <c r="K323" s="8">
        <f>Table2[[#This Row],[Unit Cost]]*Table2[[#This Row],[Quantity]]</f>
        <v>29.42</v>
      </c>
      <c r="L323" s="8">
        <f>Table2[[#This Row],[Gross Sales]]-Table2[[#This Row],[COGS]]</f>
        <v>10</v>
      </c>
      <c r="M323" s="9">
        <f t="shared" ref="M323:M386" si="5">IFERROR(L323/J323,0)</f>
        <v>0.25367833587011668</v>
      </c>
      <c r="N323" s="7">
        <v>1.9710000000000001</v>
      </c>
      <c r="O323" s="7">
        <v>41.390999999999998</v>
      </c>
      <c r="P323" s="10">
        <v>43483</v>
      </c>
      <c r="Q323" s="10" t="str">
        <f>TEXT(Table2[[#This Row],[Date]],"mmm")</f>
        <v>Jan</v>
      </c>
      <c r="R323" s="11">
        <v>0.63055555555555554</v>
      </c>
      <c r="S323" s="6" t="s">
        <v>33</v>
      </c>
      <c r="T323" s="7">
        <v>8.4</v>
      </c>
      <c r="U323" s="6">
        <f>IF(_xlfn.XLOOKUP(A323,[1]Data2!$A:$A,[1]Data2!$B:$B,"no")="yes",1,0)</f>
        <v>0</v>
      </c>
    </row>
    <row r="324" spans="1:21" s="6" customFormat="1" x14ac:dyDescent="0.3">
      <c r="A324" s="6" t="s">
        <v>362</v>
      </c>
      <c r="B324" s="6" t="s">
        <v>22</v>
      </c>
      <c r="C324" s="6" t="s">
        <v>23</v>
      </c>
      <c r="D324" s="6" t="s">
        <v>31</v>
      </c>
      <c r="E324" s="6" t="s">
        <v>35</v>
      </c>
      <c r="F324" s="6" t="s">
        <v>26</v>
      </c>
      <c r="G324" s="7">
        <f>Table2[[#This Row],[Unit price]]-10</f>
        <v>5.26</v>
      </c>
      <c r="H324" s="7">
        <v>15.26</v>
      </c>
      <c r="I324" s="8">
        <v>6</v>
      </c>
      <c r="J324" s="8">
        <f>Table2[[#This Row],[Unit price]]*Table2[[#This Row],[Quantity]]</f>
        <v>91.56</v>
      </c>
      <c r="K324" s="8">
        <f>Table2[[#This Row],[Unit Cost]]*Table2[[#This Row],[Quantity]]</f>
        <v>31.56</v>
      </c>
      <c r="L324" s="8">
        <f>Table2[[#This Row],[Gross Sales]]-Table2[[#This Row],[COGS]]</f>
        <v>60</v>
      </c>
      <c r="M324" s="9">
        <f t="shared" si="5"/>
        <v>0.65530799475753598</v>
      </c>
      <c r="N324" s="7">
        <v>4.5780000000000003</v>
      </c>
      <c r="O324" s="7">
        <v>96.138000000000005</v>
      </c>
      <c r="P324" s="10">
        <v>43511</v>
      </c>
      <c r="Q324" s="10" t="str">
        <f>TEXT(Table2[[#This Row],[Date]],"mmm")</f>
        <v>Feb</v>
      </c>
      <c r="R324" s="11">
        <v>0.75208333333333333</v>
      </c>
      <c r="S324" s="6" t="s">
        <v>27</v>
      </c>
      <c r="T324" s="7">
        <v>9.8000000000000007</v>
      </c>
      <c r="U324" s="6">
        <f>IF(_xlfn.XLOOKUP(A324,[1]Data2!$A:$A,[1]Data2!$B:$B,"no")="yes",1,0)</f>
        <v>0</v>
      </c>
    </row>
    <row r="325" spans="1:21" s="6" customFormat="1" x14ac:dyDescent="0.3">
      <c r="A325" s="6" t="s">
        <v>363</v>
      </c>
      <c r="B325" s="6" t="s">
        <v>22</v>
      </c>
      <c r="C325" s="6" t="s">
        <v>23</v>
      </c>
      <c r="D325" s="6" t="s">
        <v>31</v>
      </c>
      <c r="E325" s="6" t="s">
        <v>25</v>
      </c>
      <c r="F325" s="6" t="s">
        <v>50</v>
      </c>
      <c r="G325" s="7">
        <f>Table2[[#This Row],[Unit price]]-10</f>
        <v>51.77</v>
      </c>
      <c r="H325" s="7">
        <v>61.77</v>
      </c>
      <c r="I325" s="8">
        <v>5</v>
      </c>
      <c r="J325" s="8">
        <f>Table2[[#This Row],[Unit price]]*Table2[[#This Row],[Quantity]]</f>
        <v>308.85000000000002</v>
      </c>
      <c r="K325" s="8">
        <f>Table2[[#This Row],[Unit Cost]]*Table2[[#This Row],[Quantity]]</f>
        <v>258.85000000000002</v>
      </c>
      <c r="L325" s="8">
        <f>Table2[[#This Row],[Gross Sales]]-Table2[[#This Row],[COGS]]</f>
        <v>50</v>
      </c>
      <c r="M325" s="9">
        <f t="shared" si="5"/>
        <v>0.1618908855431439</v>
      </c>
      <c r="N325" s="7">
        <v>15.442500000000001</v>
      </c>
      <c r="O325" s="7">
        <v>324.29250000000002</v>
      </c>
      <c r="P325" s="10">
        <v>43532</v>
      </c>
      <c r="Q325" s="10" t="str">
        <f>TEXT(Table2[[#This Row],[Date]],"mmm")</f>
        <v>Mar</v>
      </c>
      <c r="R325" s="11">
        <v>0.55625000000000002</v>
      </c>
      <c r="S325" s="6" t="s">
        <v>33</v>
      </c>
      <c r="T325" s="7">
        <v>6.7</v>
      </c>
      <c r="U325" s="6">
        <f>IF(_xlfn.XLOOKUP(A325,[1]Data2!$A:$A,[1]Data2!$B:$B,"no")="yes",1,0)</f>
        <v>0</v>
      </c>
    </row>
    <row r="326" spans="1:21" s="6" customFormat="1" x14ac:dyDescent="0.3">
      <c r="A326" s="6" t="s">
        <v>364</v>
      </c>
      <c r="B326" s="6" t="s">
        <v>22</v>
      </c>
      <c r="C326" s="6" t="s">
        <v>23</v>
      </c>
      <c r="D326" s="6" t="s">
        <v>31</v>
      </c>
      <c r="E326" s="6" t="s">
        <v>35</v>
      </c>
      <c r="F326" s="6" t="s">
        <v>36</v>
      </c>
      <c r="G326" s="7">
        <f>Table2[[#This Row],[Unit price]]-10</f>
        <v>11.52</v>
      </c>
      <c r="H326" s="7">
        <v>21.52</v>
      </c>
      <c r="I326" s="8">
        <v>6</v>
      </c>
      <c r="J326" s="8">
        <f>Table2[[#This Row],[Unit price]]*Table2[[#This Row],[Quantity]]</f>
        <v>129.12</v>
      </c>
      <c r="K326" s="8">
        <f>Table2[[#This Row],[Unit Cost]]*Table2[[#This Row],[Quantity]]</f>
        <v>69.12</v>
      </c>
      <c r="L326" s="8">
        <f>Table2[[#This Row],[Gross Sales]]-Table2[[#This Row],[COGS]]</f>
        <v>60</v>
      </c>
      <c r="M326" s="9">
        <f t="shared" si="5"/>
        <v>0.46468401486988847</v>
      </c>
      <c r="N326" s="7">
        <v>6.4560000000000004</v>
      </c>
      <c r="O326" s="7">
        <v>135.57599999999999</v>
      </c>
      <c r="P326" s="10">
        <v>43482</v>
      </c>
      <c r="Q326" s="10" t="str">
        <f>TEXT(Table2[[#This Row],[Date]],"mmm")</f>
        <v>Jan</v>
      </c>
      <c r="R326" s="11">
        <v>0.53333333333333333</v>
      </c>
      <c r="S326" s="6" t="s">
        <v>37</v>
      </c>
      <c r="T326" s="7">
        <v>9.4</v>
      </c>
      <c r="U326" s="6">
        <f>IF(_xlfn.XLOOKUP(A326,[1]Data2!$A:$A,[1]Data2!$B:$B,"no")="yes",1,0)</f>
        <v>1</v>
      </c>
    </row>
    <row r="327" spans="1:21" s="6" customFormat="1" x14ac:dyDescent="0.3">
      <c r="A327" s="6" t="s">
        <v>365</v>
      </c>
      <c r="B327" s="6" t="s">
        <v>46</v>
      </c>
      <c r="C327" s="6" t="s">
        <v>47</v>
      </c>
      <c r="D327" s="6" t="s">
        <v>31</v>
      </c>
      <c r="E327" s="6" t="s">
        <v>35</v>
      </c>
      <c r="F327" s="6" t="s">
        <v>40</v>
      </c>
      <c r="G327" s="7">
        <f>Table2[[#This Row],[Unit price]]-10</f>
        <v>87.74</v>
      </c>
      <c r="H327" s="7">
        <v>97.74</v>
      </c>
      <c r="I327" s="8">
        <v>4</v>
      </c>
      <c r="J327" s="8">
        <f>Table2[[#This Row],[Unit price]]*Table2[[#This Row],[Quantity]]</f>
        <v>390.96</v>
      </c>
      <c r="K327" s="8">
        <f>Table2[[#This Row],[Unit Cost]]*Table2[[#This Row],[Quantity]]</f>
        <v>350.96</v>
      </c>
      <c r="L327" s="8">
        <f>Table2[[#This Row],[Gross Sales]]-Table2[[#This Row],[COGS]]</f>
        <v>40</v>
      </c>
      <c r="M327" s="9">
        <f t="shared" si="5"/>
        <v>0.10231225700838961</v>
      </c>
      <c r="N327" s="7">
        <v>19.547999999999998</v>
      </c>
      <c r="O327" s="7">
        <v>410.50799999999998</v>
      </c>
      <c r="P327" s="10">
        <v>43536</v>
      </c>
      <c r="Q327" s="10" t="str">
        <f>TEXT(Table2[[#This Row],[Date]],"mmm")</f>
        <v>Mar</v>
      </c>
      <c r="R327" s="11">
        <v>0.82847222222222217</v>
      </c>
      <c r="S327" s="6" t="s">
        <v>27</v>
      </c>
      <c r="T327" s="7">
        <v>6.4</v>
      </c>
      <c r="U327" s="6">
        <f>IF(_xlfn.XLOOKUP(A327,[1]Data2!$A:$A,[1]Data2!$B:$B,"no")="yes",1,0)</f>
        <v>0</v>
      </c>
    </row>
    <row r="328" spans="1:21" s="6" customFormat="1" x14ac:dyDescent="0.3">
      <c r="A328" s="6" t="s">
        <v>366</v>
      </c>
      <c r="B328" s="6" t="s">
        <v>22</v>
      </c>
      <c r="C328" s="6" t="s">
        <v>23</v>
      </c>
      <c r="D328" s="6" t="s">
        <v>24</v>
      </c>
      <c r="E328" s="6" t="s">
        <v>35</v>
      </c>
      <c r="F328" s="6" t="s">
        <v>48</v>
      </c>
      <c r="G328" s="7">
        <f>Table2[[#This Row],[Unit price]]-10</f>
        <v>89.78</v>
      </c>
      <c r="H328" s="7">
        <v>99.78</v>
      </c>
      <c r="I328" s="8">
        <v>5</v>
      </c>
      <c r="J328" s="8">
        <f>Table2[[#This Row],[Unit price]]*Table2[[#This Row],[Quantity]]</f>
        <v>498.9</v>
      </c>
      <c r="K328" s="8">
        <f>Table2[[#This Row],[Unit Cost]]*Table2[[#This Row],[Quantity]]</f>
        <v>448.9</v>
      </c>
      <c r="L328" s="8">
        <f>Table2[[#This Row],[Gross Sales]]-Table2[[#This Row],[COGS]]</f>
        <v>50</v>
      </c>
      <c r="M328" s="9">
        <f t="shared" si="5"/>
        <v>0.10022048506714773</v>
      </c>
      <c r="N328" s="7">
        <v>24.945</v>
      </c>
      <c r="O328" s="7">
        <v>523.84500000000003</v>
      </c>
      <c r="P328" s="10">
        <v>43533</v>
      </c>
      <c r="Q328" s="10" t="str">
        <f>TEXT(Table2[[#This Row],[Date]],"mmm")</f>
        <v>Mar</v>
      </c>
      <c r="R328" s="11">
        <v>0.79791666666666661</v>
      </c>
      <c r="S328" s="6" t="s">
        <v>33</v>
      </c>
      <c r="T328" s="7">
        <v>5.4</v>
      </c>
      <c r="U328" s="6">
        <f>IF(_xlfn.XLOOKUP(A328,[1]Data2!$A:$A,[1]Data2!$B:$B,"no")="yes",1,0)</f>
        <v>0</v>
      </c>
    </row>
    <row r="329" spans="1:21" s="6" customFormat="1" x14ac:dyDescent="0.3">
      <c r="A329" s="6" t="s">
        <v>367</v>
      </c>
      <c r="B329" s="6" t="s">
        <v>29</v>
      </c>
      <c r="C329" s="6" t="s">
        <v>30</v>
      </c>
      <c r="D329" s="6" t="s">
        <v>24</v>
      </c>
      <c r="E329" s="6" t="s">
        <v>35</v>
      </c>
      <c r="F329" s="6" t="s">
        <v>48</v>
      </c>
      <c r="G329" s="7">
        <f>Table2[[#This Row],[Unit price]]-10</f>
        <v>84.26</v>
      </c>
      <c r="H329" s="7">
        <v>94.26</v>
      </c>
      <c r="I329" s="8">
        <v>4</v>
      </c>
      <c r="J329" s="8">
        <f>Table2[[#This Row],[Unit price]]*Table2[[#This Row],[Quantity]]</f>
        <v>377.04</v>
      </c>
      <c r="K329" s="8">
        <f>Table2[[#This Row],[Unit Cost]]*Table2[[#This Row],[Quantity]]</f>
        <v>337.04</v>
      </c>
      <c r="L329" s="8">
        <f>Table2[[#This Row],[Gross Sales]]-Table2[[#This Row],[COGS]]</f>
        <v>40</v>
      </c>
      <c r="M329" s="9">
        <f t="shared" si="5"/>
        <v>0.10608953957139826</v>
      </c>
      <c r="N329" s="7">
        <v>18.852</v>
      </c>
      <c r="O329" s="7">
        <v>395.892</v>
      </c>
      <c r="P329" s="10">
        <v>43536</v>
      </c>
      <c r="Q329" s="10" t="str">
        <f>TEXT(Table2[[#This Row],[Date]],"mmm")</f>
        <v>Mar</v>
      </c>
      <c r="R329" s="11">
        <v>0.6875</v>
      </c>
      <c r="S329" s="6" t="s">
        <v>33</v>
      </c>
      <c r="T329" s="7">
        <v>8.6</v>
      </c>
      <c r="U329" s="6">
        <f>IF(_xlfn.XLOOKUP(A329,[1]Data2!$A:$A,[1]Data2!$B:$B,"no")="yes",1,0)</f>
        <v>0</v>
      </c>
    </row>
    <row r="330" spans="1:21" s="6" customFormat="1" x14ac:dyDescent="0.3">
      <c r="A330" s="6" t="s">
        <v>368</v>
      </c>
      <c r="B330" s="6" t="s">
        <v>46</v>
      </c>
      <c r="C330" s="6" t="s">
        <v>47</v>
      </c>
      <c r="D330" s="6" t="s">
        <v>24</v>
      </c>
      <c r="E330" s="6" t="s">
        <v>35</v>
      </c>
      <c r="F330" s="6" t="s">
        <v>26</v>
      </c>
      <c r="G330" s="7">
        <f>Table2[[#This Row],[Unit price]]-10</f>
        <v>41.13</v>
      </c>
      <c r="H330" s="7">
        <v>51.13</v>
      </c>
      <c r="I330" s="8">
        <v>4</v>
      </c>
      <c r="J330" s="8">
        <f>Table2[[#This Row],[Unit price]]*Table2[[#This Row],[Quantity]]</f>
        <v>204.52</v>
      </c>
      <c r="K330" s="8">
        <f>Table2[[#This Row],[Unit Cost]]*Table2[[#This Row],[Quantity]]</f>
        <v>164.52</v>
      </c>
      <c r="L330" s="8">
        <f>Table2[[#This Row],[Gross Sales]]-Table2[[#This Row],[COGS]]</f>
        <v>40</v>
      </c>
      <c r="M330" s="9">
        <f t="shared" si="5"/>
        <v>0.19557989438685702</v>
      </c>
      <c r="N330" s="7">
        <v>10.226000000000001</v>
      </c>
      <c r="O330" s="7">
        <v>214.74600000000001</v>
      </c>
      <c r="P330" s="10">
        <v>43490</v>
      </c>
      <c r="Q330" s="10" t="str">
        <f>TEXT(Table2[[#This Row],[Date]],"mmm")</f>
        <v>Jan</v>
      </c>
      <c r="R330" s="11">
        <v>0.42430555555555555</v>
      </c>
      <c r="S330" s="6" t="s">
        <v>37</v>
      </c>
      <c r="T330" s="7">
        <v>4</v>
      </c>
      <c r="U330" s="6">
        <f>IF(_xlfn.XLOOKUP(A330,[1]Data2!$A:$A,[1]Data2!$B:$B,"no")="yes",1,0)</f>
        <v>1</v>
      </c>
    </row>
    <row r="331" spans="1:21" s="6" customFormat="1" x14ac:dyDescent="0.3">
      <c r="A331" s="6" t="s">
        <v>369</v>
      </c>
      <c r="B331" s="6" t="s">
        <v>22</v>
      </c>
      <c r="C331" s="6" t="s">
        <v>23</v>
      </c>
      <c r="D331" s="6" t="s">
        <v>24</v>
      </c>
      <c r="E331" s="6" t="s">
        <v>35</v>
      </c>
      <c r="F331" s="6" t="s">
        <v>32</v>
      </c>
      <c r="G331" s="7">
        <f>Table2[[#This Row],[Unit price]]-10</f>
        <v>26.36</v>
      </c>
      <c r="H331" s="7">
        <v>36.36</v>
      </c>
      <c r="I331" s="8">
        <v>4</v>
      </c>
      <c r="J331" s="8">
        <f>Table2[[#This Row],[Unit price]]*Table2[[#This Row],[Quantity]]</f>
        <v>145.44</v>
      </c>
      <c r="K331" s="8">
        <f>Table2[[#This Row],[Unit Cost]]*Table2[[#This Row],[Quantity]]</f>
        <v>105.44</v>
      </c>
      <c r="L331" s="8">
        <f>Table2[[#This Row],[Gross Sales]]-Table2[[#This Row],[COGS]]</f>
        <v>40</v>
      </c>
      <c r="M331" s="9">
        <f t="shared" si="5"/>
        <v>0.27502750275027504</v>
      </c>
      <c r="N331" s="7">
        <v>7.2720000000000002</v>
      </c>
      <c r="O331" s="7">
        <v>152.71199999999999</v>
      </c>
      <c r="P331" s="10">
        <v>43549</v>
      </c>
      <c r="Q331" s="10" t="str">
        <f>TEXT(Table2[[#This Row],[Date]],"mmm")</f>
        <v>Mar</v>
      </c>
      <c r="R331" s="11">
        <v>0.54652777777777783</v>
      </c>
      <c r="S331" s="6" t="s">
        <v>33</v>
      </c>
      <c r="T331" s="7">
        <v>7.6</v>
      </c>
      <c r="U331" s="6">
        <f>IF(_xlfn.XLOOKUP(A331,[1]Data2!$A:$A,[1]Data2!$B:$B,"no")="yes",1,0)</f>
        <v>0</v>
      </c>
    </row>
    <row r="332" spans="1:21" s="6" customFormat="1" x14ac:dyDescent="0.3">
      <c r="A332" s="6" t="s">
        <v>370</v>
      </c>
      <c r="B332" s="6" t="s">
        <v>46</v>
      </c>
      <c r="C332" s="6" t="s">
        <v>47</v>
      </c>
      <c r="D332" s="6" t="s">
        <v>31</v>
      </c>
      <c r="E332" s="6" t="s">
        <v>35</v>
      </c>
      <c r="F332" s="6" t="s">
        <v>36</v>
      </c>
      <c r="G332" s="7">
        <f>Table2[[#This Row],[Unit price]]-10</f>
        <v>12.02</v>
      </c>
      <c r="H332" s="7">
        <v>22.02</v>
      </c>
      <c r="I332" s="8">
        <v>9</v>
      </c>
      <c r="J332" s="8">
        <f>Table2[[#This Row],[Unit price]]*Table2[[#This Row],[Quantity]]</f>
        <v>198.18</v>
      </c>
      <c r="K332" s="8">
        <f>Table2[[#This Row],[Unit Cost]]*Table2[[#This Row],[Quantity]]</f>
        <v>108.17999999999999</v>
      </c>
      <c r="L332" s="8">
        <f>Table2[[#This Row],[Gross Sales]]-Table2[[#This Row],[COGS]]</f>
        <v>90.000000000000014</v>
      </c>
      <c r="M332" s="9">
        <f t="shared" si="5"/>
        <v>0.45413260672116262</v>
      </c>
      <c r="N332" s="7">
        <v>9.9090000000000007</v>
      </c>
      <c r="O332" s="7">
        <v>208.089</v>
      </c>
      <c r="P332" s="10">
        <v>43503</v>
      </c>
      <c r="Q332" s="10" t="str">
        <f>TEXT(Table2[[#This Row],[Date]],"mmm")</f>
        <v>Feb</v>
      </c>
      <c r="R332" s="11">
        <v>0.78333333333333333</v>
      </c>
      <c r="S332" s="6" t="s">
        <v>33</v>
      </c>
      <c r="T332" s="7">
        <v>6.8</v>
      </c>
      <c r="U332" s="6">
        <f>IF(_xlfn.XLOOKUP(A332,[1]Data2!$A:$A,[1]Data2!$B:$B,"no")="yes",1,0)</f>
        <v>0</v>
      </c>
    </row>
    <row r="333" spans="1:21" s="6" customFormat="1" x14ac:dyDescent="0.3">
      <c r="A333" s="6" t="s">
        <v>371</v>
      </c>
      <c r="B333" s="6" t="s">
        <v>22</v>
      </c>
      <c r="C333" s="6" t="s">
        <v>23</v>
      </c>
      <c r="D333" s="6" t="s">
        <v>31</v>
      </c>
      <c r="E333" s="6" t="s">
        <v>35</v>
      </c>
      <c r="F333" s="6" t="s">
        <v>48</v>
      </c>
      <c r="G333" s="7">
        <f>Table2[[#This Row],[Unit price]]-10</f>
        <v>22.9</v>
      </c>
      <c r="H333" s="7">
        <v>32.9</v>
      </c>
      <c r="I333" s="8">
        <v>3</v>
      </c>
      <c r="J333" s="8">
        <f>Table2[[#This Row],[Unit price]]*Table2[[#This Row],[Quantity]]</f>
        <v>98.699999999999989</v>
      </c>
      <c r="K333" s="8">
        <f>Table2[[#This Row],[Unit Cost]]*Table2[[#This Row],[Quantity]]</f>
        <v>68.699999999999989</v>
      </c>
      <c r="L333" s="8">
        <f>Table2[[#This Row],[Gross Sales]]-Table2[[#This Row],[COGS]]</f>
        <v>30</v>
      </c>
      <c r="M333" s="9">
        <f t="shared" si="5"/>
        <v>0.30395136778115506</v>
      </c>
      <c r="N333" s="7">
        <v>4.9349999999999996</v>
      </c>
      <c r="O333" s="7">
        <v>103.63500000000001</v>
      </c>
      <c r="P333" s="10">
        <v>43513</v>
      </c>
      <c r="Q333" s="10" t="str">
        <f>TEXT(Table2[[#This Row],[Date]],"mmm")</f>
        <v>Feb</v>
      </c>
      <c r="R333" s="11">
        <v>0.7270833333333333</v>
      </c>
      <c r="S333" s="6" t="s">
        <v>37</v>
      </c>
      <c r="T333" s="7">
        <v>9.1</v>
      </c>
      <c r="U333" s="6">
        <f>IF(_xlfn.XLOOKUP(A333,[1]Data2!$A:$A,[1]Data2!$B:$B,"no")="yes",1,0)</f>
        <v>0</v>
      </c>
    </row>
    <row r="334" spans="1:21" s="6" customFormat="1" x14ac:dyDescent="0.3">
      <c r="A334" s="6" t="s">
        <v>372</v>
      </c>
      <c r="B334" s="6" t="s">
        <v>22</v>
      </c>
      <c r="C334" s="6" t="s">
        <v>23</v>
      </c>
      <c r="D334" s="6" t="s">
        <v>31</v>
      </c>
      <c r="E334" s="6" t="s">
        <v>35</v>
      </c>
      <c r="F334" s="6" t="s">
        <v>50</v>
      </c>
      <c r="G334" s="7">
        <f>Table2[[#This Row],[Unit price]]-10</f>
        <v>67.02</v>
      </c>
      <c r="H334" s="7">
        <v>77.02</v>
      </c>
      <c r="I334" s="8">
        <v>5</v>
      </c>
      <c r="J334" s="8">
        <f>Table2[[#This Row],[Unit price]]*Table2[[#This Row],[Quantity]]</f>
        <v>385.09999999999997</v>
      </c>
      <c r="K334" s="8">
        <f>Table2[[#This Row],[Unit Cost]]*Table2[[#This Row],[Quantity]]</f>
        <v>335.09999999999997</v>
      </c>
      <c r="L334" s="8">
        <f>Table2[[#This Row],[Gross Sales]]-Table2[[#This Row],[COGS]]</f>
        <v>50</v>
      </c>
      <c r="M334" s="9">
        <f t="shared" si="5"/>
        <v>0.12983640612827838</v>
      </c>
      <c r="N334" s="7">
        <v>19.254999999999999</v>
      </c>
      <c r="O334" s="7">
        <v>404.35500000000002</v>
      </c>
      <c r="P334" s="10">
        <v>43499</v>
      </c>
      <c r="Q334" s="10" t="str">
        <f>TEXT(Table2[[#This Row],[Date]],"mmm")</f>
        <v>Feb</v>
      </c>
      <c r="R334" s="11">
        <v>0.66597222222222219</v>
      </c>
      <c r="S334" s="6" t="s">
        <v>33</v>
      </c>
      <c r="T334" s="7">
        <v>5.5</v>
      </c>
      <c r="U334" s="6">
        <f>IF(_xlfn.XLOOKUP(A334,[1]Data2!$A:$A,[1]Data2!$B:$B,"no")="yes",1,0)</f>
        <v>1</v>
      </c>
    </row>
    <row r="335" spans="1:21" s="6" customFormat="1" x14ac:dyDescent="0.3">
      <c r="A335" s="6" t="s">
        <v>373</v>
      </c>
      <c r="B335" s="6" t="s">
        <v>22</v>
      </c>
      <c r="C335" s="6" t="s">
        <v>23</v>
      </c>
      <c r="D335" s="6" t="s">
        <v>24</v>
      </c>
      <c r="E335" s="6" t="s">
        <v>35</v>
      </c>
      <c r="F335" s="6" t="s">
        <v>48</v>
      </c>
      <c r="G335" s="7">
        <f>Table2[[#This Row],[Unit price]]-10</f>
        <v>13.48</v>
      </c>
      <c r="H335" s="7">
        <v>23.48</v>
      </c>
      <c r="I335" s="8">
        <v>2</v>
      </c>
      <c r="J335" s="8">
        <f>Table2[[#This Row],[Unit price]]*Table2[[#This Row],[Quantity]]</f>
        <v>46.96</v>
      </c>
      <c r="K335" s="8">
        <f>Table2[[#This Row],[Unit Cost]]*Table2[[#This Row],[Quantity]]</f>
        <v>26.96</v>
      </c>
      <c r="L335" s="8">
        <f>Table2[[#This Row],[Gross Sales]]-Table2[[#This Row],[COGS]]</f>
        <v>20</v>
      </c>
      <c r="M335" s="9">
        <f t="shared" si="5"/>
        <v>0.42589437819420783</v>
      </c>
      <c r="N335" s="7">
        <v>2.3479999999999999</v>
      </c>
      <c r="O335" s="7">
        <v>49.308</v>
      </c>
      <c r="P335" s="10">
        <v>43538</v>
      </c>
      <c r="Q335" s="10" t="str">
        <f>TEXT(Table2[[#This Row],[Date]],"mmm")</f>
        <v>Mar</v>
      </c>
      <c r="R335" s="11">
        <v>0.47291666666666665</v>
      </c>
      <c r="S335" s="6" t="s">
        <v>37</v>
      </c>
      <c r="T335" s="7">
        <v>7.9</v>
      </c>
      <c r="U335" s="6">
        <f>IF(_xlfn.XLOOKUP(A335,[1]Data2!$A:$A,[1]Data2!$B:$B,"no")="yes",1,0)</f>
        <v>0</v>
      </c>
    </row>
    <row r="336" spans="1:21" s="6" customFormat="1" x14ac:dyDescent="0.3">
      <c r="A336" s="6" t="s">
        <v>374</v>
      </c>
      <c r="B336" s="6" t="s">
        <v>29</v>
      </c>
      <c r="C336" s="6" t="s">
        <v>30</v>
      </c>
      <c r="D336" s="6" t="s">
        <v>24</v>
      </c>
      <c r="E336" s="6" t="s">
        <v>35</v>
      </c>
      <c r="F336" s="6" t="s">
        <v>40</v>
      </c>
      <c r="G336" s="7">
        <f>Table2[[#This Row],[Unit price]]-10</f>
        <v>4.6999999999999993</v>
      </c>
      <c r="H336" s="7">
        <v>14.7</v>
      </c>
      <c r="I336" s="8">
        <v>5</v>
      </c>
      <c r="J336" s="8">
        <f>Table2[[#This Row],[Unit price]]*Table2[[#This Row],[Quantity]]</f>
        <v>73.5</v>
      </c>
      <c r="K336" s="8">
        <f>Table2[[#This Row],[Unit Cost]]*Table2[[#This Row],[Quantity]]</f>
        <v>23.499999999999996</v>
      </c>
      <c r="L336" s="8">
        <f>Table2[[#This Row],[Gross Sales]]-Table2[[#This Row],[COGS]]</f>
        <v>50</v>
      </c>
      <c r="M336" s="9">
        <f t="shared" si="5"/>
        <v>0.68027210884353739</v>
      </c>
      <c r="N336" s="7">
        <v>3.6749999999999998</v>
      </c>
      <c r="O336" s="7">
        <v>77.174999999999997</v>
      </c>
      <c r="P336" s="10">
        <v>43548</v>
      </c>
      <c r="Q336" s="10" t="str">
        <f>TEXT(Table2[[#This Row],[Date]],"mmm")</f>
        <v>Mar</v>
      </c>
      <c r="R336" s="11">
        <v>0.57500000000000007</v>
      </c>
      <c r="S336" s="6" t="s">
        <v>27</v>
      </c>
      <c r="T336" s="7">
        <v>8.5</v>
      </c>
      <c r="U336" s="6">
        <f>IF(_xlfn.XLOOKUP(A336,[1]Data2!$A:$A,[1]Data2!$B:$B,"no")="yes",1,0)</f>
        <v>0</v>
      </c>
    </row>
    <row r="337" spans="1:21" s="6" customFormat="1" x14ac:dyDescent="0.3">
      <c r="A337" s="6" t="s">
        <v>375</v>
      </c>
      <c r="B337" s="6" t="s">
        <v>22</v>
      </c>
      <c r="C337" s="6" t="s">
        <v>23</v>
      </c>
      <c r="D337" s="6" t="s">
        <v>24</v>
      </c>
      <c r="E337" s="6" t="s">
        <v>25</v>
      </c>
      <c r="F337" s="6" t="s">
        <v>32</v>
      </c>
      <c r="G337" s="7">
        <f>Table2[[#This Row],[Unit price]]-10</f>
        <v>18.45</v>
      </c>
      <c r="H337" s="7">
        <v>28.45</v>
      </c>
      <c r="I337" s="8">
        <v>5</v>
      </c>
      <c r="J337" s="8">
        <f>Table2[[#This Row],[Unit price]]*Table2[[#This Row],[Quantity]]</f>
        <v>142.25</v>
      </c>
      <c r="K337" s="8">
        <f>Table2[[#This Row],[Unit Cost]]*Table2[[#This Row],[Quantity]]</f>
        <v>92.25</v>
      </c>
      <c r="L337" s="8">
        <f>Table2[[#This Row],[Gross Sales]]-Table2[[#This Row],[COGS]]</f>
        <v>50</v>
      </c>
      <c r="M337" s="9">
        <f t="shared" si="5"/>
        <v>0.35149384885764501</v>
      </c>
      <c r="N337" s="7">
        <v>7.1124999999999998</v>
      </c>
      <c r="O337" s="7">
        <v>149.36250000000001</v>
      </c>
      <c r="P337" s="10">
        <v>43545</v>
      </c>
      <c r="Q337" s="10" t="str">
        <f>TEXT(Table2[[#This Row],[Date]],"mmm")</f>
        <v>Mar</v>
      </c>
      <c r="R337" s="11">
        <v>0.4284722222222222</v>
      </c>
      <c r="S337" s="6" t="s">
        <v>37</v>
      </c>
      <c r="T337" s="7">
        <v>9.1</v>
      </c>
      <c r="U337" s="6">
        <f>IF(_xlfn.XLOOKUP(A337,[1]Data2!$A:$A,[1]Data2!$B:$B,"no")="yes",1,0)</f>
        <v>0</v>
      </c>
    </row>
    <row r="338" spans="1:21" s="6" customFormat="1" x14ac:dyDescent="0.3">
      <c r="A338" s="6" t="s">
        <v>376</v>
      </c>
      <c r="B338" s="6" t="s">
        <v>22</v>
      </c>
      <c r="C338" s="6" t="s">
        <v>23</v>
      </c>
      <c r="D338" s="6" t="s">
        <v>31</v>
      </c>
      <c r="E338" s="6" t="s">
        <v>35</v>
      </c>
      <c r="F338" s="6" t="s">
        <v>50</v>
      </c>
      <c r="G338" s="7">
        <f>Table2[[#This Row],[Unit price]]-10</f>
        <v>66.400000000000006</v>
      </c>
      <c r="H338" s="7">
        <v>76.400000000000006</v>
      </c>
      <c r="I338" s="8">
        <v>9</v>
      </c>
      <c r="J338" s="8">
        <f>Table2[[#This Row],[Unit price]]*Table2[[#This Row],[Quantity]]</f>
        <v>687.6</v>
      </c>
      <c r="K338" s="8">
        <f>Table2[[#This Row],[Unit Cost]]*Table2[[#This Row],[Quantity]]</f>
        <v>597.6</v>
      </c>
      <c r="L338" s="8">
        <f>Table2[[#This Row],[Gross Sales]]-Table2[[#This Row],[COGS]]</f>
        <v>90</v>
      </c>
      <c r="M338" s="9">
        <f t="shared" si="5"/>
        <v>0.13089005235602094</v>
      </c>
      <c r="N338" s="7">
        <v>34.380000000000003</v>
      </c>
      <c r="O338" s="7">
        <v>721.98</v>
      </c>
      <c r="P338" s="10">
        <v>43543</v>
      </c>
      <c r="Q338" s="10" t="str">
        <f>TEXT(Table2[[#This Row],[Date]],"mmm")</f>
        <v>Mar</v>
      </c>
      <c r="R338" s="11">
        <v>0.65902777777777777</v>
      </c>
      <c r="S338" s="6" t="s">
        <v>27</v>
      </c>
      <c r="T338" s="7">
        <v>7.5</v>
      </c>
      <c r="U338" s="6">
        <f>IF(_xlfn.XLOOKUP(A338,[1]Data2!$A:$A,[1]Data2!$B:$B,"no")="yes",1,0)</f>
        <v>1</v>
      </c>
    </row>
    <row r="339" spans="1:21" s="6" customFormat="1" x14ac:dyDescent="0.3">
      <c r="A339" s="6" t="s">
        <v>377</v>
      </c>
      <c r="B339" s="6" t="s">
        <v>46</v>
      </c>
      <c r="C339" s="6" t="s">
        <v>47</v>
      </c>
      <c r="D339" s="6" t="s">
        <v>31</v>
      </c>
      <c r="E339" s="6" t="s">
        <v>25</v>
      </c>
      <c r="F339" s="6" t="s">
        <v>40</v>
      </c>
      <c r="G339" s="7">
        <f>Table2[[#This Row],[Unit price]]-10</f>
        <v>47.95</v>
      </c>
      <c r="H339" s="7">
        <v>57.95</v>
      </c>
      <c r="I339" s="8">
        <v>6</v>
      </c>
      <c r="J339" s="8">
        <f>Table2[[#This Row],[Unit price]]*Table2[[#This Row],[Quantity]]</f>
        <v>347.70000000000005</v>
      </c>
      <c r="K339" s="8">
        <f>Table2[[#This Row],[Unit Cost]]*Table2[[#This Row],[Quantity]]</f>
        <v>287.70000000000005</v>
      </c>
      <c r="L339" s="8">
        <f>Table2[[#This Row],[Gross Sales]]-Table2[[#This Row],[COGS]]</f>
        <v>60</v>
      </c>
      <c r="M339" s="9">
        <f t="shared" si="5"/>
        <v>0.17256255392579808</v>
      </c>
      <c r="N339" s="7">
        <v>17.385000000000002</v>
      </c>
      <c r="O339" s="7">
        <v>365.08499999999998</v>
      </c>
      <c r="P339" s="10">
        <v>43520</v>
      </c>
      <c r="Q339" s="10" t="str">
        <f>TEXT(Table2[[#This Row],[Date]],"mmm")</f>
        <v>Feb</v>
      </c>
      <c r="R339" s="11">
        <v>0.54305555555555551</v>
      </c>
      <c r="S339" s="6" t="s">
        <v>33</v>
      </c>
      <c r="T339" s="7">
        <v>5.2</v>
      </c>
      <c r="U339" s="6">
        <f>IF(_xlfn.XLOOKUP(A339,[1]Data2!$A:$A,[1]Data2!$B:$B,"no")="yes",1,0)</f>
        <v>0</v>
      </c>
    </row>
    <row r="340" spans="1:21" s="6" customFormat="1" x14ac:dyDescent="0.3">
      <c r="A340" s="6" t="s">
        <v>378</v>
      </c>
      <c r="B340" s="6" t="s">
        <v>29</v>
      </c>
      <c r="C340" s="6" t="s">
        <v>30</v>
      </c>
      <c r="D340" s="6" t="s">
        <v>31</v>
      </c>
      <c r="E340" s="6" t="s">
        <v>25</v>
      </c>
      <c r="F340" s="6" t="s">
        <v>32</v>
      </c>
      <c r="G340" s="7">
        <f>Table2[[#This Row],[Unit price]]-10</f>
        <v>37.65</v>
      </c>
      <c r="H340" s="7">
        <v>47.65</v>
      </c>
      <c r="I340" s="8">
        <v>3</v>
      </c>
      <c r="J340" s="8">
        <f>Table2[[#This Row],[Unit price]]*Table2[[#This Row],[Quantity]]</f>
        <v>142.94999999999999</v>
      </c>
      <c r="K340" s="8">
        <f>Table2[[#This Row],[Unit Cost]]*Table2[[#This Row],[Quantity]]</f>
        <v>112.94999999999999</v>
      </c>
      <c r="L340" s="8">
        <f>Table2[[#This Row],[Gross Sales]]-Table2[[#This Row],[COGS]]</f>
        <v>30</v>
      </c>
      <c r="M340" s="9">
        <f t="shared" si="5"/>
        <v>0.20986358866736624</v>
      </c>
      <c r="N340" s="7">
        <v>7.1475</v>
      </c>
      <c r="O340" s="7">
        <v>150.0975</v>
      </c>
      <c r="P340" s="10">
        <v>43552</v>
      </c>
      <c r="Q340" s="10" t="str">
        <f>TEXT(Table2[[#This Row],[Date]],"mmm")</f>
        <v>Mar</v>
      </c>
      <c r="R340" s="11">
        <v>0.54027777777777775</v>
      </c>
      <c r="S340" s="6" t="s">
        <v>37</v>
      </c>
      <c r="T340" s="7">
        <v>9.5</v>
      </c>
      <c r="U340" s="6">
        <f>IF(_xlfn.XLOOKUP(A340,[1]Data2!$A:$A,[1]Data2!$B:$B,"no")="yes",1,0)</f>
        <v>0</v>
      </c>
    </row>
    <row r="341" spans="1:21" s="6" customFormat="1" x14ac:dyDescent="0.3">
      <c r="A341" s="6" t="s">
        <v>379</v>
      </c>
      <c r="B341" s="6" t="s">
        <v>46</v>
      </c>
      <c r="C341" s="6" t="s">
        <v>47</v>
      </c>
      <c r="D341" s="6" t="s">
        <v>24</v>
      </c>
      <c r="E341" s="6" t="s">
        <v>25</v>
      </c>
      <c r="F341" s="6" t="s">
        <v>48</v>
      </c>
      <c r="G341" s="7">
        <f>Table2[[#This Row],[Unit price]]-10</f>
        <v>32.82</v>
      </c>
      <c r="H341" s="7">
        <v>42.82</v>
      </c>
      <c r="I341" s="8">
        <v>9</v>
      </c>
      <c r="J341" s="8">
        <f>Table2[[#This Row],[Unit price]]*Table2[[#This Row],[Quantity]]</f>
        <v>385.38</v>
      </c>
      <c r="K341" s="8">
        <f>Table2[[#This Row],[Unit Cost]]*Table2[[#This Row],[Quantity]]</f>
        <v>295.38</v>
      </c>
      <c r="L341" s="8">
        <f>Table2[[#This Row],[Gross Sales]]-Table2[[#This Row],[COGS]]</f>
        <v>90</v>
      </c>
      <c r="M341" s="9">
        <f t="shared" si="5"/>
        <v>0.23353573096683794</v>
      </c>
      <c r="N341" s="7">
        <v>19.268999999999998</v>
      </c>
      <c r="O341" s="7">
        <v>404.649</v>
      </c>
      <c r="P341" s="10">
        <v>43501</v>
      </c>
      <c r="Q341" s="10" t="str">
        <f>TEXT(Table2[[#This Row],[Date]],"mmm")</f>
        <v>Feb</v>
      </c>
      <c r="R341" s="11">
        <v>0.6430555555555556</v>
      </c>
      <c r="S341" s="6" t="s">
        <v>37</v>
      </c>
      <c r="T341" s="7">
        <v>8.9</v>
      </c>
      <c r="U341" s="6">
        <f>IF(_xlfn.XLOOKUP(A341,[1]Data2!$A:$A,[1]Data2!$B:$B,"no")="yes",1,0)</f>
        <v>0</v>
      </c>
    </row>
    <row r="342" spans="1:21" s="6" customFormat="1" x14ac:dyDescent="0.3">
      <c r="A342" s="6" t="s">
        <v>380</v>
      </c>
      <c r="B342" s="6" t="s">
        <v>46</v>
      </c>
      <c r="C342" s="6" t="s">
        <v>47</v>
      </c>
      <c r="D342" s="6" t="s">
        <v>24</v>
      </c>
      <c r="E342" s="6" t="s">
        <v>35</v>
      </c>
      <c r="F342" s="6" t="s">
        <v>32</v>
      </c>
      <c r="G342" s="7">
        <f>Table2[[#This Row],[Unit price]]-10</f>
        <v>38.090000000000003</v>
      </c>
      <c r="H342" s="7">
        <v>48.09</v>
      </c>
      <c r="I342" s="8">
        <v>3</v>
      </c>
      <c r="J342" s="8">
        <f>Table2[[#This Row],[Unit price]]*Table2[[#This Row],[Quantity]]</f>
        <v>144.27000000000001</v>
      </c>
      <c r="K342" s="8">
        <f>Table2[[#This Row],[Unit Cost]]*Table2[[#This Row],[Quantity]]</f>
        <v>114.27000000000001</v>
      </c>
      <c r="L342" s="8">
        <f>Table2[[#This Row],[Gross Sales]]-Table2[[#This Row],[COGS]]</f>
        <v>30</v>
      </c>
      <c r="M342" s="9">
        <f t="shared" si="5"/>
        <v>0.20794343938448739</v>
      </c>
      <c r="N342" s="7">
        <v>7.2134999999999998</v>
      </c>
      <c r="O342" s="7">
        <v>151.48349999999999</v>
      </c>
      <c r="P342" s="10">
        <v>43506</v>
      </c>
      <c r="Q342" s="10" t="str">
        <f>TEXT(Table2[[#This Row],[Date]],"mmm")</f>
        <v>Feb</v>
      </c>
      <c r="R342" s="11">
        <v>0.76597222222222217</v>
      </c>
      <c r="S342" s="6" t="s">
        <v>37</v>
      </c>
      <c r="T342" s="7">
        <v>7.8</v>
      </c>
      <c r="U342" s="6">
        <f>IF(_xlfn.XLOOKUP(A342,[1]Data2!$A:$A,[1]Data2!$B:$B,"no")="yes",1,0)</f>
        <v>1</v>
      </c>
    </row>
    <row r="343" spans="1:21" s="6" customFormat="1" x14ac:dyDescent="0.3">
      <c r="A343" s="6" t="s">
        <v>381</v>
      </c>
      <c r="B343" s="6" t="s">
        <v>46</v>
      </c>
      <c r="C343" s="6" t="s">
        <v>47</v>
      </c>
      <c r="D343" s="6" t="s">
        <v>24</v>
      </c>
      <c r="E343" s="6" t="s">
        <v>25</v>
      </c>
      <c r="F343" s="6" t="s">
        <v>26</v>
      </c>
      <c r="G343" s="7">
        <f>Table2[[#This Row],[Unit price]]-10</f>
        <v>45.97</v>
      </c>
      <c r="H343" s="7">
        <v>55.97</v>
      </c>
      <c r="I343" s="8">
        <v>7</v>
      </c>
      <c r="J343" s="8">
        <f>Table2[[#This Row],[Unit price]]*Table2[[#This Row],[Quantity]]</f>
        <v>391.78999999999996</v>
      </c>
      <c r="K343" s="8">
        <f>Table2[[#This Row],[Unit Cost]]*Table2[[#This Row],[Quantity]]</f>
        <v>321.78999999999996</v>
      </c>
      <c r="L343" s="8">
        <f>Table2[[#This Row],[Gross Sales]]-Table2[[#This Row],[COGS]]</f>
        <v>70</v>
      </c>
      <c r="M343" s="9">
        <f t="shared" si="5"/>
        <v>0.17866714311238166</v>
      </c>
      <c r="N343" s="7">
        <v>19.589500000000001</v>
      </c>
      <c r="O343" s="7">
        <v>411.37950000000001</v>
      </c>
      <c r="P343" s="10">
        <v>43529</v>
      </c>
      <c r="Q343" s="10" t="str">
        <f>TEXT(Table2[[#This Row],[Date]],"mmm")</f>
        <v>Mar</v>
      </c>
      <c r="R343" s="11">
        <v>0.79583333333333339</v>
      </c>
      <c r="S343" s="6" t="s">
        <v>27</v>
      </c>
      <c r="T343" s="7">
        <v>8.9</v>
      </c>
      <c r="U343" s="6">
        <f>IF(_xlfn.XLOOKUP(A343,[1]Data2!$A:$A,[1]Data2!$B:$B,"no")="yes",1,0)</f>
        <v>0</v>
      </c>
    </row>
    <row r="344" spans="1:21" s="6" customFormat="1" x14ac:dyDescent="0.3">
      <c r="A344" s="6" t="s">
        <v>382</v>
      </c>
      <c r="B344" s="6" t="s">
        <v>46</v>
      </c>
      <c r="C344" s="6" t="s">
        <v>47</v>
      </c>
      <c r="D344" s="6" t="s">
        <v>24</v>
      </c>
      <c r="E344" s="6" t="s">
        <v>25</v>
      </c>
      <c r="F344" s="6" t="s">
        <v>26</v>
      </c>
      <c r="G344" s="7">
        <f>Table2[[#This Row],[Unit price]]-10</f>
        <v>66.900000000000006</v>
      </c>
      <c r="H344" s="7">
        <v>76.900000000000006</v>
      </c>
      <c r="I344" s="8">
        <v>7</v>
      </c>
      <c r="J344" s="8">
        <f>Table2[[#This Row],[Unit price]]*Table2[[#This Row],[Quantity]]</f>
        <v>538.30000000000007</v>
      </c>
      <c r="K344" s="8">
        <f>Table2[[#This Row],[Unit Cost]]*Table2[[#This Row],[Quantity]]</f>
        <v>468.30000000000007</v>
      </c>
      <c r="L344" s="8">
        <f>Table2[[#This Row],[Gross Sales]]-Table2[[#This Row],[COGS]]</f>
        <v>70</v>
      </c>
      <c r="M344" s="9">
        <f t="shared" si="5"/>
        <v>0.13003901170351104</v>
      </c>
      <c r="N344" s="7">
        <v>26.914999999999999</v>
      </c>
      <c r="O344" s="7">
        <v>565.21500000000003</v>
      </c>
      <c r="P344" s="10">
        <v>43511</v>
      </c>
      <c r="Q344" s="10" t="str">
        <f>TEXT(Table2[[#This Row],[Date]],"mmm")</f>
        <v>Feb</v>
      </c>
      <c r="R344" s="11">
        <v>0.84791666666666676</v>
      </c>
      <c r="S344" s="6" t="s">
        <v>33</v>
      </c>
      <c r="T344" s="7">
        <v>7.7</v>
      </c>
      <c r="U344" s="6">
        <f>IF(_xlfn.XLOOKUP(A344,[1]Data2!$A:$A,[1]Data2!$B:$B,"no")="yes",1,0)</f>
        <v>0</v>
      </c>
    </row>
    <row r="345" spans="1:21" s="6" customFormat="1" x14ac:dyDescent="0.3">
      <c r="A345" s="6" t="s">
        <v>383</v>
      </c>
      <c r="B345" s="6" t="s">
        <v>29</v>
      </c>
      <c r="C345" s="6" t="s">
        <v>30</v>
      </c>
      <c r="D345" s="6" t="s">
        <v>31</v>
      </c>
      <c r="E345" s="6" t="s">
        <v>25</v>
      </c>
      <c r="F345" s="6" t="s">
        <v>48</v>
      </c>
      <c r="G345" s="7">
        <f>Table2[[#This Row],[Unit price]]-10</f>
        <v>87.03</v>
      </c>
      <c r="H345" s="7">
        <v>97.03</v>
      </c>
      <c r="I345" s="8">
        <v>5</v>
      </c>
      <c r="J345" s="8">
        <f>Table2[[#This Row],[Unit price]]*Table2[[#This Row],[Quantity]]</f>
        <v>485.15</v>
      </c>
      <c r="K345" s="8">
        <f>Table2[[#This Row],[Unit Cost]]*Table2[[#This Row],[Quantity]]</f>
        <v>435.15</v>
      </c>
      <c r="L345" s="8">
        <f>Table2[[#This Row],[Gross Sales]]-Table2[[#This Row],[COGS]]</f>
        <v>50</v>
      </c>
      <c r="M345" s="9">
        <f t="shared" si="5"/>
        <v>0.10306090899721736</v>
      </c>
      <c r="N345" s="7">
        <v>24.2575</v>
      </c>
      <c r="O345" s="7">
        <v>509.40750000000003</v>
      </c>
      <c r="P345" s="10">
        <v>43495</v>
      </c>
      <c r="Q345" s="10" t="str">
        <f>TEXT(Table2[[#This Row],[Date]],"mmm")</f>
        <v>Jan</v>
      </c>
      <c r="R345" s="11">
        <v>0.68333333333333324</v>
      </c>
      <c r="S345" s="6" t="s">
        <v>27</v>
      </c>
      <c r="T345" s="7">
        <v>9.3000000000000007</v>
      </c>
      <c r="U345" s="6">
        <f>IF(_xlfn.XLOOKUP(A345,[1]Data2!$A:$A,[1]Data2!$B:$B,"no")="yes",1,0)</f>
        <v>0</v>
      </c>
    </row>
    <row r="346" spans="1:21" s="6" customFormat="1" x14ac:dyDescent="0.3">
      <c r="A346" s="6" t="s">
        <v>384</v>
      </c>
      <c r="B346" s="6" t="s">
        <v>22</v>
      </c>
      <c r="C346" s="6" t="s">
        <v>23</v>
      </c>
      <c r="D346" s="6" t="s">
        <v>31</v>
      </c>
      <c r="E346" s="6" t="s">
        <v>35</v>
      </c>
      <c r="F346" s="6" t="s">
        <v>40</v>
      </c>
      <c r="G346" s="7">
        <f>Table2[[#This Row],[Unit price]]-10</f>
        <v>34.65</v>
      </c>
      <c r="H346" s="7">
        <v>44.65</v>
      </c>
      <c r="I346" s="8">
        <v>3</v>
      </c>
      <c r="J346" s="8">
        <f>Table2[[#This Row],[Unit price]]*Table2[[#This Row],[Quantity]]</f>
        <v>133.94999999999999</v>
      </c>
      <c r="K346" s="8">
        <f>Table2[[#This Row],[Unit Cost]]*Table2[[#This Row],[Quantity]]</f>
        <v>103.94999999999999</v>
      </c>
      <c r="L346" s="8">
        <f>Table2[[#This Row],[Gross Sales]]-Table2[[#This Row],[COGS]]</f>
        <v>30</v>
      </c>
      <c r="M346" s="9">
        <f t="shared" si="5"/>
        <v>0.22396416573348266</v>
      </c>
      <c r="N346" s="7">
        <v>6.6974999999999998</v>
      </c>
      <c r="O346" s="7">
        <v>140.64750000000001</v>
      </c>
      <c r="P346" s="10">
        <v>43510</v>
      </c>
      <c r="Q346" s="10" t="str">
        <f>TEXT(Table2[[#This Row],[Date]],"mmm")</f>
        <v>Feb</v>
      </c>
      <c r="R346" s="11">
        <v>0.62777777777777777</v>
      </c>
      <c r="S346" s="6" t="s">
        <v>33</v>
      </c>
      <c r="T346" s="7">
        <v>6.2</v>
      </c>
      <c r="U346" s="6">
        <f>IF(_xlfn.XLOOKUP(A346,[1]Data2!$A:$A,[1]Data2!$B:$B,"no")="yes",1,0)</f>
        <v>1</v>
      </c>
    </row>
    <row r="347" spans="1:21" s="6" customFormat="1" x14ac:dyDescent="0.3">
      <c r="A347" s="6" t="s">
        <v>385</v>
      </c>
      <c r="B347" s="6" t="s">
        <v>22</v>
      </c>
      <c r="C347" s="6" t="s">
        <v>23</v>
      </c>
      <c r="D347" s="6" t="s">
        <v>31</v>
      </c>
      <c r="E347" s="6" t="s">
        <v>25</v>
      </c>
      <c r="F347" s="6" t="s">
        <v>50</v>
      </c>
      <c r="G347" s="7">
        <f>Table2[[#This Row],[Unit price]]-10</f>
        <v>67.930000000000007</v>
      </c>
      <c r="H347" s="7">
        <v>77.930000000000007</v>
      </c>
      <c r="I347" s="8">
        <v>9</v>
      </c>
      <c r="J347" s="8">
        <f>Table2[[#This Row],[Unit price]]*Table2[[#This Row],[Quantity]]</f>
        <v>701.37000000000012</v>
      </c>
      <c r="K347" s="8">
        <f>Table2[[#This Row],[Unit Cost]]*Table2[[#This Row],[Quantity]]</f>
        <v>611.37000000000012</v>
      </c>
      <c r="L347" s="8">
        <f>Table2[[#This Row],[Gross Sales]]-Table2[[#This Row],[COGS]]</f>
        <v>90</v>
      </c>
      <c r="M347" s="9">
        <f t="shared" si="5"/>
        <v>0.12832028743744384</v>
      </c>
      <c r="N347" s="7">
        <v>35.0685</v>
      </c>
      <c r="O347" s="7">
        <v>736.43849999999998</v>
      </c>
      <c r="P347" s="10">
        <v>43523</v>
      </c>
      <c r="Q347" s="10" t="str">
        <f>TEXT(Table2[[#This Row],[Date]],"mmm")</f>
        <v>Feb</v>
      </c>
      <c r="R347" s="11">
        <v>0.67361111111111116</v>
      </c>
      <c r="S347" s="6" t="s">
        <v>27</v>
      </c>
      <c r="T347" s="7">
        <v>7.6</v>
      </c>
      <c r="U347" s="6">
        <f>IF(_xlfn.XLOOKUP(A347,[1]Data2!$A:$A,[1]Data2!$B:$B,"no")="yes",1,0)</f>
        <v>0</v>
      </c>
    </row>
    <row r="348" spans="1:21" s="6" customFormat="1" x14ac:dyDescent="0.3">
      <c r="A348" s="6" t="s">
        <v>386</v>
      </c>
      <c r="B348" s="6" t="s">
        <v>22</v>
      </c>
      <c r="C348" s="6" t="s">
        <v>23</v>
      </c>
      <c r="D348" s="6" t="s">
        <v>24</v>
      </c>
      <c r="E348" s="6" t="s">
        <v>35</v>
      </c>
      <c r="F348" s="6" t="s">
        <v>32</v>
      </c>
      <c r="G348" s="7">
        <f>Table2[[#This Row],[Unit price]]-10</f>
        <v>61.95</v>
      </c>
      <c r="H348" s="7">
        <v>71.95</v>
      </c>
      <c r="I348" s="8">
        <v>1</v>
      </c>
      <c r="J348" s="8">
        <f>Table2[[#This Row],[Unit price]]*Table2[[#This Row],[Quantity]]</f>
        <v>71.95</v>
      </c>
      <c r="K348" s="8">
        <f>Table2[[#This Row],[Unit Cost]]*Table2[[#This Row],[Quantity]]</f>
        <v>61.95</v>
      </c>
      <c r="L348" s="8">
        <f>Table2[[#This Row],[Gross Sales]]-Table2[[#This Row],[COGS]]</f>
        <v>10</v>
      </c>
      <c r="M348" s="9">
        <f t="shared" si="5"/>
        <v>0.13898540653231412</v>
      </c>
      <c r="N348" s="7">
        <v>3.5975000000000001</v>
      </c>
      <c r="O348" s="7">
        <v>75.547499999999999</v>
      </c>
      <c r="P348" s="10">
        <v>43500</v>
      </c>
      <c r="Q348" s="10" t="str">
        <f>TEXT(Table2[[#This Row],[Date]],"mmm")</f>
        <v>Feb</v>
      </c>
      <c r="R348" s="11">
        <v>0.50972222222222219</v>
      </c>
      <c r="S348" s="6" t="s">
        <v>33</v>
      </c>
      <c r="T348" s="7">
        <v>7.3</v>
      </c>
      <c r="U348" s="6">
        <f>IF(_xlfn.XLOOKUP(A348,[1]Data2!$A:$A,[1]Data2!$B:$B,"no")="yes",1,0)</f>
        <v>0</v>
      </c>
    </row>
    <row r="349" spans="1:21" s="6" customFormat="1" x14ac:dyDescent="0.3">
      <c r="A349" s="6" t="s">
        <v>387</v>
      </c>
      <c r="B349" s="6" t="s">
        <v>29</v>
      </c>
      <c r="C349" s="6" t="s">
        <v>30</v>
      </c>
      <c r="D349" s="6" t="s">
        <v>24</v>
      </c>
      <c r="E349" s="6" t="s">
        <v>25</v>
      </c>
      <c r="F349" s="6" t="s">
        <v>36</v>
      </c>
      <c r="G349" s="7">
        <f>Table2[[#This Row],[Unit price]]-10</f>
        <v>79.25</v>
      </c>
      <c r="H349" s="7">
        <v>89.25</v>
      </c>
      <c r="I349" s="8">
        <v>8</v>
      </c>
      <c r="J349" s="8">
        <f>Table2[[#This Row],[Unit price]]*Table2[[#This Row],[Quantity]]</f>
        <v>714</v>
      </c>
      <c r="K349" s="8">
        <f>Table2[[#This Row],[Unit Cost]]*Table2[[#This Row],[Quantity]]</f>
        <v>634</v>
      </c>
      <c r="L349" s="8">
        <f>Table2[[#This Row],[Gross Sales]]-Table2[[#This Row],[COGS]]</f>
        <v>80</v>
      </c>
      <c r="M349" s="9">
        <f t="shared" si="5"/>
        <v>0.11204481792717087</v>
      </c>
      <c r="N349" s="7">
        <v>35.700000000000003</v>
      </c>
      <c r="O349" s="7">
        <v>749.7</v>
      </c>
      <c r="P349" s="10">
        <v>43485</v>
      </c>
      <c r="Q349" s="10" t="str">
        <f>TEXT(Table2[[#This Row],[Date]],"mmm")</f>
        <v>Jan</v>
      </c>
      <c r="R349" s="11">
        <v>0.42569444444444443</v>
      </c>
      <c r="S349" s="6" t="s">
        <v>33</v>
      </c>
      <c r="T349" s="7">
        <v>4.7</v>
      </c>
      <c r="U349" s="6">
        <f>IF(_xlfn.XLOOKUP(A349,[1]Data2!$A:$A,[1]Data2!$B:$B,"no")="yes",1,0)</f>
        <v>0</v>
      </c>
    </row>
    <row r="350" spans="1:21" s="6" customFormat="1" x14ac:dyDescent="0.3">
      <c r="A350" s="6" t="s">
        <v>388</v>
      </c>
      <c r="B350" s="6" t="s">
        <v>22</v>
      </c>
      <c r="C350" s="6" t="s">
        <v>23</v>
      </c>
      <c r="D350" s="6" t="s">
        <v>31</v>
      </c>
      <c r="E350" s="6" t="s">
        <v>35</v>
      </c>
      <c r="F350" s="6" t="s">
        <v>32</v>
      </c>
      <c r="G350" s="7">
        <f>Table2[[#This Row],[Unit price]]-10</f>
        <v>16.02</v>
      </c>
      <c r="H350" s="7">
        <v>26.02</v>
      </c>
      <c r="I350" s="8">
        <v>7</v>
      </c>
      <c r="J350" s="8">
        <f>Table2[[#This Row],[Unit price]]*Table2[[#This Row],[Quantity]]</f>
        <v>182.14</v>
      </c>
      <c r="K350" s="8">
        <f>Table2[[#This Row],[Unit Cost]]*Table2[[#This Row],[Quantity]]</f>
        <v>112.14</v>
      </c>
      <c r="L350" s="8">
        <f>Table2[[#This Row],[Gross Sales]]-Table2[[#This Row],[COGS]]</f>
        <v>69.999999999999986</v>
      </c>
      <c r="M350" s="9">
        <f t="shared" si="5"/>
        <v>0.38431975403535734</v>
      </c>
      <c r="N350" s="7">
        <v>9.1069999999999993</v>
      </c>
      <c r="O350" s="7">
        <v>191.24700000000001</v>
      </c>
      <c r="P350" s="10">
        <v>43552</v>
      </c>
      <c r="Q350" s="10" t="str">
        <f>TEXT(Table2[[#This Row],[Date]],"mmm")</f>
        <v>Mar</v>
      </c>
      <c r="R350" s="11">
        <v>0.73472222222222217</v>
      </c>
      <c r="S350" s="6" t="s">
        <v>33</v>
      </c>
      <c r="T350" s="7">
        <v>5.0999999999999996</v>
      </c>
      <c r="U350" s="6">
        <f>IF(_xlfn.XLOOKUP(A350,[1]Data2!$A:$A,[1]Data2!$B:$B,"no")="yes",1,0)</f>
        <v>1</v>
      </c>
    </row>
    <row r="351" spans="1:21" s="6" customFormat="1" x14ac:dyDescent="0.3">
      <c r="A351" s="6" t="s">
        <v>389</v>
      </c>
      <c r="B351" s="6" t="s">
        <v>46</v>
      </c>
      <c r="C351" s="6" t="s">
        <v>47</v>
      </c>
      <c r="D351" s="6" t="s">
        <v>31</v>
      </c>
      <c r="E351" s="6" t="s">
        <v>25</v>
      </c>
      <c r="F351" s="6" t="s">
        <v>26</v>
      </c>
      <c r="G351" s="7">
        <f>Table2[[#This Row],[Unit price]]-10</f>
        <v>3.5</v>
      </c>
      <c r="H351" s="7">
        <v>13.5</v>
      </c>
      <c r="I351" s="8">
        <v>10</v>
      </c>
      <c r="J351" s="8">
        <f>Table2[[#This Row],[Unit price]]*Table2[[#This Row],[Quantity]]</f>
        <v>135</v>
      </c>
      <c r="K351" s="8">
        <f>Table2[[#This Row],[Unit Cost]]*Table2[[#This Row],[Quantity]]</f>
        <v>35</v>
      </c>
      <c r="L351" s="8">
        <f>Table2[[#This Row],[Gross Sales]]-Table2[[#This Row],[COGS]]</f>
        <v>100</v>
      </c>
      <c r="M351" s="9">
        <f t="shared" si="5"/>
        <v>0.7407407407407407</v>
      </c>
      <c r="N351" s="7">
        <v>6.75</v>
      </c>
      <c r="O351" s="7">
        <v>141.75</v>
      </c>
      <c r="P351" s="10">
        <v>43523</v>
      </c>
      <c r="Q351" s="10" t="str">
        <f>TEXT(Table2[[#This Row],[Date]],"mmm")</f>
        <v>Feb</v>
      </c>
      <c r="R351" s="11">
        <v>0.46249999999999997</v>
      </c>
      <c r="S351" s="6" t="s">
        <v>37</v>
      </c>
      <c r="T351" s="7">
        <v>4.8</v>
      </c>
      <c r="U351" s="6">
        <f>IF(_xlfn.XLOOKUP(A351,[1]Data2!$A:$A,[1]Data2!$B:$B,"no")="yes",1,0)</f>
        <v>0</v>
      </c>
    </row>
    <row r="352" spans="1:21" s="6" customFormat="1" x14ac:dyDescent="0.3">
      <c r="A352" s="6" t="s">
        <v>390</v>
      </c>
      <c r="B352" s="6" t="s">
        <v>29</v>
      </c>
      <c r="C352" s="6" t="s">
        <v>30</v>
      </c>
      <c r="D352" s="6" t="s">
        <v>24</v>
      </c>
      <c r="E352" s="6" t="s">
        <v>25</v>
      </c>
      <c r="F352" s="6" t="s">
        <v>50</v>
      </c>
      <c r="G352" s="7">
        <f>Table2[[#This Row],[Unit price]]-10</f>
        <v>89.3</v>
      </c>
      <c r="H352" s="7">
        <v>99.3</v>
      </c>
      <c r="I352" s="8">
        <v>10</v>
      </c>
      <c r="J352" s="8">
        <f>Table2[[#This Row],[Unit price]]*Table2[[#This Row],[Quantity]]</f>
        <v>993</v>
      </c>
      <c r="K352" s="8">
        <f>Table2[[#This Row],[Unit Cost]]*Table2[[#This Row],[Quantity]]</f>
        <v>893</v>
      </c>
      <c r="L352" s="8">
        <f>Table2[[#This Row],[Gross Sales]]-Table2[[#This Row],[COGS]]</f>
        <v>100</v>
      </c>
      <c r="M352" s="9">
        <f t="shared" si="5"/>
        <v>0.10070493454179255</v>
      </c>
      <c r="N352" s="7">
        <v>49.65</v>
      </c>
      <c r="O352" s="7">
        <v>1042.6500000000001</v>
      </c>
      <c r="P352" s="10">
        <v>43511</v>
      </c>
      <c r="Q352" s="10" t="str">
        <f>TEXT(Table2[[#This Row],[Date]],"mmm")</f>
        <v>Feb</v>
      </c>
      <c r="R352" s="11">
        <v>0.62013888888888891</v>
      </c>
      <c r="S352" s="6" t="s">
        <v>37</v>
      </c>
      <c r="T352" s="7">
        <v>6.6</v>
      </c>
      <c r="U352" s="6">
        <f>IF(_xlfn.XLOOKUP(A352,[1]Data2!$A:$A,[1]Data2!$B:$B,"no")="yes",1,0)</f>
        <v>0</v>
      </c>
    </row>
    <row r="353" spans="1:21" s="6" customFormat="1" x14ac:dyDescent="0.3">
      <c r="A353" s="6" t="s">
        <v>391</v>
      </c>
      <c r="B353" s="6" t="s">
        <v>22</v>
      </c>
      <c r="C353" s="6" t="s">
        <v>23</v>
      </c>
      <c r="D353" s="6" t="s">
        <v>31</v>
      </c>
      <c r="E353" s="6" t="s">
        <v>35</v>
      </c>
      <c r="F353" s="6" t="s">
        <v>32</v>
      </c>
      <c r="G353" s="7">
        <f>Table2[[#This Row],[Unit price]]-10</f>
        <v>41.69</v>
      </c>
      <c r="H353" s="7">
        <v>51.69</v>
      </c>
      <c r="I353" s="8">
        <v>7</v>
      </c>
      <c r="J353" s="8">
        <f>Table2[[#This Row],[Unit price]]*Table2[[#This Row],[Quantity]]</f>
        <v>361.83</v>
      </c>
      <c r="K353" s="8">
        <f>Table2[[#This Row],[Unit Cost]]*Table2[[#This Row],[Quantity]]</f>
        <v>291.83</v>
      </c>
      <c r="L353" s="8">
        <f>Table2[[#This Row],[Gross Sales]]-Table2[[#This Row],[COGS]]</f>
        <v>70</v>
      </c>
      <c r="M353" s="9">
        <f t="shared" si="5"/>
        <v>0.1934610176049526</v>
      </c>
      <c r="N353" s="7">
        <v>18.0915</v>
      </c>
      <c r="O353" s="7">
        <v>379.92149999999998</v>
      </c>
      <c r="P353" s="10">
        <v>43491</v>
      </c>
      <c r="Q353" s="10" t="str">
        <f>TEXT(Table2[[#This Row],[Date]],"mmm")</f>
        <v>Jan</v>
      </c>
      <c r="R353" s="11">
        <v>0.76527777777777783</v>
      </c>
      <c r="S353" s="6" t="s">
        <v>33</v>
      </c>
      <c r="T353" s="7">
        <v>5.5</v>
      </c>
      <c r="U353" s="6">
        <f>IF(_xlfn.XLOOKUP(A353,[1]Data2!$A:$A,[1]Data2!$B:$B,"no")="yes",1,0)</f>
        <v>0</v>
      </c>
    </row>
    <row r="354" spans="1:21" s="6" customFormat="1" x14ac:dyDescent="0.3">
      <c r="A354" s="6" t="s">
        <v>392</v>
      </c>
      <c r="B354" s="6" t="s">
        <v>46</v>
      </c>
      <c r="C354" s="6" t="s">
        <v>47</v>
      </c>
      <c r="D354" s="6" t="s">
        <v>24</v>
      </c>
      <c r="E354" s="6" t="s">
        <v>25</v>
      </c>
      <c r="F354" s="6" t="s">
        <v>50</v>
      </c>
      <c r="G354" s="7">
        <f>Table2[[#This Row],[Unit price]]-10</f>
        <v>44.73</v>
      </c>
      <c r="H354" s="7">
        <v>54.73</v>
      </c>
      <c r="I354" s="8">
        <v>7</v>
      </c>
      <c r="J354" s="8">
        <f>Table2[[#This Row],[Unit price]]*Table2[[#This Row],[Quantity]]</f>
        <v>383.10999999999996</v>
      </c>
      <c r="K354" s="8">
        <f>Table2[[#This Row],[Unit Cost]]*Table2[[#This Row],[Quantity]]</f>
        <v>313.10999999999996</v>
      </c>
      <c r="L354" s="8">
        <f>Table2[[#This Row],[Gross Sales]]-Table2[[#This Row],[COGS]]</f>
        <v>70</v>
      </c>
      <c r="M354" s="9">
        <f t="shared" si="5"/>
        <v>0.18271514708569342</v>
      </c>
      <c r="N354" s="7">
        <v>19.1555</v>
      </c>
      <c r="O354" s="7">
        <v>402.26549999999997</v>
      </c>
      <c r="P354" s="10">
        <v>43538</v>
      </c>
      <c r="Q354" s="10" t="str">
        <f>TEXT(Table2[[#This Row],[Date]],"mmm")</f>
        <v>Mar</v>
      </c>
      <c r="R354" s="11">
        <v>0.79305555555555562</v>
      </c>
      <c r="S354" s="6" t="s">
        <v>37</v>
      </c>
      <c r="T354" s="7">
        <v>8.5</v>
      </c>
      <c r="U354" s="6">
        <f>IF(_xlfn.XLOOKUP(A354,[1]Data2!$A:$A,[1]Data2!$B:$B,"no")="yes",1,0)</f>
        <v>1</v>
      </c>
    </row>
    <row r="355" spans="1:21" s="6" customFormat="1" x14ac:dyDescent="0.3">
      <c r="A355" s="6" t="s">
        <v>393</v>
      </c>
      <c r="B355" s="6" t="s">
        <v>46</v>
      </c>
      <c r="C355" s="6" t="s">
        <v>47</v>
      </c>
      <c r="D355" s="6" t="s">
        <v>24</v>
      </c>
      <c r="E355" s="6" t="s">
        <v>35</v>
      </c>
      <c r="F355" s="6" t="s">
        <v>36</v>
      </c>
      <c r="G355" s="7">
        <f>Table2[[#This Row],[Unit price]]-10</f>
        <v>17</v>
      </c>
      <c r="H355" s="7">
        <v>27</v>
      </c>
      <c r="I355" s="8">
        <v>9</v>
      </c>
      <c r="J355" s="8">
        <f>Table2[[#This Row],[Unit price]]*Table2[[#This Row],[Quantity]]</f>
        <v>243</v>
      </c>
      <c r="K355" s="8">
        <f>Table2[[#This Row],[Unit Cost]]*Table2[[#This Row],[Quantity]]</f>
        <v>153</v>
      </c>
      <c r="L355" s="8">
        <f>Table2[[#This Row],[Gross Sales]]-Table2[[#This Row],[COGS]]</f>
        <v>90</v>
      </c>
      <c r="M355" s="9">
        <f t="shared" si="5"/>
        <v>0.37037037037037035</v>
      </c>
      <c r="N355" s="7">
        <v>12.15</v>
      </c>
      <c r="O355" s="7">
        <v>255.15</v>
      </c>
      <c r="P355" s="10">
        <v>43526</v>
      </c>
      <c r="Q355" s="10" t="str">
        <f>TEXT(Table2[[#This Row],[Date]],"mmm")</f>
        <v>Mar</v>
      </c>
      <c r="R355" s="11">
        <v>0.59444444444444444</v>
      </c>
      <c r="S355" s="6" t="s">
        <v>33</v>
      </c>
      <c r="T355" s="7">
        <v>4.8</v>
      </c>
      <c r="U355" s="6">
        <f>IF(_xlfn.XLOOKUP(A355,[1]Data2!$A:$A,[1]Data2!$B:$B,"no")="yes",1,0)</f>
        <v>0</v>
      </c>
    </row>
    <row r="356" spans="1:21" s="6" customFormat="1" x14ac:dyDescent="0.3">
      <c r="A356" s="6" t="s">
        <v>394</v>
      </c>
      <c r="B356" s="6" t="s">
        <v>29</v>
      </c>
      <c r="C356" s="6" t="s">
        <v>30</v>
      </c>
      <c r="D356" s="6" t="s">
        <v>31</v>
      </c>
      <c r="E356" s="6" t="s">
        <v>25</v>
      </c>
      <c r="F356" s="6" t="s">
        <v>32</v>
      </c>
      <c r="G356" s="7">
        <f>Table2[[#This Row],[Unit price]]-10</f>
        <v>20.239999999999998</v>
      </c>
      <c r="H356" s="7">
        <v>30.24</v>
      </c>
      <c r="I356" s="8">
        <v>1</v>
      </c>
      <c r="J356" s="8">
        <f>Table2[[#This Row],[Unit price]]*Table2[[#This Row],[Quantity]]</f>
        <v>30.24</v>
      </c>
      <c r="K356" s="8">
        <f>Table2[[#This Row],[Unit Cost]]*Table2[[#This Row],[Quantity]]</f>
        <v>20.239999999999998</v>
      </c>
      <c r="L356" s="8">
        <f>Table2[[#This Row],[Gross Sales]]-Table2[[#This Row],[COGS]]</f>
        <v>10</v>
      </c>
      <c r="M356" s="9">
        <f t="shared" si="5"/>
        <v>0.3306878306878307</v>
      </c>
      <c r="N356" s="7">
        <v>1.512</v>
      </c>
      <c r="O356" s="7">
        <v>31.751999999999999</v>
      </c>
      <c r="P356" s="10">
        <v>43528</v>
      </c>
      <c r="Q356" s="10" t="str">
        <f>TEXT(Table2[[#This Row],[Date]],"mmm")</f>
        <v>Mar</v>
      </c>
      <c r="R356" s="11">
        <v>0.65555555555555556</v>
      </c>
      <c r="S356" s="6" t="s">
        <v>33</v>
      </c>
      <c r="T356" s="7">
        <v>8.4</v>
      </c>
      <c r="U356" s="6">
        <f>IF(_xlfn.XLOOKUP(A356,[1]Data2!$A:$A,[1]Data2!$B:$B,"no")="yes",1,0)</f>
        <v>0</v>
      </c>
    </row>
    <row r="357" spans="1:21" s="6" customFormat="1" x14ac:dyDescent="0.3">
      <c r="A357" s="6" t="s">
        <v>395</v>
      </c>
      <c r="B357" s="6" t="s">
        <v>46</v>
      </c>
      <c r="C357" s="6" t="s">
        <v>47</v>
      </c>
      <c r="D357" s="6" t="s">
        <v>24</v>
      </c>
      <c r="E357" s="6" t="s">
        <v>25</v>
      </c>
      <c r="F357" s="6" t="s">
        <v>48</v>
      </c>
      <c r="G357" s="7">
        <f>Table2[[#This Row],[Unit price]]-10</f>
        <v>79.14</v>
      </c>
      <c r="H357" s="7">
        <v>89.14</v>
      </c>
      <c r="I357" s="8">
        <v>4</v>
      </c>
      <c r="J357" s="8">
        <f>Table2[[#This Row],[Unit price]]*Table2[[#This Row],[Quantity]]</f>
        <v>356.56</v>
      </c>
      <c r="K357" s="8">
        <f>Table2[[#This Row],[Unit Cost]]*Table2[[#This Row],[Quantity]]</f>
        <v>316.56</v>
      </c>
      <c r="L357" s="8">
        <f>Table2[[#This Row],[Gross Sales]]-Table2[[#This Row],[COGS]]</f>
        <v>40</v>
      </c>
      <c r="M357" s="9">
        <f t="shared" si="5"/>
        <v>0.11218308279111509</v>
      </c>
      <c r="N357" s="7">
        <v>17.827999999999999</v>
      </c>
      <c r="O357" s="7">
        <v>374.38799999999998</v>
      </c>
      <c r="P357" s="10">
        <v>43472</v>
      </c>
      <c r="Q357" s="10" t="str">
        <f>TEXT(Table2[[#This Row],[Date]],"mmm")</f>
        <v>Jan</v>
      </c>
      <c r="R357" s="11">
        <v>0.51388888888888895</v>
      </c>
      <c r="S357" s="6" t="s">
        <v>37</v>
      </c>
      <c r="T357" s="7">
        <v>7.8</v>
      </c>
      <c r="U357" s="6">
        <f>IF(_xlfn.XLOOKUP(A357,[1]Data2!$A:$A,[1]Data2!$B:$B,"no")="yes",1,0)</f>
        <v>0</v>
      </c>
    </row>
    <row r="358" spans="1:21" s="6" customFormat="1" x14ac:dyDescent="0.3">
      <c r="A358" s="6" t="s">
        <v>396</v>
      </c>
      <c r="B358" s="6" t="s">
        <v>29</v>
      </c>
      <c r="C358" s="6" t="s">
        <v>30</v>
      </c>
      <c r="D358" s="6" t="s">
        <v>31</v>
      </c>
      <c r="E358" s="6" t="s">
        <v>25</v>
      </c>
      <c r="F358" s="6" t="s">
        <v>50</v>
      </c>
      <c r="G358" s="7">
        <f>Table2[[#This Row],[Unit price]]-10</f>
        <v>27.549999999999997</v>
      </c>
      <c r="H358" s="7">
        <v>37.549999999999997</v>
      </c>
      <c r="I358" s="8">
        <v>10</v>
      </c>
      <c r="J358" s="8">
        <f>Table2[[#This Row],[Unit price]]*Table2[[#This Row],[Quantity]]</f>
        <v>375.5</v>
      </c>
      <c r="K358" s="8">
        <f>Table2[[#This Row],[Unit Cost]]*Table2[[#This Row],[Quantity]]</f>
        <v>275.5</v>
      </c>
      <c r="L358" s="8">
        <f>Table2[[#This Row],[Gross Sales]]-Table2[[#This Row],[COGS]]</f>
        <v>100</v>
      </c>
      <c r="M358" s="9">
        <f t="shared" si="5"/>
        <v>0.26631158455392812</v>
      </c>
      <c r="N358" s="7">
        <v>18.774999999999999</v>
      </c>
      <c r="O358" s="7">
        <v>394.27499999999998</v>
      </c>
      <c r="P358" s="10">
        <v>43532</v>
      </c>
      <c r="Q358" s="10" t="str">
        <f>TEXT(Table2[[#This Row],[Date]],"mmm")</f>
        <v>Mar</v>
      </c>
      <c r="R358" s="11">
        <v>0.8340277777777777</v>
      </c>
      <c r="S358" s="6" t="s">
        <v>37</v>
      </c>
      <c r="T358" s="7">
        <v>9.3000000000000007</v>
      </c>
      <c r="U358" s="6">
        <f>IF(_xlfn.XLOOKUP(A358,[1]Data2!$A:$A,[1]Data2!$B:$B,"no")="yes",1,0)</f>
        <v>1</v>
      </c>
    </row>
    <row r="359" spans="1:21" s="6" customFormat="1" x14ac:dyDescent="0.3">
      <c r="A359" s="6" t="s">
        <v>397</v>
      </c>
      <c r="B359" s="6" t="s">
        <v>29</v>
      </c>
      <c r="C359" s="6" t="s">
        <v>30</v>
      </c>
      <c r="D359" s="6" t="s">
        <v>31</v>
      </c>
      <c r="E359" s="6" t="s">
        <v>25</v>
      </c>
      <c r="F359" s="6" t="s">
        <v>40</v>
      </c>
      <c r="G359" s="7">
        <f>Table2[[#This Row],[Unit price]]-10</f>
        <v>85.44</v>
      </c>
      <c r="H359" s="7">
        <v>95.44</v>
      </c>
      <c r="I359" s="8">
        <v>10</v>
      </c>
      <c r="J359" s="8">
        <f>Table2[[#This Row],[Unit price]]*Table2[[#This Row],[Quantity]]</f>
        <v>954.4</v>
      </c>
      <c r="K359" s="8">
        <f>Table2[[#This Row],[Unit Cost]]*Table2[[#This Row],[Quantity]]</f>
        <v>854.4</v>
      </c>
      <c r="L359" s="8">
        <f>Table2[[#This Row],[Gross Sales]]-Table2[[#This Row],[COGS]]</f>
        <v>100</v>
      </c>
      <c r="M359" s="9">
        <f t="shared" si="5"/>
        <v>0.10477787091366304</v>
      </c>
      <c r="N359" s="7">
        <v>47.72</v>
      </c>
      <c r="O359" s="7">
        <v>1002.12</v>
      </c>
      <c r="P359" s="10">
        <v>43474</v>
      </c>
      <c r="Q359" s="10" t="str">
        <f>TEXT(Table2[[#This Row],[Date]],"mmm")</f>
        <v>Jan</v>
      </c>
      <c r="R359" s="11">
        <v>0.57291666666666663</v>
      </c>
      <c r="S359" s="6" t="s">
        <v>33</v>
      </c>
      <c r="T359" s="7">
        <v>5.2</v>
      </c>
      <c r="U359" s="6">
        <f>IF(_xlfn.XLOOKUP(A359,[1]Data2!$A:$A,[1]Data2!$B:$B,"no")="yes",1,0)</f>
        <v>0</v>
      </c>
    </row>
    <row r="360" spans="1:21" s="6" customFormat="1" x14ac:dyDescent="0.3">
      <c r="A360" s="6" t="s">
        <v>398</v>
      </c>
      <c r="B360" s="6" t="s">
        <v>46</v>
      </c>
      <c r="C360" s="6" t="s">
        <v>47</v>
      </c>
      <c r="D360" s="6" t="s">
        <v>31</v>
      </c>
      <c r="E360" s="6" t="s">
        <v>35</v>
      </c>
      <c r="F360" s="6" t="s">
        <v>32</v>
      </c>
      <c r="G360" s="7">
        <f>Table2[[#This Row],[Unit price]]-10</f>
        <v>17.5</v>
      </c>
      <c r="H360" s="7">
        <v>27.5</v>
      </c>
      <c r="I360" s="8">
        <v>3</v>
      </c>
      <c r="J360" s="8">
        <f>Table2[[#This Row],[Unit price]]*Table2[[#This Row],[Quantity]]</f>
        <v>82.5</v>
      </c>
      <c r="K360" s="8">
        <f>Table2[[#This Row],[Unit Cost]]*Table2[[#This Row],[Quantity]]</f>
        <v>52.5</v>
      </c>
      <c r="L360" s="8">
        <f>Table2[[#This Row],[Gross Sales]]-Table2[[#This Row],[COGS]]</f>
        <v>30</v>
      </c>
      <c r="M360" s="9">
        <f t="shared" si="5"/>
        <v>0.36363636363636365</v>
      </c>
      <c r="N360" s="7">
        <v>4.125</v>
      </c>
      <c r="O360" s="7">
        <v>86.625</v>
      </c>
      <c r="P360" s="10">
        <v>43525</v>
      </c>
      <c r="Q360" s="10" t="str">
        <f>TEXT(Table2[[#This Row],[Date]],"mmm")</f>
        <v>Mar</v>
      </c>
      <c r="R360" s="11">
        <v>0.65277777777777779</v>
      </c>
      <c r="S360" s="6" t="s">
        <v>27</v>
      </c>
      <c r="T360" s="7">
        <v>6.5</v>
      </c>
      <c r="U360" s="6">
        <f>IF(_xlfn.XLOOKUP(A360,[1]Data2!$A:$A,[1]Data2!$B:$B,"no")="yes",1,0)</f>
        <v>0</v>
      </c>
    </row>
    <row r="361" spans="1:21" s="6" customFormat="1" x14ac:dyDescent="0.3">
      <c r="A361" s="6" t="s">
        <v>399</v>
      </c>
      <c r="B361" s="6" t="s">
        <v>46</v>
      </c>
      <c r="C361" s="6" t="s">
        <v>47</v>
      </c>
      <c r="D361" s="6" t="s">
        <v>31</v>
      </c>
      <c r="E361" s="6" t="s">
        <v>35</v>
      </c>
      <c r="F361" s="6" t="s">
        <v>40</v>
      </c>
      <c r="G361" s="7">
        <f>Table2[[#This Row],[Unit price]]-10</f>
        <v>64.97</v>
      </c>
      <c r="H361" s="7">
        <v>74.97</v>
      </c>
      <c r="I361" s="8">
        <v>1</v>
      </c>
      <c r="J361" s="8">
        <f>Table2[[#This Row],[Unit price]]*Table2[[#This Row],[Quantity]]</f>
        <v>74.97</v>
      </c>
      <c r="K361" s="8">
        <f>Table2[[#This Row],[Unit Cost]]*Table2[[#This Row],[Quantity]]</f>
        <v>64.97</v>
      </c>
      <c r="L361" s="8">
        <f>Table2[[#This Row],[Gross Sales]]-Table2[[#This Row],[COGS]]</f>
        <v>10</v>
      </c>
      <c r="M361" s="9">
        <f t="shared" si="5"/>
        <v>0.13338668800853676</v>
      </c>
      <c r="N361" s="7">
        <v>3.7484999999999999</v>
      </c>
      <c r="O361" s="7">
        <v>78.718500000000006</v>
      </c>
      <c r="P361" s="10">
        <v>43540</v>
      </c>
      <c r="Q361" s="10" t="str">
        <f>TEXT(Table2[[#This Row],[Date]],"mmm")</f>
        <v>Mar</v>
      </c>
      <c r="R361" s="11">
        <v>0.70694444444444438</v>
      </c>
      <c r="S361" s="6" t="s">
        <v>33</v>
      </c>
      <c r="T361" s="7">
        <v>5.6</v>
      </c>
      <c r="U361" s="6">
        <f>IF(_xlfn.XLOOKUP(A361,[1]Data2!$A:$A,[1]Data2!$B:$B,"no")="yes",1,0)</f>
        <v>0</v>
      </c>
    </row>
    <row r="362" spans="1:21" s="6" customFormat="1" x14ac:dyDescent="0.3">
      <c r="A362" s="6" t="s">
        <v>400</v>
      </c>
      <c r="B362" s="6" t="s">
        <v>22</v>
      </c>
      <c r="C362" s="6" t="s">
        <v>23</v>
      </c>
      <c r="D362" s="6" t="s">
        <v>24</v>
      </c>
      <c r="E362" s="6" t="s">
        <v>35</v>
      </c>
      <c r="F362" s="6" t="s">
        <v>48</v>
      </c>
      <c r="G362" s="7">
        <f>Table2[[#This Row],[Unit price]]-10</f>
        <v>70.959999999999994</v>
      </c>
      <c r="H362" s="7">
        <v>80.959999999999994</v>
      </c>
      <c r="I362" s="8">
        <v>8</v>
      </c>
      <c r="J362" s="8">
        <f>Table2[[#This Row],[Unit price]]*Table2[[#This Row],[Quantity]]</f>
        <v>647.67999999999995</v>
      </c>
      <c r="K362" s="8">
        <f>Table2[[#This Row],[Unit Cost]]*Table2[[#This Row],[Quantity]]</f>
        <v>567.67999999999995</v>
      </c>
      <c r="L362" s="8">
        <f>Table2[[#This Row],[Gross Sales]]-Table2[[#This Row],[COGS]]</f>
        <v>80</v>
      </c>
      <c r="M362" s="9">
        <f t="shared" si="5"/>
        <v>0.12351778656126483</v>
      </c>
      <c r="N362" s="7">
        <v>32.384</v>
      </c>
      <c r="O362" s="7">
        <v>680.06399999999996</v>
      </c>
      <c r="P362" s="10">
        <v>43513</v>
      </c>
      <c r="Q362" s="10" t="str">
        <f>TEXT(Table2[[#This Row],[Date]],"mmm")</f>
        <v>Feb</v>
      </c>
      <c r="R362" s="11">
        <v>0.46666666666666662</v>
      </c>
      <c r="S362" s="6" t="s">
        <v>37</v>
      </c>
      <c r="T362" s="7">
        <v>7.4</v>
      </c>
      <c r="U362" s="6">
        <f>IF(_xlfn.XLOOKUP(A362,[1]Data2!$A:$A,[1]Data2!$B:$B,"no")="yes",1,0)</f>
        <v>1</v>
      </c>
    </row>
    <row r="363" spans="1:21" s="6" customFormat="1" x14ac:dyDescent="0.3">
      <c r="A363" s="6" t="s">
        <v>401</v>
      </c>
      <c r="B363" s="6" t="s">
        <v>29</v>
      </c>
      <c r="C363" s="6" t="s">
        <v>30</v>
      </c>
      <c r="D363" s="6" t="s">
        <v>31</v>
      </c>
      <c r="E363" s="6" t="s">
        <v>25</v>
      </c>
      <c r="F363" s="6" t="s">
        <v>48</v>
      </c>
      <c r="G363" s="7">
        <f>Table2[[#This Row],[Unit price]]-10</f>
        <v>84.47</v>
      </c>
      <c r="H363" s="7">
        <v>94.47</v>
      </c>
      <c r="I363" s="8">
        <v>8</v>
      </c>
      <c r="J363" s="8">
        <f>Table2[[#This Row],[Unit price]]*Table2[[#This Row],[Quantity]]</f>
        <v>755.76</v>
      </c>
      <c r="K363" s="8">
        <f>Table2[[#This Row],[Unit Cost]]*Table2[[#This Row],[Quantity]]</f>
        <v>675.76</v>
      </c>
      <c r="L363" s="8">
        <f>Table2[[#This Row],[Gross Sales]]-Table2[[#This Row],[COGS]]</f>
        <v>80</v>
      </c>
      <c r="M363" s="9">
        <f t="shared" si="5"/>
        <v>0.10585371017254155</v>
      </c>
      <c r="N363" s="7">
        <v>37.787999999999997</v>
      </c>
      <c r="O363" s="7">
        <v>793.548</v>
      </c>
      <c r="P363" s="10">
        <v>43523</v>
      </c>
      <c r="Q363" s="10" t="str">
        <f>TEXT(Table2[[#This Row],[Date]],"mmm")</f>
        <v>Feb</v>
      </c>
      <c r="R363" s="11">
        <v>0.6333333333333333</v>
      </c>
      <c r="S363" s="6" t="s">
        <v>33</v>
      </c>
      <c r="T363" s="7">
        <v>9.1</v>
      </c>
      <c r="U363" s="6">
        <f>IF(_xlfn.XLOOKUP(A363,[1]Data2!$A:$A,[1]Data2!$B:$B,"no")="yes",1,0)</f>
        <v>0</v>
      </c>
    </row>
    <row r="364" spans="1:21" s="6" customFormat="1" x14ac:dyDescent="0.3">
      <c r="A364" s="6" t="s">
        <v>402</v>
      </c>
      <c r="B364" s="6" t="s">
        <v>29</v>
      </c>
      <c r="C364" s="6" t="s">
        <v>30</v>
      </c>
      <c r="D364" s="6" t="s">
        <v>31</v>
      </c>
      <c r="E364" s="6" t="s">
        <v>35</v>
      </c>
      <c r="F364" s="6" t="s">
        <v>48</v>
      </c>
      <c r="G364" s="7">
        <f>Table2[[#This Row],[Unit price]]-10</f>
        <v>89.79</v>
      </c>
      <c r="H364" s="7">
        <v>99.79</v>
      </c>
      <c r="I364" s="8">
        <v>2</v>
      </c>
      <c r="J364" s="8">
        <f>Table2[[#This Row],[Unit price]]*Table2[[#This Row],[Quantity]]</f>
        <v>199.58</v>
      </c>
      <c r="K364" s="8">
        <f>Table2[[#This Row],[Unit Cost]]*Table2[[#This Row],[Quantity]]</f>
        <v>179.58</v>
      </c>
      <c r="L364" s="8">
        <f>Table2[[#This Row],[Gross Sales]]-Table2[[#This Row],[COGS]]</f>
        <v>20</v>
      </c>
      <c r="M364" s="9">
        <f t="shared" si="5"/>
        <v>0.1002104419280489</v>
      </c>
      <c r="N364" s="7">
        <v>9.9789999999999992</v>
      </c>
      <c r="O364" s="7">
        <v>209.559</v>
      </c>
      <c r="P364" s="10">
        <v>43531</v>
      </c>
      <c r="Q364" s="10" t="str">
        <f>TEXT(Table2[[#This Row],[Date]],"mmm")</f>
        <v>Mar</v>
      </c>
      <c r="R364" s="11">
        <v>0.85902777777777783</v>
      </c>
      <c r="S364" s="6" t="s">
        <v>27</v>
      </c>
      <c r="T364" s="7">
        <v>8</v>
      </c>
      <c r="U364" s="6">
        <f>IF(_xlfn.XLOOKUP(A364,[1]Data2!$A:$A,[1]Data2!$B:$B,"no")="yes",1,0)</f>
        <v>0</v>
      </c>
    </row>
    <row r="365" spans="1:21" s="6" customFormat="1" x14ac:dyDescent="0.3">
      <c r="A365" s="6" t="s">
        <v>403</v>
      </c>
      <c r="B365" s="6" t="s">
        <v>22</v>
      </c>
      <c r="C365" s="6" t="s">
        <v>23</v>
      </c>
      <c r="D365" s="6" t="s">
        <v>31</v>
      </c>
      <c r="E365" s="6" t="s">
        <v>35</v>
      </c>
      <c r="F365" s="6" t="s">
        <v>36</v>
      </c>
      <c r="G365" s="7">
        <f>Table2[[#This Row],[Unit price]]-10</f>
        <v>63.22</v>
      </c>
      <c r="H365" s="7">
        <v>73.22</v>
      </c>
      <c r="I365" s="8">
        <v>6</v>
      </c>
      <c r="J365" s="8">
        <f>Table2[[#This Row],[Unit price]]*Table2[[#This Row],[Quantity]]</f>
        <v>439.32</v>
      </c>
      <c r="K365" s="8">
        <f>Table2[[#This Row],[Unit Cost]]*Table2[[#This Row],[Quantity]]</f>
        <v>379.32</v>
      </c>
      <c r="L365" s="8">
        <f>Table2[[#This Row],[Gross Sales]]-Table2[[#This Row],[COGS]]</f>
        <v>60</v>
      </c>
      <c r="M365" s="9">
        <f t="shared" si="5"/>
        <v>0.13657470636438132</v>
      </c>
      <c r="N365" s="7">
        <v>21.966000000000001</v>
      </c>
      <c r="O365" s="7">
        <v>461.286</v>
      </c>
      <c r="P365" s="10">
        <v>43486</v>
      </c>
      <c r="Q365" s="10" t="str">
        <f>TEXT(Table2[[#This Row],[Date]],"mmm")</f>
        <v>Jan</v>
      </c>
      <c r="R365" s="11">
        <v>0.73888888888888893</v>
      </c>
      <c r="S365" s="6" t="s">
        <v>33</v>
      </c>
      <c r="T365" s="7">
        <v>7.2</v>
      </c>
      <c r="U365" s="6">
        <f>IF(_xlfn.XLOOKUP(A365,[1]Data2!$A:$A,[1]Data2!$B:$B,"no")="yes",1,0)</f>
        <v>0</v>
      </c>
    </row>
    <row r="366" spans="1:21" s="6" customFormat="1" x14ac:dyDescent="0.3">
      <c r="A366" s="6" t="s">
        <v>404</v>
      </c>
      <c r="B366" s="6" t="s">
        <v>29</v>
      </c>
      <c r="C366" s="6" t="s">
        <v>30</v>
      </c>
      <c r="D366" s="6" t="s">
        <v>31</v>
      </c>
      <c r="E366" s="6" t="s">
        <v>25</v>
      </c>
      <c r="F366" s="6" t="s">
        <v>48</v>
      </c>
      <c r="G366" s="7">
        <f>Table2[[#This Row],[Unit price]]-10</f>
        <v>31.240000000000002</v>
      </c>
      <c r="H366" s="7">
        <v>41.24</v>
      </c>
      <c r="I366" s="8">
        <v>4</v>
      </c>
      <c r="J366" s="8">
        <f>Table2[[#This Row],[Unit price]]*Table2[[#This Row],[Quantity]]</f>
        <v>164.96</v>
      </c>
      <c r="K366" s="8">
        <f>Table2[[#This Row],[Unit Cost]]*Table2[[#This Row],[Quantity]]</f>
        <v>124.96000000000001</v>
      </c>
      <c r="L366" s="8">
        <f>Table2[[#This Row],[Gross Sales]]-Table2[[#This Row],[COGS]]</f>
        <v>40</v>
      </c>
      <c r="M366" s="9">
        <f t="shared" si="5"/>
        <v>0.24248302618816681</v>
      </c>
      <c r="N366" s="7">
        <v>8.2479999999999993</v>
      </c>
      <c r="O366" s="7">
        <v>173.208</v>
      </c>
      <c r="P366" s="10">
        <v>43515</v>
      </c>
      <c r="Q366" s="10" t="str">
        <f>TEXT(Table2[[#This Row],[Date]],"mmm")</f>
        <v>Feb</v>
      </c>
      <c r="R366" s="11">
        <v>0.68263888888888891</v>
      </c>
      <c r="S366" s="6" t="s">
        <v>33</v>
      </c>
      <c r="T366" s="7">
        <v>7.1</v>
      </c>
      <c r="U366" s="6">
        <f>IF(_xlfn.XLOOKUP(A366,[1]Data2!$A:$A,[1]Data2!$B:$B,"no")="yes",1,0)</f>
        <v>1</v>
      </c>
    </row>
    <row r="367" spans="1:21" s="6" customFormat="1" x14ac:dyDescent="0.3">
      <c r="A367" s="6" t="s">
        <v>405</v>
      </c>
      <c r="B367" s="6" t="s">
        <v>29</v>
      </c>
      <c r="C367" s="6" t="s">
        <v>30</v>
      </c>
      <c r="D367" s="6" t="s">
        <v>31</v>
      </c>
      <c r="E367" s="6" t="s">
        <v>25</v>
      </c>
      <c r="F367" s="6" t="s">
        <v>50</v>
      </c>
      <c r="G367" s="7">
        <f>Table2[[#This Row],[Unit price]]-10</f>
        <v>71.680000000000007</v>
      </c>
      <c r="H367" s="7">
        <v>81.680000000000007</v>
      </c>
      <c r="I367" s="8">
        <v>4</v>
      </c>
      <c r="J367" s="8">
        <f>Table2[[#This Row],[Unit price]]*Table2[[#This Row],[Quantity]]</f>
        <v>326.72000000000003</v>
      </c>
      <c r="K367" s="8">
        <f>Table2[[#This Row],[Unit Cost]]*Table2[[#This Row],[Quantity]]</f>
        <v>286.72000000000003</v>
      </c>
      <c r="L367" s="8">
        <f>Table2[[#This Row],[Gross Sales]]-Table2[[#This Row],[COGS]]</f>
        <v>40</v>
      </c>
      <c r="M367" s="9">
        <f t="shared" si="5"/>
        <v>0.12242899118511262</v>
      </c>
      <c r="N367" s="7">
        <v>16.335999999999999</v>
      </c>
      <c r="O367" s="7">
        <v>343.05599999999998</v>
      </c>
      <c r="P367" s="10">
        <v>43471</v>
      </c>
      <c r="Q367" s="10" t="str">
        <f>TEXT(Table2[[#This Row],[Date]],"mmm")</f>
        <v>Jan</v>
      </c>
      <c r="R367" s="11">
        <v>0.5083333333333333</v>
      </c>
      <c r="S367" s="6" t="s">
        <v>33</v>
      </c>
      <c r="T367" s="7">
        <v>9.1</v>
      </c>
      <c r="U367" s="6">
        <f>IF(_xlfn.XLOOKUP(A367,[1]Data2!$A:$A,[1]Data2!$B:$B,"no")="yes",1,0)</f>
        <v>0</v>
      </c>
    </row>
    <row r="368" spans="1:21" s="6" customFormat="1" x14ac:dyDescent="0.3">
      <c r="A368" s="6" t="s">
        <v>406</v>
      </c>
      <c r="B368" s="6" t="s">
        <v>29</v>
      </c>
      <c r="C368" s="6" t="s">
        <v>30</v>
      </c>
      <c r="D368" s="6" t="s">
        <v>31</v>
      </c>
      <c r="E368" s="6" t="s">
        <v>25</v>
      </c>
      <c r="F368" s="6" t="s">
        <v>32</v>
      </c>
      <c r="G368" s="7">
        <f>Table2[[#This Row],[Unit price]]-10</f>
        <v>41.32</v>
      </c>
      <c r="H368" s="7">
        <v>51.32</v>
      </c>
      <c r="I368" s="8">
        <v>9</v>
      </c>
      <c r="J368" s="8">
        <f>Table2[[#This Row],[Unit price]]*Table2[[#This Row],[Quantity]]</f>
        <v>461.88</v>
      </c>
      <c r="K368" s="8">
        <f>Table2[[#This Row],[Unit Cost]]*Table2[[#This Row],[Quantity]]</f>
        <v>371.88</v>
      </c>
      <c r="L368" s="8">
        <f>Table2[[#This Row],[Gross Sales]]-Table2[[#This Row],[COGS]]</f>
        <v>90</v>
      </c>
      <c r="M368" s="9">
        <f t="shared" si="5"/>
        <v>0.19485580670303976</v>
      </c>
      <c r="N368" s="7">
        <v>23.094000000000001</v>
      </c>
      <c r="O368" s="7">
        <v>484.97399999999999</v>
      </c>
      <c r="P368" s="10">
        <v>43538</v>
      </c>
      <c r="Q368" s="10" t="str">
        <f>TEXT(Table2[[#This Row],[Date]],"mmm")</f>
        <v>Mar</v>
      </c>
      <c r="R368" s="11">
        <v>0.81458333333333333</v>
      </c>
      <c r="S368" s="6" t="s">
        <v>33</v>
      </c>
      <c r="T368" s="7">
        <v>5.6</v>
      </c>
      <c r="U368" s="6">
        <f>IF(_xlfn.XLOOKUP(A368,[1]Data2!$A:$A,[1]Data2!$B:$B,"no")="yes",1,0)</f>
        <v>0</v>
      </c>
    </row>
    <row r="369" spans="1:21" s="6" customFormat="1" x14ac:dyDescent="0.3">
      <c r="A369" s="6" t="s">
        <v>407</v>
      </c>
      <c r="B369" s="6" t="s">
        <v>22</v>
      </c>
      <c r="C369" s="6" t="s">
        <v>23</v>
      </c>
      <c r="D369" s="6" t="s">
        <v>24</v>
      </c>
      <c r="E369" s="6" t="s">
        <v>35</v>
      </c>
      <c r="F369" s="6" t="s">
        <v>36</v>
      </c>
      <c r="G369" s="7">
        <f>Table2[[#This Row],[Unit price]]-10</f>
        <v>55.94</v>
      </c>
      <c r="H369" s="7">
        <v>65.94</v>
      </c>
      <c r="I369" s="8">
        <v>4</v>
      </c>
      <c r="J369" s="8">
        <f>Table2[[#This Row],[Unit price]]*Table2[[#This Row],[Quantity]]</f>
        <v>263.76</v>
      </c>
      <c r="K369" s="8">
        <f>Table2[[#This Row],[Unit Cost]]*Table2[[#This Row],[Quantity]]</f>
        <v>223.76</v>
      </c>
      <c r="L369" s="8">
        <f>Table2[[#This Row],[Gross Sales]]-Table2[[#This Row],[COGS]]</f>
        <v>40</v>
      </c>
      <c r="M369" s="9">
        <f t="shared" si="5"/>
        <v>0.15165301789505611</v>
      </c>
      <c r="N369" s="7">
        <v>13.188000000000001</v>
      </c>
      <c r="O369" s="7">
        <v>276.94799999999998</v>
      </c>
      <c r="P369" s="10">
        <v>43548</v>
      </c>
      <c r="Q369" s="10" t="str">
        <f>TEXT(Table2[[#This Row],[Date]],"mmm")</f>
        <v>Mar</v>
      </c>
      <c r="R369" s="11">
        <v>0.4368055555555555</v>
      </c>
      <c r="S369" s="6" t="s">
        <v>33</v>
      </c>
      <c r="T369" s="7">
        <v>6</v>
      </c>
      <c r="U369" s="6">
        <f>IF(_xlfn.XLOOKUP(A369,[1]Data2!$A:$A,[1]Data2!$B:$B,"no")="yes",1,0)</f>
        <v>0</v>
      </c>
    </row>
    <row r="370" spans="1:21" s="6" customFormat="1" x14ac:dyDescent="0.3">
      <c r="A370" s="6" t="s">
        <v>408</v>
      </c>
      <c r="B370" s="6" t="s">
        <v>29</v>
      </c>
      <c r="C370" s="6" t="s">
        <v>30</v>
      </c>
      <c r="D370" s="6" t="s">
        <v>31</v>
      </c>
      <c r="E370" s="6" t="s">
        <v>25</v>
      </c>
      <c r="F370" s="6" t="s">
        <v>40</v>
      </c>
      <c r="G370" s="7">
        <f>Table2[[#This Row],[Unit price]]-10</f>
        <v>4.3599999999999994</v>
      </c>
      <c r="H370" s="7">
        <v>14.36</v>
      </c>
      <c r="I370" s="8">
        <v>10</v>
      </c>
      <c r="J370" s="8">
        <f>Table2[[#This Row],[Unit price]]*Table2[[#This Row],[Quantity]]</f>
        <v>143.6</v>
      </c>
      <c r="K370" s="8">
        <f>Table2[[#This Row],[Unit Cost]]*Table2[[#This Row],[Quantity]]</f>
        <v>43.599999999999994</v>
      </c>
      <c r="L370" s="8">
        <f>Table2[[#This Row],[Gross Sales]]-Table2[[#This Row],[COGS]]</f>
        <v>100</v>
      </c>
      <c r="M370" s="9">
        <f t="shared" si="5"/>
        <v>0.69637883008356549</v>
      </c>
      <c r="N370" s="7">
        <v>7.18</v>
      </c>
      <c r="O370" s="7">
        <v>150.78</v>
      </c>
      <c r="P370" s="10">
        <v>43492</v>
      </c>
      <c r="Q370" s="10" t="str">
        <f>TEXT(Table2[[#This Row],[Date]],"mmm")</f>
        <v>Jan</v>
      </c>
      <c r="R370" s="11">
        <v>0.60277777777777775</v>
      </c>
      <c r="S370" s="6" t="s">
        <v>33</v>
      </c>
      <c r="T370" s="7">
        <v>5.4</v>
      </c>
      <c r="U370" s="6">
        <f>IF(_xlfn.XLOOKUP(A370,[1]Data2!$A:$A,[1]Data2!$B:$B,"no")="yes",1,0)</f>
        <v>1</v>
      </c>
    </row>
    <row r="371" spans="1:21" s="6" customFormat="1" x14ac:dyDescent="0.3">
      <c r="A371" s="6" t="s">
        <v>409</v>
      </c>
      <c r="B371" s="6" t="s">
        <v>22</v>
      </c>
      <c r="C371" s="6" t="s">
        <v>23</v>
      </c>
      <c r="D371" s="6" t="s">
        <v>24</v>
      </c>
      <c r="E371" s="6" t="s">
        <v>35</v>
      </c>
      <c r="F371" s="6" t="s">
        <v>32</v>
      </c>
      <c r="G371" s="7">
        <f>Table2[[#This Row],[Unit price]]-10</f>
        <v>11.5</v>
      </c>
      <c r="H371" s="7">
        <v>21.5</v>
      </c>
      <c r="I371" s="8">
        <v>9</v>
      </c>
      <c r="J371" s="8">
        <f>Table2[[#This Row],[Unit price]]*Table2[[#This Row],[Quantity]]</f>
        <v>193.5</v>
      </c>
      <c r="K371" s="8">
        <f>Table2[[#This Row],[Unit Cost]]*Table2[[#This Row],[Quantity]]</f>
        <v>103.5</v>
      </c>
      <c r="L371" s="8">
        <f>Table2[[#This Row],[Gross Sales]]-Table2[[#This Row],[COGS]]</f>
        <v>90</v>
      </c>
      <c r="M371" s="9">
        <f t="shared" si="5"/>
        <v>0.46511627906976744</v>
      </c>
      <c r="N371" s="7">
        <v>9.6750000000000007</v>
      </c>
      <c r="O371" s="7">
        <v>203.17500000000001</v>
      </c>
      <c r="P371" s="10">
        <v>43530</v>
      </c>
      <c r="Q371" s="10" t="str">
        <f>TEXT(Table2[[#This Row],[Date]],"mmm")</f>
        <v>Mar</v>
      </c>
      <c r="R371" s="11">
        <v>0.53194444444444444</v>
      </c>
      <c r="S371" s="6" t="s">
        <v>37</v>
      </c>
      <c r="T371" s="7">
        <v>7.8</v>
      </c>
      <c r="U371" s="6">
        <f>IF(_xlfn.XLOOKUP(A371,[1]Data2!$A:$A,[1]Data2!$B:$B,"no")="yes",1,0)</f>
        <v>0</v>
      </c>
    </row>
    <row r="372" spans="1:21" s="6" customFormat="1" x14ac:dyDescent="0.3">
      <c r="A372" s="6" t="s">
        <v>410</v>
      </c>
      <c r="B372" s="6" t="s">
        <v>46</v>
      </c>
      <c r="C372" s="6" t="s">
        <v>47</v>
      </c>
      <c r="D372" s="6" t="s">
        <v>24</v>
      </c>
      <c r="E372" s="6" t="s">
        <v>25</v>
      </c>
      <c r="F372" s="6" t="s">
        <v>32</v>
      </c>
      <c r="G372" s="7">
        <f>Table2[[#This Row],[Unit price]]-10</f>
        <v>16.260000000000002</v>
      </c>
      <c r="H372" s="7">
        <v>26.26</v>
      </c>
      <c r="I372" s="8">
        <v>7</v>
      </c>
      <c r="J372" s="8">
        <f>Table2[[#This Row],[Unit price]]*Table2[[#This Row],[Quantity]]</f>
        <v>183.82000000000002</v>
      </c>
      <c r="K372" s="8">
        <f>Table2[[#This Row],[Unit Cost]]*Table2[[#This Row],[Quantity]]</f>
        <v>113.82000000000001</v>
      </c>
      <c r="L372" s="8">
        <f>Table2[[#This Row],[Gross Sales]]-Table2[[#This Row],[COGS]]</f>
        <v>70.000000000000014</v>
      </c>
      <c r="M372" s="9">
        <f t="shared" si="5"/>
        <v>0.38080731150038083</v>
      </c>
      <c r="N372" s="7">
        <v>9.1910000000000007</v>
      </c>
      <c r="O372" s="7">
        <v>193.011</v>
      </c>
      <c r="P372" s="10">
        <v>43498</v>
      </c>
      <c r="Q372" s="10" t="str">
        <f>TEXT(Table2[[#This Row],[Date]],"mmm")</f>
        <v>Feb</v>
      </c>
      <c r="R372" s="11">
        <v>0.81944444444444453</v>
      </c>
      <c r="S372" s="6" t="s">
        <v>33</v>
      </c>
      <c r="T372" s="7">
        <v>9.9</v>
      </c>
      <c r="U372" s="6">
        <f>IF(_xlfn.XLOOKUP(A372,[1]Data2!$A:$A,[1]Data2!$B:$B,"no")="yes",1,0)</f>
        <v>0</v>
      </c>
    </row>
    <row r="373" spans="1:21" s="6" customFormat="1" x14ac:dyDescent="0.3">
      <c r="A373" s="6" t="s">
        <v>411</v>
      </c>
      <c r="B373" s="6" t="s">
        <v>46</v>
      </c>
      <c r="C373" s="6" t="s">
        <v>47</v>
      </c>
      <c r="D373" s="6" t="s">
        <v>31</v>
      </c>
      <c r="E373" s="6" t="s">
        <v>25</v>
      </c>
      <c r="F373" s="6" t="s">
        <v>50</v>
      </c>
      <c r="G373" s="7">
        <f>Table2[[#This Row],[Unit price]]-10</f>
        <v>50.96</v>
      </c>
      <c r="H373" s="7">
        <v>60.96</v>
      </c>
      <c r="I373" s="8">
        <v>2</v>
      </c>
      <c r="J373" s="8">
        <f>Table2[[#This Row],[Unit price]]*Table2[[#This Row],[Quantity]]</f>
        <v>121.92</v>
      </c>
      <c r="K373" s="8">
        <f>Table2[[#This Row],[Unit Cost]]*Table2[[#This Row],[Quantity]]</f>
        <v>101.92</v>
      </c>
      <c r="L373" s="8">
        <f>Table2[[#This Row],[Gross Sales]]-Table2[[#This Row],[COGS]]</f>
        <v>20</v>
      </c>
      <c r="M373" s="9">
        <f t="shared" si="5"/>
        <v>0.16404199475065617</v>
      </c>
      <c r="N373" s="7">
        <v>6.0960000000000001</v>
      </c>
      <c r="O373" s="7">
        <v>128.01599999999999</v>
      </c>
      <c r="P373" s="10">
        <v>43490</v>
      </c>
      <c r="Q373" s="10" t="str">
        <f>TEXT(Table2[[#This Row],[Date]],"mmm")</f>
        <v>Jan</v>
      </c>
      <c r="R373" s="11">
        <v>0.81874999999999998</v>
      </c>
      <c r="S373" s="6" t="s">
        <v>37</v>
      </c>
      <c r="T373" s="7">
        <v>4.9000000000000004</v>
      </c>
      <c r="U373" s="6">
        <f>IF(_xlfn.XLOOKUP(A373,[1]Data2!$A:$A,[1]Data2!$B:$B,"no")="yes",1,0)</f>
        <v>0</v>
      </c>
    </row>
    <row r="374" spans="1:21" s="6" customFormat="1" x14ac:dyDescent="0.3">
      <c r="A374" s="6" t="s">
        <v>412</v>
      </c>
      <c r="B374" s="6" t="s">
        <v>29</v>
      </c>
      <c r="C374" s="6" t="s">
        <v>30</v>
      </c>
      <c r="D374" s="6" t="s">
        <v>31</v>
      </c>
      <c r="E374" s="6" t="s">
        <v>25</v>
      </c>
      <c r="F374" s="6" t="s">
        <v>36</v>
      </c>
      <c r="G374" s="7">
        <f>Table2[[#This Row],[Unit price]]-10</f>
        <v>60.11</v>
      </c>
      <c r="H374" s="7">
        <v>70.11</v>
      </c>
      <c r="I374" s="8">
        <v>6</v>
      </c>
      <c r="J374" s="8">
        <f>Table2[[#This Row],[Unit price]]*Table2[[#This Row],[Quantity]]</f>
        <v>420.65999999999997</v>
      </c>
      <c r="K374" s="8">
        <f>Table2[[#This Row],[Unit Cost]]*Table2[[#This Row],[Quantity]]</f>
        <v>360.65999999999997</v>
      </c>
      <c r="L374" s="8">
        <f>Table2[[#This Row],[Gross Sales]]-Table2[[#This Row],[COGS]]</f>
        <v>60</v>
      </c>
      <c r="M374" s="9">
        <f t="shared" si="5"/>
        <v>0.1426330052774212</v>
      </c>
      <c r="N374" s="7">
        <v>21.033000000000001</v>
      </c>
      <c r="O374" s="7">
        <v>441.69299999999998</v>
      </c>
      <c r="P374" s="10">
        <v>43538</v>
      </c>
      <c r="Q374" s="10" t="str">
        <f>TEXT(Table2[[#This Row],[Date]],"mmm")</f>
        <v>Mar</v>
      </c>
      <c r="R374" s="11">
        <v>0.74583333333333324</v>
      </c>
      <c r="S374" s="6" t="s">
        <v>27</v>
      </c>
      <c r="T374" s="7">
        <v>5.2</v>
      </c>
      <c r="U374" s="6">
        <f>IF(_xlfn.XLOOKUP(A374,[1]Data2!$A:$A,[1]Data2!$B:$B,"no")="yes",1,0)</f>
        <v>1</v>
      </c>
    </row>
    <row r="375" spans="1:21" s="6" customFormat="1" x14ac:dyDescent="0.3">
      <c r="A375" s="6" t="s">
        <v>413</v>
      </c>
      <c r="B375" s="6" t="s">
        <v>29</v>
      </c>
      <c r="C375" s="6" t="s">
        <v>30</v>
      </c>
      <c r="D375" s="6" t="s">
        <v>31</v>
      </c>
      <c r="E375" s="6" t="s">
        <v>35</v>
      </c>
      <c r="F375" s="6" t="s">
        <v>50</v>
      </c>
      <c r="G375" s="7">
        <f>Table2[[#This Row],[Unit price]]-10</f>
        <v>32.08</v>
      </c>
      <c r="H375" s="7">
        <v>42.08</v>
      </c>
      <c r="I375" s="8">
        <v>6</v>
      </c>
      <c r="J375" s="8">
        <f>Table2[[#This Row],[Unit price]]*Table2[[#This Row],[Quantity]]</f>
        <v>252.48</v>
      </c>
      <c r="K375" s="8">
        <f>Table2[[#This Row],[Unit Cost]]*Table2[[#This Row],[Quantity]]</f>
        <v>192.48</v>
      </c>
      <c r="L375" s="8">
        <f>Table2[[#This Row],[Gross Sales]]-Table2[[#This Row],[COGS]]</f>
        <v>60</v>
      </c>
      <c r="M375" s="9">
        <f t="shared" si="5"/>
        <v>0.2376425855513308</v>
      </c>
      <c r="N375" s="7">
        <v>12.624000000000001</v>
      </c>
      <c r="O375" s="7">
        <v>265.10399999999998</v>
      </c>
      <c r="P375" s="10">
        <v>43494</v>
      </c>
      <c r="Q375" s="10" t="str">
        <f>TEXT(Table2[[#This Row],[Date]],"mmm")</f>
        <v>Jan</v>
      </c>
      <c r="R375" s="11">
        <v>0.51736111111111105</v>
      </c>
      <c r="S375" s="6" t="s">
        <v>33</v>
      </c>
      <c r="T375" s="7">
        <v>8.9</v>
      </c>
      <c r="U375" s="6">
        <f>IF(_xlfn.XLOOKUP(A375,[1]Data2!$A:$A,[1]Data2!$B:$B,"no")="yes",1,0)</f>
        <v>0</v>
      </c>
    </row>
    <row r="376" spans="1:21" s="6" customFormat="1" x14ac:dyDescent="0.3">
      <c r="A376" s="6" t="s">
        <v>414</v>
      </c>
      <c r="B376" s="6" t="s">
        <v>22</v>
      </c>
      <c r="C376" s="6" t="s">
        <v>23</v>
      </c>
      <c r="D376" s="6" t="s">
        <v>31</v>
      </c>
      <c r="E376" s="6" t="s">
        <v>25</v>
      </c>
      <c r="F376" s="6" t="s">
        <v>36</v>
      </c>
      <c r="G376" s="7">
        <f>Table2[[#This Row],[Unit price]]-10</f>
        <v>57.09</v>
      </c>
      <c r="H376" s="7">
        <v>67.09</v>
      </c>
      <c r="I376" s="8">
        <v>5</v>
      </c>
      <c r="J376" s="8">
        <f>Table2[[#This Row],[Unit price]]*Table2[[#This Row],[Quantity]]</f>
        <v>335.45000000000005</v>
      </c>
      <c r="K376" s="8">
        <f>Table2[[#This Row],[Unit Cost]]*Table2[[#This Row],[Quantity]]</f>
        <v>285.45000000000005</v>
      </c>
      <c r="L376" s="8">
        <f>Table2[[#This Row],[Gross Sales]]-Table2[[#This Row],[COGS]]</f>
        <v>50</v>
      </c>
      <c r="M376" s="9">
        <f t="shared" si="5"/>
        <v>0.14905351021016544</v>
      </c>
      <c r="N376" s="7">
        <v>16.772500000000001</v>
      </c>
      <c r="O376" s="7">
        <v>352.22250000000003</v>
      </c>
      <c r="P376" s="10">
        <v>43468</v>
      </c>
      <c r="Q376" s="10" t="str">
        <f>TEXT(Table2[[#This Row],[Date]],"mmm")</f>
        <v>Jan</v>
      </c>
      <c r="R376" s="11">
        <v>0.69930555555555562</v>
      </c>
      <c r="S376" s="6" t="s">
        <v>37</v>
      </c>
      <c r="T376" s="7">
        <v>9.1</v>
      </c>
      <c r="U376" s="6">
        <f>IF(_xlfn.XLOOKUP(A376,[1]Data2!$A:$A,[1]Data2!$B:$B,"no")="yes",1,0)</f>
        <v>0</v>
      </c>
    </row>
    <row r="377" spans="1:21" s="6" customFormat="1" x14ac:dyDescent="0.3">
      <c r="A377" s="6" t="s">
        <v>415</v>
      </c>
      <c r="B377" s="6" t="s">
        <v>22</v>
      </c>
      <c r="C377" s="6" t="s">
        <v>23</v>
      </c>
      <c r="D377" s="6" t="s">
        <v>24</v>
      </c>
      <c r="E377" s="6" t="s">
        <v>25</v>
      </c>
      <c r="F377" s="6" t="s">
        <v>50</v>
      </c>
      <c r="G377" s="7">
        <f>Table2[[#This Row],[Unit price]]-10</f>
        <v>86.7</v>
      </c>
      <c r="H377" s="7">
        <v>96.7</v>
      </c>
      <c r="I377" s="8">
        <v>5</v>
      </c>
      <c r="J377" s="8">
        <f>Table2[[#This Row],[Unit price]]*Table2[[#This Row],[Quantity]]</f>
        <v>483.5</v>
      </c>
      <c r="K377" s="8">
        <f>Table2[[#This Row],[Unit Cost]]*Table2[[#This Row],[Quantity]]</f>
        <v>433.5</v>
      </c>
      <c r="L377" s="8">
        <f>Table2[[#This Row],[Gross Sales]]-Table2[[#This Row],[COGS]]</f>
        <v>50</v>
      </c>
      <c r="M377" s="9">
        <f t="shared" si="5"/>
        <v>0.10341261633919338</v>
      </c>
      <c r="N377" s="7">
        <v>24.175000000000001</v>
      </c>
      <c r="O377" s="7">
        <v>507.67500000000001</v>
      </c>
      <c r="P377" s="10">
        <v>43479</v>
      </c>
      <c r="Q377" s="10" t="str">
        <f>TEXT(Table2[[#This Row],[Date]],"mmm")</f>
        <v>Jan</v>
      </c>
      <c r="R377" s="11">
        <v>0.53611111111111109</v>
      </c>
      <c r="S377" s="6" t="s">
        <v>27</v>
      </c>
      <c r="T377" s="7">
        <v>7</v>
      </c>
      <c r="U377" s="6">
        <f>IF(_xlfn.XLOOKUP(A377,[1]Data2!$A:$A,[1]Data2!$B:$B,"no")="yes",1,0)</f>
        <v>0</v>
      </c>
    </row>
    <row r="378" spans="1:21" s="6" customFormat="1" x14ac:dyDescent="0.3">
      <c r="A378" s="6" t="s">
        <v>416</v>
      </c>
      <c r="B378" s="6" t="s">
        <v>46</v>
      </c>
      <c r="C378" s="6" t="s">
        <v>47</v>
      </c>
      <c r="D378" s="6" t="s">
        <v>24</v>
      </c>
      <c r="E378" s="6" t="s">
        <v>25</v>
      </c>
      <c r="F378" s="6" t="s">
        <v>36</v>
      </c>
      <c r="G378" s="7">
        <f>Table2[[#This Row],[Unit price]]-10</f>
        <v>25.380000000000003</v>
      </c>
      <c r="H378" s="7">
        <v>35.380000000000003</v>
      </c>
      <c r="I378" s="8">
        <v>9</v>
      </c>
      <c r="J378" s="8">
        <f>Table2[[#This Row],[Unit price]]*Table2[[#This Row],[Quantity]]</f>
        <v>318.42</v>
      </c>
      <c r="K378" s="8">
        <f>Table2[[#This Row],[Unit Cost]]*Table2[[#This Row],[Quantity]]</f>
        <v>228.42000000000002</v>
      </c>
      <c r="L378" s="8">
        <f>Table2[[#This Row],[Gross Sales]]-Table2[[#This Row],[COGS]]</f>
        <v>90</v>
      </c>
      <c r="M378" s="9">
        <f t="shared" si="5"/>
        <v>0.28264556246466926</v>
      </c>
      <c r="N378" s="7">
        <v>15.920999999999999</v>
      </c>
      <c r="O378" s="7">
        <v>334.34100000000001</v>
      </c>
      <c r="P378" s="10">
        <v>43470</v>
      </c>
      <c r="Q378" s="10" t="str">
        <f>TEXT(Table2[[#This Row],[Date]],"mmm")</f>
        <v>Jan</v>
      </c>
      <c r="R378" s="11">
        <v>0.82638888888888884</v>
      </c>
      <c r="S378" s="6" t="s">
        <v>37</v>
      </c>
      <c r="T378" s="7">
        <v>9.6</v>
      </c>
      <c r="U378" s="6">
        <f>IF(_xlfn.XLOOKUP(A378,[1]Data2!$A:$A,[1]Data2!$B:$B,"no")="yes",1,0)</f>
        <v>1</v>
      </c>
    </row>
    <row r="379" spans="1:21" s="6" customFormat="1" x14ac:dyDescent="0.3">
      <c r="A379" s="6" t="s">
        <v>417</v>
      </c>
      <c r="B379" s="6" t="s">
        <v>29</v>
      </c>
      <c r="C379" s="6" t="s">
        <v>30</v>
      </c>
      <c r="D379" s="6" t="s">
        <v>31</v>
      </c>
      <c r="E379" s="6" t="s">
        <v>35</v>
      </c>
      <c r="F379" s="6" t="s">
        <v>40</v>
      </c>
      <c r="G379" s="7">
        <f>Table2[[#This Row],[Unit price]]-10</f>
        <v>85.49</v>
      </c>
      <c r="H379" s="7">
        <v>95.49</v>
      </c>
      <c r="I379" s="8">
        <v>7</v>
      </c>
      <c r="J379" s="8">
        <f>Table2[[#This Row],[Unit price]]*Table2[[#This Row],[Quantity]]</f>
        <v>668.43</v>
      </c>
      <c r="K379" s="8">
        <f>Table2[[#This Row],[Unit Cost]]*Table2[[#This Row],[Quantity]]</f>
        <v>598.42999999999995</v>
      </c>
      <c r="L379" s="8">
        <f>Table2[[#This Row],[Gross Sales]]-Table2[[#This Row],[COGS]]</f>
        <v>70</v>
      </c>
      <c r="M379" s="9">
        <f t="shared" si="5"/>
        <v>0.10472300764477957</v>
      </c>
      <c r="N379" s="7">
        <v>33.421500000000002</v>
      </c>
      <c r="O379" s="7">
        <v>701.85149999999999</v>
      </c>
      <c r="P379" s="10">
        <v>43518</v>
      </c>
      <c r="Q379" s="10" t="str">
        <f>TEXT(Table2[[#This Row],[Date]],"mmm")</f>
        <v>Feb</v>
      </c>
      <c r="R379" s="11">
        <v>0.76180555555555562</v>
      </c>
      <c r="S379" s="6" t="s">
        <v>27</v>
      </c>
      <c r="T379" s="7">
        <v>8.6999999999999993</v>
      </c>
      <c r="U379" s="6">
        <f>IF(_xlfn.XLOOKUP(A379,[1]Data2!$A:$A,[1]Data2!$B:$B,"no")="yes",1,0)</f>
        <v>0</v>
      </c>
    </row>
    <row r="380" spans="1:21" s="6" customFormat="1" x14ac:dyDescent="0.3">
      <c r="A380" s="6" t="s">
        <v>418</v>
      </c>
      <c r="B380" s="6" t="s">
        <v>29</v>
      </c>
      <c r="C380" s="6" t="s">
        <v>30</v>
      </c>
      <c r="D380" s="6" t="s">
        <v>24</v>
      </c>
      <c r="E380" s="6" t="s">
        <v>35</v>
      </c>
      <c r="F380" s="6" t="s">
        <v>50</v>
      </c>
      <c r="G380" s="7">
        <f>Table2[[#This Row],[Unit price]]-10</f>
        <v>86.98</v>
      </c>
      <c r="H380" s="7">
        <v>96.98</v>
      </c>
      <c r="I380" s="8">
        <v>4</v>
      </c>
      <c r="J380" s="8">
        <f>Table2[[#This Row],[Unit price]]*Table2[[#This Row],[Quantity]]</f>
        <v>387.92</v>
      </c>
      <c r="K380" s="8">
        <f>Table2[[#This Row],[Unit Cost]]*Table2[[#This Row],[Quantity]]</f>
        <v>347.92</v>
      </c>
      <c r="L380" s="8">
        <f>Table2[[#This Row],[Gross Sales]]-Table2[[#This Row],[COGS]]</f>
        <v>40</v>
      </c>
      <c r="M380" s="9">
        <f t="shared" si="5"/>
        <v>0.10311404413281089</v>
      </c>
      <c r="N380" s="7">
        <v>19.396000000000001</v>
      </c>
      <c r="O380" s="7">
        <v>407.31599999999997</v>
      </c>
      <c r="P380" s="10">
        <v>43502</v>
      </c>
      <c r="Q380" s="10" t="str">
        <f>TEXT(Table2[[#This Row],[Date]],"mmm")</f>
        <v>Feb</v>
      </c>
      <c r="R380" s="11">
        <v>0.72222222222222221</v>
      </c>
      <c r="S380" s="6" t="s">
        <v>27</v>
      </c>
      <c r="T380" s="7">
        <v>9.4</v>
      </c>
      <c r="U380" s="6">
        <f>IF(_xlfn.XLOOKUP(A380,[1]Data2!$A:$A,[1]Data2!$B:$B,"no")="yes",1,0)</f>
        <v>0</v>
      </c>
    </row>
    <row r="381" spans="1:21" s="6" customFormat="1" x14ac:dyDescent="0.3">
      <c r="A381" s="6" t="s">
        <v>419</v>
      </c>
      <c r="B381" s="6" t="s">
        <v>46</v>
      </c>
      <c r="C381" s="6" t="s">
        <v>47</v>
      </c>
      <c r="D381" s="6" t="s">
        <v>31</v>
      </c>
      <c r="E381" s="6" t="s">
        <v>25</v>
      </c>
      <c r="F381" s="6" t="s">
        <v>32</v>
      </c>
      <c r="G381" s="7">
        <f>Table2[[#This Row],[Unit price]]-10</f>
        <v>13.649999999999999</v>
      </c>
      <c r="H381" s="7">
        <v>23.65</v>
      </c>
      <c r="I381" s="8">
        <v>4</v>
      </c>
      <c r="J381" s="8">
        <f>Table2[[#This Row],[Unit price]]*Table2[[#This Row],[Quantity]]</f>
        <v>94.6</v>
      </c>
      <c r="K381" s="8">
        <f>Table2[[#This Row],[Unit Cost]]*Table2[[#This Row],[Quantity]]</f>
        <v>54.599999999999994</v>
      </c>
      <c r="L381" s="8">
        <f>Table2[[#This Row],[Gross Sales]]-Table2[[#This Row],[COGS]]</f>
        <v>40</v>
      </c>
      <c r="M381" s="9">
        <f t="shared" si="5"/>
        <v>0.42283298097251587</v>
      </c>
      <c r="N381" s="7">
        <v>4.7300000000000004</v>
      </c>
      <c r="O381" s="7">
        <v>99.33</v>
      </c>
      <c r="P381" s="10">
        <v>43495</v>
      </c>
      <c r="Q381" s="10" t="str">
        <f>TEXT(Table2[[#This Row],[Date]],"mmm")</f>
        <v>Jan</v>
      </c>
      <c r="R381" s="11">
        <v>0.56388888888888888</v>
      </c>
      <c r="S381" s="6" t="s">
        <v>37</v>
      </c>
      <c r="T381" s="7">
        <v>4</v>
      </c>
      <c r="U381" s="6">
        <f>IF(_xlfn.XLOOKUP(A381,[1]Data2!$A:$A,[1]Data2!$B:$B,"no")="yes",1,0)</f>
        <v>0</v>
      </c>
    </row>
    <row r="382" spans="1:21" s="6" customFormat="1" x14ac:dyDescent="0.3">
      <c r="A382" s="6" t="s">
        <v>420</v>
      </c>
      <c r="B382" s="6" t="s">
        <v>22</v>
      </c>
      <c r="C382" s="6" t="s">
        <v>23</v>
      </c>
      <c r="D382" s="6" t="s">
        <v>24</v>
      </c>
      <c r="E382" s="6" t="s">
        <v>35</v>
      </c>
      <c r="F382" s="6" t="s">
        <v>40</v>
      </c>
      <c r="G382" s="7">
        <f>Table2[[#This Row],[Unit price]]-10</f>
        <v>72.33</v>
      </c>
      <c r="H382" s="7">
        <v>82.33</v>
      </c>
      <c r="I382" s="8">
        <v>4</v>
      </c>
      <c r="J382" s="8">
        <f>Table2[[#This Row],[Unit price]]*Table2[[#This Row],[Quantity]]</f>
        <v>329.32</v>
      </c>
      <c r="K382" s="8">
        <f>Table2[[#This Row],[Unit Cost]]*Table2[[#This Row],[Quantity]]</f>
        <v>289.32</v>
      </c>
      <c r="L382" s="8">
        <f>Table2[[#This Row],[Gross Sales]]-Table2[[#This Row],[COGS]]</f>
        <v>40</v>
      </c>
      <c r="M382" s="9">
        <f t="shared" si="5"/>
        <v>0.12146240738491437</v>
      </c>
      <c r="N382" s="7">
        <v>16.466000000000001</v>
      </c>
      <c r="O382" s="7">
        <v>345.786</v>
      </c>
      <c r="P382" s="10">
        <v>43476</v>
      </c>
      <c r="Q382" s="10" t="str">
        <f>TEXT(Table2[[#This Row],[Date]],"mmm")</f>
        <v>Jan</v>
      </c>
      <c r="R382" s="11">
        <v>0.44236111111111115</v>
      </c>
      <c r="S382" s="6" t="s">
        <v>37</v>
      </c>
      <c r="T382" s="7">
        <v>7.5</v>
      </c>
      <c r="U382" s="6">
        <f>IF(_xlfn.XLOOKUP(A382,[1]Data2!$A:$A,[1]Data2!$B:$B,"no")="yes",1,0)</f>
        <v>1</v>
      </c>
    </row>
    <row r="383" spans="1:21" s="6" customFormat="1" x14ac:dyDescent="0.3">
      <c r="A383" s="6" t="s">
        <v>421</v>
      </c>
      <c r="B383" s="6" t="s">
        <v>29</v>
      </c>
      <c r="C383" s="6" t="s">
        <v>30</v>
      </c>
      <c r="D383" s="6" t="s">
        <v>31</v>
      </c>
      <c r="E383" s="6" t="s">
        <v>25</v>
      </c>
      <c r="F383" s="6" t="s">
        <v>32</v>
      </c>
      <c r="G383" s="7">
        <f>Table2[[#This Row],[Unit price]]-10</f>
        <v>16.61</v>
      </c>
      <c r="H383" s="7">
        <v>26.61</v>
      </c>
      <c r="I383" s="8">
        <v>2</v>
      </c>
      <c r="J383" s="8">
        <f>Table2[[#This Row],[Unit price]]*Table2[[#This Row],[Quantity]]</f>
        <v>53.22</v>
      </c>
      <c r="K383" s="8">
        <f>Table2[[#This Row],[Unit Cost]]*Table2[[#This Row],[Quantity]]</f>
        <v>33.22</v>
      </c>
      <c r="L383" s="8">
        <f>Table2[[#This Row],[Gross Sales]]-Table2[[#This Row],[COGS]]</f>
        <v>20</v>
      </c>
      <c r="M383" s="9">
        <f t="shared" si="5"/>
        <v>0.37579857196542654</v>
      </c>
      <c r="N383" s="7">
        <v>2.661</v>
      </c>
      <c r="O383" s="7">
        <v>55.881</v>
      </c>
      <c r="P383" s="10">
        <v>43543</v>
      </c>
      <c r="Q383" s="10" t="str">
        <f>TEXT(Table2[[#This Row],[Date]],"mmm")</f>
        <v>Mar</v>
      </c>
      <c r="R383" s="11">
        <v>0.60763888888888895</v>
      </c>
      <c r="S383" s="6" t="s">
        <v>33</v>
      </c>
      <c r="T383" s="7">
        <v>4.2</v>
      </c>
      <c r="U383" s="6">
        <f>IF(_xlfn.XLOOKUP(A383,[1]Data2!$A:$A,[1]Data2!$B:$B,"no")="yes",1,0)</f>
        <v>0</v>
      </c>
    </row>
    <row r="384" spans="1:21" s="6" customFormat="1" x14ac:dyDescent="0.3">
      <c r="A384" s="6" t="s">
        <v>422</v>
      </c>
      <c r="B384" s="6" t="s">
        <v>46</v>
      </c>
      <c r="C384" s="6" t="s">
        <v>47</v>
      </c>
      <c r="D384" s="6" t="s">
        <v>31</v>
      </c>
      <c r="E384" s="6" t="s">
        <v>25</v>
      </c>
      <c r="F384" s="6" t="s">
        <v>48</v>
      </c>
      <c r="G384" s="7">
        <f>Table2[[#This Row],[Unit price]]-10</f>
        <v>89.69</v>
      </c>
      <c r="H384" s="7">
        <v>99.69</v>
      </c>
      <c r="I384" s="8">
        <v>5</v>
      </c>
      <c r="J384" s="8">
        <f>Table2[[#This Row],[Unit price]]*Table2[[#This Row],[Quantity]]</f>
        <v>498.45</v>
      </c>
      <c r="K384" s="8">
        <f>Table2[[#This Row],[Unit Cost]]*Table2[[#This Row],[Quantity]]</f>
        <v>448.45</v>
      </c>
      <c r="L384" s="8">
        <f>Table2[[#This Row],[Gross Sales]]-Table2[[#This Row],[COGS]]</f>
        <v>50</v>
      </c>
      <c r="M384" s="9">
        <f t="shared" si="5"/>
        <v>0.10031096398836394</v>
      </c>
      <c r="N384" s="7">
        <v>24.922499999999999</v>
      </c>
      <c r="O384" s="7">
        <v>523.37249999999995</v>
      </c>
      <c r="P384" s="10">
        <v>43479</v>
      </c>
      <c r="Q384" s="10" t="str">
        <f>TEXT(Table2[[#This Row],[Date]],"mmm")</f>
        <v>Jan</v>
      </c>
      <c r="R384" s="11">
        <v>0.50624999999999998</v>
      </c>
      <c r="S384" s="6" t="s">
        <v>33</v>
      </c>
      <c r="T384" s="7">
        <v>9.9</v>
      </c>
      <c r="U384" s="6">
        <f>IF(_xlfn.XLOOKUP(A384,[1]Data2!$A:$A,[1]Data2!$B:$B,"no")="yes",1,0)</f>
        <v>0</v>
      </c>
    </row>
    <row r="385" spans="1:21" s="6" customFormat="1" x14ac:dyDescent="0.3">
      <c r="A385" s="6" t="s">
        <v>423</v>
      </c>
      <c r="B385" s="6" t="s">
        <v>29</v>
      </c>
      <c r="C385" s="6" t="s">
        <v>30</v>
      </c>
      <c r="D385" s="6" t="s">
        <v>24</v>
      </c>
      <c r="E385" s="6" t="s">
        <v>25</v>
      </c>
      <c r="F385" s="6" t="s">
        <v>48</v>
      </c>
      <c r="G385" s="7">
        <f>Table2[[#This Row],[Unit price]]-10</f>
        <v>64.89</v>
      </c>
      <c r="H385" s="7">
        <v>74.89</v>
      </c>
      <c r="I385" s="8">
        <v>4</v>
      </c>
      <c r="J385" s="8">
        <f>Table2[[#This Row],[Unit price]]*Table2[[#This Row],[Quantity]]</f>
        <v>299.56</v>
      </c>
      <c r="K385" s="8">
        <f>Table2[[#This Row],[Unit Cost]]*Table2[[#This Row],[Quantity]]</f>
        <v>259.56</v>
      </c>
      <c r="L385" s="8">
        <f>Table2[[#This Row],[Gross Sales]]-Table2[[#This Row],[COGS]]</f>
        <v>40</v>
      </c>
      <c r="M385" s="9">
        <f t="shared" si="5"/>
        <v>0.1335291761249833</v>
      </c>
      <c r="N385" s="7">
        <v>14.978</v>
      </c>
      <c r="O385" s="7">
        <v>314.53800000000001</v>
      </c>
      <c r="P385" s="10">
        <v>43525</v>
      </c>
      <c r="Q385" s="10" t="str">
        <f>TEXT(Table2[[#This Row],[Date]],"mmm")</f>
        <v>Mar</v>
      </c>
      <c r="R385" s="11">
        <v>0.64722222222222225</v>
      </c>
      <c r="S385" s="6" t="s">
        <v>27</v>
      </c>
      <c r="T385" s="7">
        <v>4.2</v>
      </c>
      <c r="U385" s="6">
        <f>IF(_xlfn.XLOOKUP(A385,[1]Data2!$A:$A,[1]Data2!$B:$B,"no")="yes",1,0)</f>
        <v>0</v>
      </c>
    </row>
    <row r="386" spans="1:21" s="6" customFormat="1" x14ac:dyDescent="0.3">
      <c r="A386" s="6" t="s">
        <v>424</v>
      </c>
      <c r="B386" s="6" t="s">
        <v>22</v>
      </c>
      <c r="C386" s="6" t="s">
        <v>23</v>
      </c>
      <c r="D386" s="6" t="s">
        <v>31</v>
      </c>
      <c r="E386" s="6" t="s">
        <v>25</v>
      </c>
      <c r="F386" s="6" t="s">
        <v>48</v>
      </c>
      <c r="G386" s="7">
        <f>Table2[[#This Row],[Unit price]]-10</f>
        <v>30.939999999999998</v>
      </c>
      <c r="H386" s="7">
        <v>40.94</v>
      </c>
      <c r="I386" s="8">
        <v>5</v>
      </c>
      <c r="J386" s="8">
        <f>Table2[[#This Row],[Unit price]]*Table2[[#This Row],[Quantity]]</f>
        <v>204.7</v>
      </c>
      <c r="K386" s="8">
        <f>Table2[[#This Row],[Unit Cost]]*Table2[[#This Row],[Quantity]]</f>
        <v>154.69999999999999</v>
      </c>
      <c r="L386" s="8">
        <f>Table2[[#This Row],[Gross Sales]]-Table2[[#This Row],[COGS]]</f>
        <v>50</v>
      </c>
      <c r="M386" s="9">
        <f t="shared" si="5"/>
        <v>0.24425989252564731</v>
      </c>
      <c r="N386" s="7">
        <v>10.234999999999999</v>
      </c>
      <c r="O386" s="7">
        <v>214.935</v>
      </c>
      <c r="P386" s="10">
        <v>43471</v>
      </c>
      <c r="Q386" s="10" t="str">
        <f>TEXT(Table2[[#This Row],[Date]],"mmm")</f>
        <v>Jan</v>
      </c>
      <c r="R386" s="11">
        <v>0.58194444444444449</v>
      </c>
      <c r="S386" s="6" t="s">
        <v>27</v>
      </c>
      <c r="T386" s="7">
        <v>9.9</v>
      </c>
      <c r="U386" s="6">
        <f>IF(_xlfn.XLOOKUP(A386,[1]Data2!$A:$A,[1]Data2!$B:$B,"no")="yes",1,0)</f>
        <v>1</v>
      </c>
    </row>
    <row r="387" spans="1:21" s="6" customFormat="1" x14ac:dyDescent="0.3">
      <c r="A387" s="6" t="s">
        <v>425</v>
      </c>
      <c r="B387" s="6" t="s">
        <v>46</v>
      </c>
      <c r="C387" s="6" t="s">
        <v>47</v>
      </c>
      <c r="D387" s="6" t="s">
        <v>24</v>
      </c>
      <c r="E387" s="6" t="s">
        <v>35</v>
      </c>
      <c r="F387" s="6" t="s">
        <v>40</v>
      </c>
      <c r="G387" s="7">
        <f>Table2[[#This Row],[Unit price]]-10</f>
        <v>65.819999999999993</v>
      </c>
      <c r="H387" s="7">
        <v>75.819999999999993</v>
      </c>
      <c r="I387" s="8">
        <v>1</v>
      </c>
      <c r="J387" s="8">
        <f>Table2[[#This Row],[Unit price]]*Table2[[#This Row],[Quantity]]</f>
        <v>75.819999999999993</v>
      </c>
      <c r="K387" s="8">
        <f>Table2[[#This Row],[Unit Cost]]*Table2[[#This Row],[Quantity]]</f>
        <v>65.819999999999993</v>
      </c>
      <c r="L387" s="8">
        <f>Table2[[#This Row],[Gross Sales]]-Table2[[#This Row],[COGS]]</f>
        <v>10</v>
      </c>
      <c r="M387" s="9">
        <f t="shared" ref="M387:M450" si="6">IFERROR(L387/J387,0)</f>
        <v>0.13189132155104194</v>
      </c>
      <c r="N387" s="7">
        <v>3.7909999999999999</v>
      </c>
      <c r="O387" s="7">
        <v>79.611000000000004</v>
      </c>
      <c r="P387" s="10">
        <v>43496</v>
      </c>
      <c r="Q387" s="10" t="str">
        <f>TEXT(Table2[[#This Row],[Date]],"mmm")</f>
        <v>Jan</v>
      </c>
      <c r="R387" s="11">
        <v>0.55486111111111114</v>
      </c>
      <c r="S387" s="6" t="s">
        <v>33</v>
      </c>
      <c r="T387" s="7">
        <v>5.8</v>
      </c>
      <c r="U387" s="6">
        <f>IF(_xlfn.XLOOKUP(A387,[1]Data2!$A:$A,[1]Data2!$B:$B,"no")="yes",1,0)</f>
        <v>0</v>
      </c>
    </row>
    <row r="388" spans="1:21" s="6" customFormat="1" x14ac:dyDescent="0.3">
      <c r="A388" s="6" t="s">
        <v>426</v>
      </c>
      <c r="B388" s="6" t="s">
        <v>29</v>
      </c>
      <c r="C388" s="6" t="s">
        <v>30</v>
      </c>
      <c r="D388" s="6" t="s">
        <v>31</v>
      </c>
      <c r="E388" s="6" t="s">
        <v>35</v>
      </c>
      <c r="F388" s="6" t="s">
        <v>48</v>
      </c>
      <c r="G388" s="7">
        <f>Table2[[#This Row],[Unit price]]-10</f>
        <v>36.770000000000003</v>
      </c>
      <c r="H388" s="7">
        <v>46.77</v>
      </c>
      <c r="I388" s="8">
        <v>6</v>
      </c>
      <c r="J388" s="8">
        <f>Table2[[#This Row],[Unit price]]*Table2[[#This Row],[Quantity]]</f>
        <v>280.62</v>
      </c>
      <c r="K388" s="8">
        <f>Table2[[#This Row],[Unit Cost]]*Table2[[#This Row],[Quantity]]</f>
        <v>220.62</v>
      </c>
      <c r="L388" s="8">
        <f>Table2[[#This Row],[Gross Sales]]-Table2[[#This Row],[COGS]]</f>
        <v>60</v>
      </c>
      <c r="M388" s="9">
        <f t="shared" si="6"/>
        <v>0.21381227282446011</v>
      </c>
      <c r="N388" s="7">
        <v>14.031000000000001</v>
      </c>
      <c r="O388" s="7">
        <v>294.65100000000001</v>
      </c>
      <c r="P388" s="10">
        <v>43535</v>
      </c>
      <c r="Q388" s="10" t="str">
        <f>TEXT(Table2[[#This Row],[Date]],"mmm")</f>
        <v>Mar</v>
      </c>
      <c r="R388" s="11">
        <v>0.56736111111111109</v>
      </c>
      <c r="S388" s="6" t="s">
        <v>33</v>
      </c>
      <c r="T388" s="7">
        <v>6</v>
      </c>
      <c r="U388" s="6">
        <f>IF(_xlfn.XLOOKUP(A388,[1]Data2!$A:$A,[1]Data2!$B:$B,"no")="yes",1,0)</f>
        <v>0</v>
      </c>
    </row>
    <row r="389" spans="1:21" s="6" customFormat="1" x14ac:dyDescent="0.3">
      <c r="A389" s="6" t="s">
        <v>427</v>
      </c>
      <c r="B389" s="6" t="s">
        <v>22</v>
      </c>
      <c r="C389" s="6" t="s">
        <v>23</v>
      </c>
      <c r="D389" s="6" t="s">
        <v>31</v>
      </c>
      <c r="E389" s="6" t="s">
        <v>25</v>
      </c>
      <c r="F389" s="6" t="s">
        <v>26</v>
      </c>
      <c r="G389" s="7">
        <f>Table2[[#This Row],[Unit price]]-10</f>
        <v>22.32</v>
      </c>
      <c r="H389" s="7">
        <v>32.32</v>
      </c>
      <c r="I389" s="8">
        <v>10</v>
      </c>
      <c r="J389" s="8">
        <f>Table2[[#This Row],[Unit price]]*Table2[[#This Row],[Quantity]]</f>
        <v>323.2</v>
      </c>
      <c r="K389" s="8">
        <f>Table2[[#This Row],[Unit Cost]]*Table2[[#This Row],[Quantity]]</f>
        <v>223.2</v>
      </c>
      <c r="L389" s="8">
        <f>Table2[[#This Row],[Gross Sales]]-Table2[[#This Row],[COGS]]</f>
        <v>100</v>
      </c>
      <c r="M389" s="9">
        <f t="shared" si="6"/>
        <v>0.3094059405940594</v>
      </c>
      <c r="N389" s="7">
        <v>16.16</v>
      </c>
      <c r="O389" s="7">
        <v>339.36</v>
      </c>
      <c r="P389" s="10">
        <v>43516</v>
      </c>
      <c r="Q389" s="10" t="str">
        <f>TEXT(Table2[[#This Row],[Date]],"mmm")</f>
        <v>Feb</v>
      </c>
      <c r="R389" s="11">
        <v>0.7006944444444444</v>
      </c>
      <c r="S389" s="6" t="s">
        <v>37</v>
      </c>
      <c r="T389" s="7">
        <v>10</v>
      </c>
      <c r="U389" s="6">
        <f>IF(_xlfn.XLOOKUP(A389,[1]Data2!$A:$A,[1]Data2!$B:$B,"no")="yes",1,0)</f>
        <v>0</v>
      </c>
    </row>
    <row r="390" spans="1:21" s="6" customFormat="1" x14ac:dyDescent="0.3">
      <c r="A390" s="6" t="s">
        <v>428</v>
      </c>
      <c r="B390" s="6" t="s">
        <v>29</v>
      </c>
      <c r="C390" s="6" t="s">
        <v>30</v>
      </c>
      <c r="D390" s="6" t="s">
        <v>24</v>
      </c>
      <c r="E390" s="6" t="s">
        <v>25</v>
      </c>
      <c r="F390" s="6" t="s">
        <v>50</v>
      </c>
      <c r="G390" s="7">
        <f>Table2[[#This Row],[Unit price]]-10</f>
        <v>44.07</v>
      </c>
      <c r="H390" s="7">
        <v>54.07</v>
      </c>
      <c r="I390" s="8">
        <v>9</v>
      </c>
      <c r="J390" s="8">
        <f>Table2[[#This Row],[Unit price]]*Table2[[#This Row],[Quantity]]</f>
        <v>486.63</v>
      </c>
      <c r="K390" s="8">
        <f>Table2[[#This Row],[Unit Cost]]*Table2[[#This Row],[Quantity]]</f>
        <v>396.63</v>
      </c>
      <c r="L390" s="8">
        <f>Table2[[#This Row],[Gross Sales]]-Table2[[#This Row],[COGS]]</f>
        <v>90</v>
      </c>
      <c r="M390" s="9">
        <f t="shared" si="6"/>
        <v>0.18494544109487701</v>
      </c>
      <c r="N390" s="7">
        <v>24.331499999999998</v>
      </c>
      <c r="O390" s="7">
        <v>510.9615</v>
      </c>
      <c r="P390" s="10">
        <v>43492</v>
      </c>
      <c r="Q390" s="10" t="str">
        <f>TEXT(Table2[[#This Row],[Date]],"mmm")</f>
        <v>Jan</v>
      </c>
      <c r="R390" s="11">
        <v>0.62152777777777779</v>
      </c>
      <c r="S390" s="6" t="s">
        <v>27</v>
      </c>
      <c r="T390" s="7">
        <v>9.5</v>
      </c>
      <c r="U390" s="6">
        <f>IF(_xlfn.XLOOKUP(A390,[1]Data2!$A:$A,[1]Data2!$B:$B,"no")="yes",1,0)</f>
        <v>1</v>
      </c>
    </row>
    <row r="391" spans="1:21" s="6" customFormat="1" x14ac:dyDescent="0.3">
      <c r="A391" s="6" t="s">
        <v>429</v>
      </c>
      <c r="B391" s="6" t="s">
        <v>46</v>
      </c>
      <c r="C391" s="6" t="s">
        <v>47</v>
      </c>
      <c r="D391" s="6" t="s">
        <v>31</v>
      </c>
      <c r="E391" s="6" t="s">
        <v>35</v>
      </c>
      <c r="F391" s="6" t="s">
        <v>48</v>
      </c>
      <c r="G391" s="7">
        <f>Table2[[#This Row],[Unit price]]-10</f>
        <v>8.2199999999999989</v>
      </c>
      <c r="H391" s="7">
        <v>18.22</v>
      </c>
      <c r="I391" s="8">
        <v>7</v>
      </c>
      <c r="J391" s="8">
        <f>Table2[[#This Row],[Unit price]]*Table2[[#This Row],[Quantity]]</f>
        <v>127.53999999999999</v>
      </c>
      <c r="K391" s="8">
        <f>Table2[[#This Row],[Unit Cost]]*Table2[[#This Row],[Quantity]]</f>
        <v>57.539999999999992</v>
      </c>
      <c r="L391" s="8">
        <f>Table2[[#This Row],[Gross Sales]]-Table2[[#This Row],[COGS]]</f>
        <v>70</v>
      </c>
      <c r="M391" s="9">
        <f t="shared" si="6"/>
        <v>0.54884742041712409</v>
      </c>
      <c r="N391" s="7">
        <v>6.3769999999999998</v>
      </c>
      <c r="O391" s="7">
        <v>133.917</v>
      </c>
      <c r="P391" s="10">
        <v>43534</v>
      </c>
      <c r="Q391" s="10" t="str">
        <f>TEXT(Table2[[#This Row],[Date]],"mmm")</f>
        <v>Mar</v>
      </c>
      <c r="R391" s="11">
        <v>0.58611111111111114</v>
      </c>
      <c r="S391" s="6" t="s">
        <v>37</v>
      </c>
      <c r="T391" s="7">
        <v>6.6</v>
      </c>
      <c r="U391" s="6">
        <f>IF(_xlfn.XLOOKUP(A391,[1]Data2!$A:$A,[1]Data2!$B:$B,"no")="yes",1,0)</f>
        <v>0</v>
      </c>
    </row>
    <row r="392" spans="1:21" s="6" customFormat="1" x14ac:dyDescent="0.3">
      <c r="A392" s="6" t="s">
        <v>430</v>
      </c>
      <c r="B392" s="6" t="s">
        <v>29</v>
      </c>
      <c r="C392" s="6" t="s">
        <v>30</v>
      </c>
      <c r="D392" s="6" t="s">
        <v>24</v>
      </c>
      <c r="E392" s="6" t="s">
        <v>25</v>
      </c>
      <c r="F392" s="6" t="s">
        <v>50</v>
      </c>
      <c r="G392" s="7">
        <f>Table2[[#This Row],[Unit price]]-10</f>
        <v>70.48</v>
      </c>
      <c r="H392" s="7">
        <v>80.48</v>
      </c>
      <c r="I392" s="8">
        <v>3</v>
      </c>
      <c r="J392" s="8">
        <f>Table2[[#This Row],[Unit price]]*Table2[[#This Row],[Quantity]]</f>
        <v>241.44</v>
      </c>
      <c r="K392" s="8">
        <f>Table2[[#This Row],[Unit Cost]]*Table2[[#This Row],[Quantity]]</f>
        <v>211.44</v>
      </c>
      <c r="L392" s="8">
        <f>Table2[[#This Row],[Gross Sales]]-Table2[[#This Row],[COGS]]</f>
        <v>30</v>
      </c>
      <c r="M392" s="9">
        <f t="shared" si="6"/>
        <v>0.1242544731610338</v>
      </c>
      <c r="N392" s="7">
        <v>12.071999999999999</v>
      </c>
      <c r="O392" s="7">
        <v>253.512</v>
      </c>
      <c r="P392" s="10">
        <v>43511</v>
      </c>
      <c r="Q392" s="10" t="str">
        <f>TEXT(Table2[[#This Row],[Date]],"mmm")</f>
        <v>Feb</v>
      </c>
      <c r="R392" s="11">
        <v>0.52152777777777781</v>
      </c>
      <c r="S392" s="6" t="s">
        <v>33</v>
      </c>
      <c r="T392" s="7">
        <v>8.1</v>
      </c>
      <c r="U392" s="6">
        <f>IF(_xlfn.XLOOKUP(A392,[1]Data2!$A:$A,[1]Data2!$B:$B,"no")="yes",1,0)</f>
        <v>0</v>
      </c>
    </row>
    <row r="393" spans="1:21" s="6" customFormat="1" x14ac:dyDescent="0.3">
      <c r="A393" s="6" t="s">
        <v>431</v>
      </c>
      <c r="B393" s="6" t="s">
        <v>46</v>
      </c>
      <c r="C393" s="6" t="s">
        <v>47</v>
      </c>
      <c r="D393" s="6" t="s">
        <v>31</v>
      </c>
      <c r="E393" s="6" t="s">
        <v>25</v>
      </c>
      <c r="F393" s="6" t="s">
        <v>50</v>
      </c>
      <c r="G393" s="7">
        <f>Table2[[#This Row],[Unit price]]-10</f>
        <v>27.950000000000003</v>
      </c>
      <c r="H393" s="7">
        <v>37.950000000000003</v>
      </c>
      <c r="I393" s="8">
        <v>10</v>
      </c>
      <c r="J393" s="8">
        <f>Table2[[#This Row],[Unit price]]*Table2[[#This Row],[Quantity]]</f>
        <v>379.5</v>
      </c>
      <c r="K393" s="8">
        <f>Table2[[#This Row],[Unit Cost]]*Table2[[#This Row],[Quantity]]</f>
        <v>279.5</v>
      </c>
      <c r="L393" s="8">
        <f>Table2[[#This Row],[Gross Sales]]-Table2[[#This Row],[COGS]]</f>
        <v>100</v>
      </c>
      <c r="M393" s="9">
        <f t="shared" si="6"/>
        <v>0.2635046113306983</v>
      </c>
      <c r="N393" s="7">
        <v>18.975000000000001</v>
      </c>
      <c r="O393" s="7">
        <v>398.47500000000002</v>
      </c>
      <c r="P393" s="10">
        <v>43491</v>
      </c>
      <c r="Q393" s="10" t="str">
        <f>TEXT(Table2[[#This Row],[Date]],"mmm")</f>
        <v>Jan</v>
      </c>
      <c r="R393" s="11">
        <v>0.61875000000000002</v>
      </c>
      <c r="S393" s="6" t="s">
        <v>33</v>
      </c>
      <c r="T393" s="7">
        <v>9.6999999999999993</v>
      </c>
      <c r="U393" s="6">
        <f>IF(_xlfn.XLOOKUP(A393,[1]Data2!$A:$A,[1]Data2!$B:$B,"no")="yes",1,0)</f>
        <v>0</v>
      </c>
    </row>
    <row r="394" spans="1:21" s="6" customFormat="1" x14ac:dyDescent="0.3">
      <c r="A394" s="6" t="s">
        <v>432</v>
      </c>
      <c r="B394" s="6" t="s">
        <v>22</v>
      </c>
      <c r="C394" s="6" t="s">
        <v>23</v>
      </c>
      <c r="D394" s="6" t="s">
        <v>24</v>
      </c>
      <c r="E394" s="6" t="s">
        <v>35</v>
      </c>
      <c r="F394" s="6" t="s">
        <v>32</v>
      </c>
      <c r="G394" s="7">
        <f>Table2[[#This Row],[Unit price]]-10</f>
        <v>66.819999999999993</v>
      </c>
      <c r="H394" s="7">
        <v>76.819999999999993</v>
      </c>
      <c r="I394" s="8">
        <v>1</v>
      </c>
      <c r="J394" s="8">
        <f>Table2[[#This Row],[Unit price]]*Table2[[#This Row],[Quantity]]</f>
        <v>76.819999999999993</v>
      </c>
      <c r="K394" s="8">
        <f>Table2[[#This Row],[Unit Cost]]*Table2[[#This Row],[Quantity]]</f>
        <v>66.819999999999993</v>
      </c>
      <c r="L394" s="8">
        <f>Table2[[#This Row],[Gross Sales]]-Table2[[#This Row],[COGS]]</f>
        <v>10</v>
      </c>
      <c r="M394" s="9">
        <f t="shared" si="6"/>
        <v>0.13017443374121324</v>
      </c>
      <c r="N394" s="7">
        <v>3.8410000000000002</v>
      </c>
      <c r="O394" s="7">
        <v>80.661000000000001</v>
      </c>
      <c r="P394" s="10">
        <v>43509</v>
      </c>
      <c r="Q394" s="10" t="str">
        <f>TEXT(Table2[[#This Row],[Date]],"mmm")</f>
        <v>Feb</v>
      </c>
      <c r="R394" s="11">
        <v>0.76874999999999993</v>
      </c>
      <c r="S394" s="6" t="s">
        <v>27</v>
      </c>
      <c r="T394" s="7">
        <v>7.2</v>
      </c>
      <c r="U394" s="6">
        <f>IF(_xlfn.XLOOKUP(A394,[1]Data2!$A:$A,[1]Data2!$B:$B,"no")="yes",1,0)</f>
        <v>1</v>
      </c>
    </row>
    <row r="395" spans="1:21" s="6" customFormat="1" x14ac:dyDescent="0.3">
      <c r="A395" s="6" t="s">
        <v>433</v>
      </c>
      <c r="B395" s="6" t="s">
        <v>22</v>
      </c>
      <c r="C395" s="6" t="s">
        <v>23</v>
      </c>
      <c r="D395" s="6" t="s">
        <v>24</v>
      </c>
      <c r="E395" s="6" t="s">
        <v>25</v>
      </c>
      <c r="F395" s="6" t="s">
        <v>40</v>
      </c>
      <c r="G395" s="7">
        <f>Table2[[#This Row],[Unit price]]-10</f>
        <v>42.26</v>
      </c>
      <c r="H395" s="7">
        <v>52.26</v>
      </c>
      <c r="I395" s="8">
        <v>10</v>
      </c>
      <c r="J395" s="8">
        <f>Table2[[#This Row],[Unit price]]*Table2[[#This Row],[Quantity]]</f>
        <v>522.6</v>
      </c>
      <c r="K395" s="8">
        <f>Table2[[#This Row],[Unit Cost]]*Table2[[#This Row],[Quantity]]</f>
        <v>422.59999999999997</v>
      </c>
      <c r="L395" s="8">
        <f>Table2[[#This Row],[Gross Sales]]-Table2[[#This Row],[COGS]]</f>
        <v>100.00000000000006</v>
      </c>
      <c r="M395" s="9">
        <f t="shared" si="6"/>
        <v>0.19135093761959443</v>
      </c>
      <c r="N395" s="7">
        <v>26.13</v>
      </c>
      <c r="O395" s="7">
        <v>548.73</v>
      </c>
      <c r="P395" s="10">
        <v>43533</v>
      </c>
      <c r="Q395" s="10" t="str">
        <f>TEXT(Table2[[#This Row],[Date]],"mmm")</f>
        <v>Mar</v>
      </c>
      <c r="R395" s="11">
        <v>0.53125</v>
      </c>
      <c r="S395" s="6" t="s">
        <v>37</v>
      </c>
      <c r="T395" s="7">
        <v>6.2</v>
      </c>
      <c r="U395" s="6">
        <f>IF(_xlfn.XLOOKUP(A395,[1]Data2!$A:$A,[1]Data2!$B:$B,"no")="yes",1,0)</f>
        <v>0</v>
      </c>
    </row>
    <row r="396" spans="1:21" s="6" customFormat="1" x14ac:dyDescent="0.3">
      <c r="A396" s="6" t="s">
        <v>434</v>
      </c>
      <c r="B396" s="6" t="s">
        <v>22</v>
      </c>
      <c r="C396" s="6" t="s">
        <v>23</v>
      </c>
      <c r="D396" s="6" t="s">
        <v>31</v>
      </c>
      <c r="E396" s="6" t="s">
        <v>25</v>
      </c>
      <c r="F396" s="6" t="s">
        <v>26</v>
      </c>
      <c r="G396" s="7">
        <f>Table2[[#This Row],[Unit price]]-10</f>
        <v>69.739999999999995</v>
      </c>
      <c r="H396" s="7">
        <v>79.739999999999995</v>
      </c>
      <c r="I396" s="8">
        <v>1</v>
      </c>
      <c r="J396" s="8">
        <f>Table2[[#This Row],[Unit price]]*Table2[[#This Row],[Quantity]]</f>
        <v>79.739999999999995</v>
      </c>
      <c r="K396" s="8">
        <f>Table2[[#This Row],[Unit Cost]]*Table2[[#This Row],[Quantity]]</f>
        <v>69.739999999999995</v>
      </c>
      <c r="L396" s="8">
        <f>Table2[[#This Row],[Gross Sales]]-Table2[[#This Row],[COGS]]</f>
        <v>10</v>
      </c>
      <c r="M396" s="9">
        <f t="shared" si="6"/>
        <v>0.1254075746175069</v>
      </c>
      <c r="N396" s="7">
        <v>3.9870000000000001</v>
      </c>
      <c r="O396" s="7">
        <v>83.727000000000004</v>
      </c>
      <c r="P396" s="10">
        <v>43530</v>
      </c>
      <c r="Q396" s="10" t="str">
        <f>TEXT(Table2[[#This Row],[Date]],"mmm")</f>
        <v>Mar</v>
      </c>
      <c r="R396" s="11">
        <v>0.44166666666666665</v>
      </c>
      <c r="S396" s="6" t="s">
        <v>27</v>
      </c>
      <c r="T396" s="7">
        <v>7.3</v>
      </c>
      <c r="U396" s="6">
        <f>IF(_xlfn.XLOOKUP(A396,[1]Data2!$A:$A,[1]Data2!$B:$B,"no")="yes",1,0)</f>
        <v>0</v>
      </c>
    </row>
    <row r="397" spans="1:21" s="6" customFormat="1" x14ac:dyDescent="0.3">
      <c r="A397" s="6" t="s">
        <v>435</v>
      </c>
      <c r="B397" s="6" t="s">
        <v>22</v>
      </c>
      <c r="C397" s="6" t="s">
        <v>23</v>
      </c>
      <c r="D397" s="6" t="s">
        <v>31</v>
      </c>
      <c r="E397" s="6" t="s">
        <v>25</v>
      </c>
      <c r="F397" s="6" t="s">
        <v>26</v>
      </c>
      <c r="G397" s="7">
        <f>Table2[[#This Row],[Unit price]]-10</f>
        <v>67.5</v>
      </c>
      <c r="H397" s="7">
        <v>77.5</v>
      </c>
      <c r="I397" s="8">
        <v>5</v>
      </c>
      <c r="J397" s="8">
        <f>Table2[[#This Row],[Unit price]]*Table2[[#This Row],[Quantity]]</f>
        <v>387.5</v>
      </c>
      <c r="K397" s="8">
        <f>Table2[[#This Row],[Unit Cost]]*Table2[[#This Row],[Quantity]]</f>
        <v>337.5</v>
      </c>
      <c r="L397" s="8">
        <f>Table2[[#This Row],[Gross Sales]]-Table2[[#This Row],[COGS]]</f>
        <v>50</v>
      </c>
      <c r="M397" s="9">
        <f t="shared" si="6"/>
        <v>0.12903225806451613</v>
      </c>
      <c r="N397" s="7">
        <v>19.375</v>
      </c>
      <c r="O397" s="7">
        <v>406.875</v>
      </c>
      <c r="P397" s="10">
        <v>43489</v>
      </c>
      <c r="Q397" s="10" t="str">
        <f>TEXT(Table2[[#This Row],[Date]],"mmm")</f>
        <v>Jan</v>
      </c>
      <c r="R397" s="11">
        <v>0.85833333333333339</v>
      </c>
      <c r="S397" s="6" t="s">
        <v>27</v>
      </c>
      <c r="T397" s="7">
        <v>4.3</v>
      </c>
      <c r="U397" s="6">
        <f>IF(_xlfn.XLOOKUP(A397,[1]Data2!$A:$A,[1]Data2!$B:$B,"no")="yes",1,0)</f>
        <v>0</v>
      </c>
    </row>
    <row r="398" spans="1:21" s="6" customFormat="1" x14ac:dyDescent="0.3">
      <c r="A398" s="6" t="s">
        <v>436</v>
      </c>
      <c r="B398" s="6" t="s">
        <v>22</v>
      </c>
      <c r="C398" s="6" t="s">
        <v>23</v>
      </c>
      <c r="D398" s="6" t="s">
        <v>31</v>
      </c>
      <c r="E398" s="6" t="s">
        <v>25</v>
      </c>
      <c r="F398" s="6" t="s">
        <v>48</v>
      </c>
      <c r="G398" s="7">
        <f>Table2[[#This Row],[Unit price]]-10</f>
        <v>44.27</v>
      </c>
      <c r="H398" s="7">
        <v>54.27</v>
      </c>
      <c r="I398" s="8">
        <v>5</v>
      </c>
      <c r="J398" s="8">
        <f>Table2[[#This Row],[Unit price]]*Table2[[#This Row],[Quantity]]</f>
        <v>271.35000000000002</v>
      </c>
      <c r="K398" s="8">
        <f>Table2[[#This Row],[Unit Cost]]*Table2[[#This Row],[Quantity]]</f>
        <v>221.35000000000002</v>
      </c>
      <c r="L398" s="8">
        <f>Table2[[#This Row],[Gross Sales]]-Table2[[#This Row],[COGS]]</f>
        <v>50</v>
      </c>
      <c r="M398" s="9">
        <f t="shared" si="6"/>
        <v>0.18426386585590565</v>
      </c>
      <c r="N398" s="7">
        <v>13.567500000000001</v>
      </c>
      <c r="O398" s="7">
        <v>284.91750000000002</v>
      </c>
      <c r="P398" s="10">
        <v>43537</v>
      </c>
      <c r="Q398" s="10" t="str">
        <f>TEXT(Table2[[#This Row],[Date]],"mmm")</f>
        <v>Mar</v>
      </c>
      <c r="R398" s="11">
        <v>0.59444444444444444</v>
      </c>
      <c r="S398" s="6" t="s">
        <v>27</v>
      </c>
      <c r="T398" s="7">
        <v>4.5999999999999996</v>
      </c>
      <c r="U398" s="6">
        <f>IF(_xlfn.XLOOKUP(A398,[1]Data2!$A:$A,[1]Data2!$B:$B,"no")="yes",1,0)</f>
        <v>1</v>
      </c>
    </row>
    <row r="399" spans="1:21" s="6" customFormat="1" x14ac:dyDescent="0.3">
      <c r="A399" s="6" t="s">
        <v>437</v>
      </c>
      <c r="B399" s="6" t="s">
        <v>46</v>
      </c>
      <c r="C399" s="6" t="s">
        <v>47</v>
      </c>
      <c r="D399" s="6" t="s">
        <v>31</v>
      </c>
      <c r="E399" s="6" t="s">
        <v>35</v>
      </c>
      <c r="F399" s="6" t="s">
        <v>36</v>
      </c>
      <c r="G399" s="7">
        <f>Table2[[#This Row],[Unit price]]-10</f>
        <v>3.59</v>
      </c>
      <c r="H399" s="7">
        <v>13.59</v>
      </c>
      <c r="I399" s="8">
        <v>9</v>
      </c>
      <c r="J399" s="8">
        <f>Table2[[#This Row],[Unit price]]*Table2[[#This Row],[Quantity]]</f>
        <v>122.31</v>
      </c>
      <c r="K399" s="8">
        <f>Table2[[#This Row],[Unit Cost]]*Table2[[#This Row],[Quantity]]</f>
        <v>32.31</v>
      </c>
      <c r="L399" s="8">
        <f>Table2[[#This Row],[Gross Sales]]-Table2[[#This Row],[COGS]]</f>
        <v>90</v>
      </c>
      <c r="M399" s="9">
        <f t="shared" si="6"/>
        <v>0.73583517292126566</v>
      </c>
      <c r="N399" s="7">
        <v>6.1154999999999999</v>
      </c>
      <c r="O399" s="7">
        <v>128.4255</v>
      </c>
      <c r="P399" s="10">
        <v>43539</v>
      </c>
      <c r="Q399" s="10" t="str">
        <f>TEXT(Table2[[#This Row],[Date]],"mmm")</f>
        <v>Mar</v>
      </c>
      <c r="R399" s="11">
        <v>0.43472222222222223</v>
      </c>
      <c r="S399" s="6" t="s">
        <v>33</v>
      </c>
      <c r="T399" s="7">
        <v>5.8</v>
      </c>
      <c r="U399" s="6">
        <f>IF(_xlfn.XLOOKUP(A399,[1]Data2!$A:$A,[1]Data2!$B:$B,"no")="yes",1,0)</f>
        <v>0</v>
      </c>
    </row>
    <row r="400" spans="1:21" s="6" customFormat="1" x14ac:dyDescent="0.3">
      <c r="A400" s="6" t="s">
        <v>438</v>
      </c>
      <c r="B400" s="6" t="s">
        <v>46</v>
      </c>
      <c r="C400" s="6" t="s">
        <v>47</v>
      </c>
      <c r="D400" s="6" t="s">
        <v>24</v>
      </c>
      <c r="E400" s="6" t="s">
        <v>25</v>
      </c>
      <c r="F400" s="6" t="s">
        <v>26</v>
      </c>
      <c r="G400" s="7">
        <f>Table2[[#This Row],[Unit price]]-10</f>
        <v>31.060000000000002</v>
      </c>
      <c r="H400" s="7">
        <v>41.06</v>
      </c>
      <c r="I400" s="8">
        <v>6</v>
      </c>
      <c r="J400" s="8">
        <f>Table2[[#This Row],[Unit price]]*Table2[[#This Row],[Quantity]]</f>
        <v>246.36</v>
      </c>
      <c r="K400" s="8">
        <f>Table2[[#This Row],[Unit Cost]]*Table2[[#This Row],[Quantity]]</f>
        <v>186.36</v>
      </c>
      <c r="L400" s="8">
        <f>Table2[[#This Row],[Gross Sales]]-Table2[[#This Row],[COGS]]</f>
        <v>60</v>
      </c>
      <c r="M400" s="9">
        <f t="shared" si="6"/>
        <v>0.24354603019970772</v>
      </c>
      <c r="N400" s="7">
        <v>12.318</v>
      </c>
      <c r="O400" s="7">
        <v>258.678</v>
      </c>
      <c r="P400" s="10">
        <v>43529</v>
      </c>
      <c r="Q400" s="10" t="str">
        <f>TEXT(Table2[[#This Row],[Date]],"mmm")</f>
        <v>Mar</v>
      </c>
      <c r="R400" s="11">
        <v>0.5625</v>
      </c>
      <c r="S400" s="6" t="s">
        <v>37</v>
      </c>
      <c r="T400" s="7">
        <v>8.3000000000000007</v>
      </c>
      <c r="U400" s="6">
        <f>IF(_xlfn.XLOOKUP(A400,[1]Data2!$A:$A,[1]Data2!$B:$B,"no")="yes",1,0)</f>
        <v>0</v>
      </c>
    </row>
    <row r="401" spans="1:21" s="6" customFormat="1" x14ac:dyDescent="0.3">
      <c r="A401" s="6" t="s">
        <v>439</v>
      </c>
      <c r="B401" s="6" t="s">
        <v>46</v>
      </c>
      <c r="C401" s="6" t="s">
        <v>47</v>
      </c>
      <c r="D401" s="6" t="s">
        <v>24</v>
      </c>
      <c r="E401" s="6" t="s">
        <v>35</v>
      </c>
      <c r="F401" s="6" t="s">
        <v>32</v>
      </c>
      <c r="G401" s="7">
        <f>Table2[[#This Row],[Unit price]]-10</f>
        <v>9.2399999999999984</v>
      </c>
      <c r="H401" s="7">
        <v>19.239999999999998</v>
      </c>
      <c r="I401" s="8">
        <v>9</v>
      </c>
      <c r="J401" s="8">
        <f>Table2[[#This Row],[Unit price]]*Table2[[#This Row],[Quantity]]</f>
        <v>173.16</v>
      </c>
      <c r="K401" s="8">
        <f>Table2[[#This Row],[Unit Cost]]*Table2[[#This Row],[Quantity]]</f>
        <v>83.159999999999982</v>
      </c>
      <c r="L401" s="8">
        <f>Table2[[#This Row],[Gross Sales]]-Table2[[#This Row],[COGS]]</f>
        <v>90.000000000000014</v>
      </c>
      <c r="M401" s="9">
        <f t="shared" si="6"/>
        <v>0.51975051975051989</v>
      </c>
      <c r="N401" s="7">
        <v>8.6579999999999995</v>
      </c>
      <c r="O401" s="7">
        <v>181.81800000000001</v>
      </c>
      <c r="P401" s="10">
        <v>43528</v>
      </c>
      <c r="Q401" s="10" t="str">
        <f>TEXT(Table2[[#This Row],[Date]],"mmm")</f>
        <v>Mar</v>
      </c>
      <c r="R401" s="11">
        <v>0.68611111111111101</v>
      </c>
      <c r="S401" s="6" t="s">
        <v>33</v>
      </c>
      <c r="T401" s="7">
        <v>8</v>
      </c>
      <c r="U401" s="6">
        <f>IF(_xlfn.XLOOKUP(A401,[1]Data2!$A:$A,[1]Data2!$B:$B,"no")="yes",1,0)</f>
        <v>0</v>
      </c>
    </row>
    <row r="402" spans="1:21" s="6" customFormat="1" x14ac:dyDescent="0.3">
      <c r="A402" s="6" t="s">
        <v>440</v>
      </c>
      <c r="B402" s="6" t="s">
        <v>29</v>
      </c>
      <c r="C402" s="6" t="s">
        <v>30</v>
      </c>
      <c r="D402" s="6" t="s">
        <v>31</v>
      </c>
      <c r="E402" s="6" t="s">
        <v>25</v>
      </c>
      <c r="F402" s="6" t="s">
        <v>48</v>
      </c>
      <c r="G402" s="7">
        <f>Table2[[#This Row],[Unit price]]-10</f>
        <v>29.43</v>
      </c>
      <c r="H402" s="7">
        <v>39.43</v>
      </c>
      <c r="I402" s="8">
        <v>6</v>
      </c>
      <c r="J402" s="8">
        <f>Table2[[#This Row],[Unit price]]*Table2[[#This Row],[Quantity]]</f>
        <v>236.57999999999998</v>
      </c>
      <c r="K402" s="8">
        <f>Table2[[#This Row],[Unit Cost]]*Table2[[#This Row],[Quantity]]</f>
        <v>176.57999999999998</v>
      </c>
      <c r="L402" s="8">
        <f>Table2[[#This Row],[Gross Sales]]-Table2[[#This Row],[COGS]]</f>
        <v>60</v>
      </c>
      <c r="M402" s="9">
        <f t="shared" si="6"/>
        <v>0.25361399949277202</v>
      </c>
      <c r="N402" s="7">
        <v>11.829000000000001</v>
      </c>
      <c r="O402" s="7">
        <v>248.40899999999999</v>
      </c>
      <c r="P402" s="10">
        <v>43549</v>
      </c>
      <c r="Q402" s="10" t="str">
        <f>TEXT(Table2[[#This Row],[Date]],"mmm")</f>
        <v>Mar</v>
      </c>
      <c r="R402" s="11">
        <v>0.84583333333333333</v>
      </c>
      <c r="S402" s="6" t="s">
        <v>37</v>
      </c>
      <c r="T402" s="7">
        <v>9.4</v>
      </c>
      <c r="U402" s="6">
        <f>IF(_xlfn.XLOOKUP(A402,[1]Data2!$A:$A,[1]Data2!$B:$B,"no")="yes",1,0)</f>
        <v>1</v>
      </c>
    </row>
    <row r="403" spans="1:21" s="6" customFormat="1" x14ac:dyDescent="0.3">
      <c r="A403" s="6" t="s">
        <v>441</v>
      </c>
      <c r="B403" s="6" t="s">
        <v>29</v>
      </c>
      <c r="C403" s="6" t="s">
        <v>30</v>
      </c>
      <c r="D403" s="6" t="s">
        <v>31</v>
      </c>
      <c r="E403" s="6" t="s">
        <v>35</v>
      </c>
      <c r="F403" s="6" t="s">
        <v>36</v>
      </c>
      <c r="G403" s="7">
        <f>Table2[[#This Row],[Unit price]]-10</f>
        <v>36.22</v>
      </c>
      <c r="H403" s="7">
        <v>46.22</v>
      </c>
      <c r="I403" s="8">
        <v>4</v>
      </c>
      <c r="J403" s="8">
        <f>Table2[[#This Row],[Unit price]]*Table2[[#This Row],[Quantity]]</f>
        <v>184.88</v>
      </c>
      <c r="K403" s="8">
        <f>Table2[[#This Row],[Unit Cost]]*Table2[[#This Row],[Quantity]]</f>
        <v>144.88</v>
      </c>
      <c r="L403" s="8">
        <f>Table2[[#This Row],[Gross Sales]]-Table2[[#This Row],[COGS]]</f>
        <v>40</v>
      </c>
      <c r="M403" s="9">
        <f t="shared" si="6"/>
        <v>0.21635655560363479</v>
      </c>
      <c r="N403" s="7">
        <v>9.2439999999999998</v>
      </c>
      <c r="O403" s="7">
        <v>194.124</v>
      </c>
      <c r="P403" s="10">
        <v>43536</v>
      </c>
      <c r="Q403" s="10" t="str">
        <f>TEXT(Table2[[#This Row],[Date]],"mmm")</f>
        <v>Mar</v>
      </c>
      <c r="R403" s="11">
        <v>0.83611111111111114</v>
      </c>
      <c r="S403" s="6" t="s">
        <v>37</v>
      </c>
      <c r="T403" s="7">
        <v>6.2</v>
      </c>
      <c r="U403" s="6">
        <f>IF(_xlfn.XLOOKUP(A403,[1]Data2!$A:$A,[1]Data2!$B:$B,"no")="yes",1,0)</f>
        <v>0</v>
      </c>
    </row>
    <row r="404" spans="1:21" s="6" customFormat="1" x14ac:dyDescent="0.3">
      <c r="A404" s="6" t="s">
        <v>442</v>
      </c>
      <c r="B404" s="6" t="s">
        <v>29</v>
      </c>
      <c r="C404" s="6" t="s">
        <v>30</v>
      </c>
      <c r="D404" s="6" t="s">
        <v>24</v>
      </c>
      <c r="E404" s="6" t="s">
        <v>35</v>
      </c>
      <c r="F404" s="6" t="s">
        <v>36</v>
      </c>
      <c r="G404" s="7">
        <f>Table2[[#This Row],[Unit price]]-10</f>
        <v>3.9800000000000004</v>
      </c>
      <c r="H404" s="7">
        <v>13.98</v>
      </c>
      <c r="I404" s="8">
        <v>1</v>
      </c>
      <c r="J404" s="8">
        <f>Table2[[#This Row],[Unit price]]*Table2[[#This Row],[Quantity]]</f>
        <v>13.98</v>
      </c>
      <c r="K404" s="8">
        <f>Table2[[#This Row],[Unit Cost]]*Table2[[#This Row],[Quantity]]</f>
        <v>3.9800000000000004</v>
      </c>
      <c r="L404" s="8">
        <f>Table2[[#This Row],[Gross Sales]]-Table2[[#This Row],[COGS]]</f>
        <v>10</v>
      </c>
      <c r="M404" s="9">
        <f t="shared" si="6"/>
        <v>0.71530758226037194</v>
      </c>
      <c r="N404" s="7">
        <v>0.69899999999999995</v>
      </c>
      <c r="O404" s="7">
        <v>14.679</v>
      </c>
      <c r="P404" s="10">
        <v>43500</v>
      </c>
      <c r="Q404" s="10" t="str">
        <f>TEXT(Table2[[#This Row],[Date]],"mmm")</f>
        <v>Feb</v>
      </c>
      <c r="R404" s="11">
        <v>0.56805555555555554</v>
      </c>
      <c r="S404" s="6" t="s">
        <v>27</v>
      </c>
      <c r="T404" s="7">
        <v>9.8000000000000007</v>
      </c>
      <c r="U404" s="6">
        <f>IF(_xlfn.XLOOKUP(A404,[1]Data2!$A:$A,[1]Data2!$B:$B,"no")="yes",1,0)</f>
        <v>0</v>
      </c>
    </row>
    <row r="405" spans="1:21" s="6" customFormat="1" x14ac:dyDescent="0.3">
      <c r="A405" s="6" t="s">
        <v>443</v>
      </c>
      <c r="B405" s="6" t="s">
        <v>46</v>
      </c>
      <c r="C405" s="6" t="s">
        <v>47</v>
      </c>
      <c r="D405" s="6" t="s">
        <v>31</v>
      </c>
      <c r="E405" s="6" t="s">
        <v>25</v>
      </c>
      <c r="F405" s="6" t="s">
        <v>50</v>
      </c>
      <c r="G405" s="7">
        <f>Table2[[#This Row],[Unit price]]-10</f>
        <v>29.75</v>
      </c>
      <c r="H405" s="7">
        <v>39.75</v>
      </c>
      <c r="I405" s="8">
        <v>5</v>
      </c>
      <c r="J405" s="8">
        <f>Table2[[#This Row],[Unit price]]*Table2[[#This Row],[Quantity]]</f>
        <v>198.75</v>
      </c>
      <c r="K405" s="8">
        <f>Table2[[#This Row],[Unit Cost]]*Table2[[#This Row],[Quantity]]</f>
        <v>148.75</v>
      </c>
      <c r="L405" s="8">
        <f>Table2[[#This Row],[Gross Sales]]-Table2[[#This Row],[COGS]]</f>
        <v>50</v>
      </c>
      <c r="M405" s="9">
        <f t="shared" si="6"/>
        <v>0.25157232704402516</v>
      </c>
      <c r="N405" s="7">
        <v>9.9375</v>
      </c>
      <c r="O405" s="7">
        <v>208.6875</v>
      </c>
      <c r="P405" s="10">
        <v>43518</v>
      </c>
      <c r="Q405" s="10" t="str">
        <f>TEXT(Table2[[#This Row],[Date]],"mmm")</f>
        <v>Feb</v>
      </c>
      <c r="R405" s="11">
        <v>0.4465277777777778</v>
      </c>
      <c r="S405" s="6" t="s">
        <v>27</v>
      </c>
      <c r="T405" s="7">
        <v>9.6</v>
      </c>
      <c r="U405" s="6">
        <f>IF(_xlfn.XLOOKUP(A405,[1]Data2!$A:$A,[1]Data2!$B:$B,"no")="yes",1,0)</f>
        <v>0</v>
      </c>
    </row>
    <row r="406" spans="1:21" s="6" customFormat="1" x14ac:dyDescent="0.3">
      <c r="A406" s="6" t="s">
        <v>444</v>
      </c>
      <c r="B406" s="6" t="s">
        <v>29</v>
      </c>
      <c r="C406" s="6" t="s">
        <v>30</v>
      </c>
      <c r="D406" s="6" t="s">
        <v>24</v>
      </c>
      <c r="E406" s="6" t="s">
        <v>25</v>
      </c>
      <c r="F406" s="6" t="s">
        <v>50</v>
      </c>
      <c r="G406" s="7">
        <f>Table2[[#This Row],[Unit price]]-10</f>
        <v>87.79</v>
      </c>
      <c r="H406" s="7">
        <v>97.79</v>
      </c>
      <c r="I406" s="8">
        <v>7</v>
      </c>
      <c r="J406" s="8">
        <f>Table2[[#This Row],[Unit price]]*Table2[[#This Row],[Quantity]]</f>
        <v>684.53000000000009</v>
      </c>
      <c r="K406" s="8">
        <f>Table2[[#This Row],[Unit Cost]]*Table2[[#This Row],[Quantity]]</f>
        <v>614.53000000000009</v>
      </c>
      <c r="L406" s="8">
        <f>Table2[[#This Row],[Gross Sales]]-Table2[[#This Row],[COGS]]</f>
        <v>70</v>
      </c>
      <c r="M406" s="9">
        <f t="shared" si="6"/>
        <v>0.10225994477962981</v>
      </c>
      <c r="N406" s="7">
        <v>34.226500000000001</v>
      </c>
      <c r="O406" s="7">
        <v>718.75649999999996</v>
      </c>
      <c r="P406" s="10">
        <v>43512</v>
      </c>
      <c r="Q406" s="10" t="str">
        <f>TEXT(Table2[[#This Row],[Date]],"mmm")</f>
        <v>Feb</v>
      </c>
      <c r="R406" s="11">
        <v>0.72916666666666663</v>
      </c>
      <c r="S406" s="6" t="s">
        <v>27</v>
      </c>
      <c r="T406" s="7">
        <v>4.9000000000000004</v>
      </c>
      <c r="U406" s="6">
        <f>IF(_xlfn.XLOOKUP(A406,[1]Data2!$A:$A,[1]Data2!$B:$B,"no")="yes",1,0)</f>
        <v>1</v>
      </c>
    </row>
    <row r="407" spans="1:21" s="6" customFormat="1" x14ac:dyDescent="0.3">
      <c r="A407" s="6" t="s">
        <v>445</v>
      </c>
      <c r="B407" s="6" t="s">
        <v>22</v>
      </c>
      <c r="C407" s="6" t="s">
        <v>23</v>
      </c>
      <c r="D407" s="6" t="s">
        <v>24</v>
      </c>
      <c r="E407" s="6" t="s">
        <v>35</v>
      </c>
      <c r="F407" s="6" t="s">
        <v>40</v>
      </c>
      <c r="G407" s="7">
        <f>Table2[[#This Row],[Unit price]]-10</f>
        <v>57.260000000000005</v>
      </c>
      <c r="H407" s="7">
        <v>67.260000000000005</v>
      </c>
      <c r="I407" s="8">
        <v>4</v>
      </c>
      <c r="J407" s="8">
        <f>Table2[[#This Row],[Unit price]]*Table2[[#This Row],[Quantity]]</f>
        <v>269.04000000000002</v>
      </c>
      <c r="K407" s="8">
        <f>Table2[[#This Row],[Unit Cost]]*Table2[[#This Row],[Quantity]]</f>
        <v>229.04000000000002</v>
      </c>
      <c r="L407" s="8">
        <f>Table2[[#This Row],[Gross Sales]]-Table2[[#This Row],[COGS]]</f>
        <v>40</v>
      </c>
      <c r="M407" s="9">
        <f t="shared" si="6"/>
        <v>0.14867677668748142</v>
      </c>
      <c r="N407" s="7">
        <v>13.452</v>
      </c>
      <c r="O407" s="7">
        <v>282.49200000000002</v>
      </c>
      <c r="P407" s="10">
        <v>43484</v>
      </c>
      <c r="Q407" s="10" t="str">
        <f>TEXT(Table2[[#This Row],[Date]],"mmm")</f>
        <v>Jan</v>
      </c>
      <c r="R407" s="11">
        <v>0.64444444444444449</v>
      </c>
      <c r="S407" s="6" t="s">
        <v>37</v>
      </c>
      <c r="T407" s="7">
        <v>8</v>
      </c>
      <c r="U407" s="6">
        <f>IF(_xlfn.XLOOKUP(A407,[1]Data2!$A:$A,[1]Data2!$B:$B,"no")="yes",1,0)</f>
        <v>0</v>
      </c>
    </row>
    <row r="408" spans="1:21" s="6" customFormat="1" x14ac:dyDescent="0.3">
      <c r="A408" s="6" t="s">
        <v>446</v>
      </c>
      <c r="B408" s="6" t="s">
        <v>22</v>
      </c>
      <c r="C408" s="6" t="s">
        <v>23</v>
      </c>
      <c r="D408" s="6" t="s">
        <v>31</v>
      </c>
      <c r="E408" s="6" t="s">
        <v>35</v>
      </c>
      <c r="F408" s="6" t="s">
        <v>48</v>
      </c>
      <c r="G408" s="7">
        <f>Table2[[#This Row],[Unit price]]-10</f>
        <v>3.7899999999999991</v>
      </c>
      <c r="H408" s="7">
        <v>13.79</v>
      </c>
      <c r="I408" s="8">
        <v>5</v>
      </c>
      <c r="J408" s="8">
        <f>Table2[[#This Row],[Unit price]]*Table2[[#This Row],[Quantity]]</f>
        <v>68.949999999999989</v>
      </c>
      <c r="K408" s="8">
        <f>Table2[[#This Row],[Unit Cost]]*Table2[[#This Row],[Quantity]]</f>
        <v>18.949999999999996</v>
      </c>
      <c r="L408" s="8">
        <f>Table2[[#This Row],[Gross Sales]]-Table2[[#This Row],[COGS]]</f>
        <v>49.999999999999993</v>
      </c>
      <c r="M408" s="9">
        <f t="shared" si="6"/>
        <v>0.72516316171138506</v>
      </c>
      <c r="N408" s="7">
        <v>3.4474999999999998</v>
      </c>
      <c r="O408" s="7">
        <v>72.397499999999994</v>
      </c>
      <c r="P408" s="10">
        <v>43476</v>
      </c>
      <c r="Q408" s="10" t="str">
        <f>TEXT(Table2[[#This Row],[Date]],"mmm")</f>
        <v>Jan</v>
      </c>
      <c r="R408" s="11">
        <v>0.79652777777777783</v>
      </c>
      <c r="S408" s="6" t="s">
        <v>37</v>
      </c>
      <c r="T408" s="7">
        <v>7.8</v>
      </c>
      <c r="U408" s="6">
        <f>IF(_xlfn.XLOOKUP(A408,[1]Data2!$A:$A,[1]Data2!$B:$B,"no")="yes",1,0)</f>
        <v>0</v>
      </c>
    </row>
    <row r="409" spans="1:21" s="6" customFormat="1" x14ac:dyDescent="0.3">
      <c r="A409" s="6" t="s">
        <v>447</v>
      </c>
      <c r="B409" s="6" t="s">
        <v>46</v>
      </c>
      <c r="C409" s="6" t="s">
        <v>47</v>
      </c>
      <c r="D409" s="6" t="s">
        <v>24</v>
      </c>
      <c r="E409" s="6" t="s">
        <v>25</v>
      </c>
      <c r="F409" s="6" t="s">
        <v>50</v>
      </c>
      <c r="G409" s="7">
        <f>Table2[[#This Row],[Unit price]]-10</f>
        <v>58.709999999999994</v>
      </c>
      <c r="H409" s="7">
        <v>68.709999999999994</v>
      </c>
      <c r="I409" s="8">
        <v>4</v>
      </c>
      <c r="J409" s="8">
        <f>Table2[[#This Row],[Unit price]]*Table2[[#This Row],[Quantity]]</f>
        <v>274.83999999999997</v>
      </c>
      <c r="K409" s="8">
        <f>Table2[[#This Row],[Unit Cost]]*Table2[[#This Row],[Quantity]]</f>
        <v>234.83999999999997</v>
      </c>
      <c r="L409" s="8">
        <f>Table2[[#This Row],[Gross Sales]]-Table2[[#This Row],[COGS]]</f>
        <v>40</v>
      </c>
      <c r="M409" s="9">
        <f t="shared" si="6"/>
        <v>0.14553922282055015</v>
      </c>
      <c r="N409" s="7">
        <v>13.742000000000001</v>
      </c>
      <c r="O409" s="7">
        <v>288.58199999999999</v>
      </c>
      <c r="P409" s="10">
        <v>43469</v>
      </c>
      <c r="Q409" s="10" t="str">
        <f>TEXT(Table2[[#This Row],[Date]],"mmm")</f>
        <v>Jan</v>
      </c>
      <c r="R409" s="11">
        <v>0.79236111111111107</v>
      </c>
      <c r="S409" s="6" t="s">
        <v>33</v>
      </c>
      <c r="T409" s="7">
        <v>4.0999999999999996</v>
      </c>
      <c r="U409" s="6">
        <f>IF(_xlfn.XLOOKUP(A409,[1]Data2!$A:$A,[1]Data2!$B:$B,"no")="yes",1,0)</f>
        <v>0</v>
      </c>
    </row>
    <row r="410" spans="1:21" s="6" customFormat="1" x14ac:dyDescent="0.3">
      <c r="A410" s="6" t="s">
        <v>448</v>
      </c>
      <c r="B410" s="6" t="s">
        <v>22</v>
      </c>
      <c r="C410" s="6" t="s">
        <v>23</v>
      </c>
      <c r="D410" s="6" t="s">
        <v>31</v>
      </c>
      <c r="E410" s="6" t="s">
        <v>25</v>
      </c>
      <c r="F410" s="6" t="s">
        <v>36</v>
      </c>
      <c r="G410" s="7">
        <f>Table2[[#This Row],[Unit price]]-10</f>
        <v>46.53</v>
      </c>
      <c r="H410" s="7">
        <v>56.53</v>
      </c>
      <c r="I410" s="8">
        <v>4</v>
      </c>
      <c r="J410" s="8">
        <f>Table2[[#This Row],[Unit price]]*Table2[[#This Row],[Quantity]]</f>
        <v>226.12</v>
      </c>
      <c r="K410" s="8">
        <f>Table2[[#This Row],[Unit Cost]]*Table2[[#This Row],[Quantity]]</f>
        <v>186.12</v>
      </c>
      <c r="L410" s="8">
        <f>Table2[[#This Row],[Gross Sales]]-Table2[[#This Row],[COGS]]</f>
        <v>40</v>
      </c>
      <c r="M410" s="9">
        <f t="shared" si="6"/>
        <v>0.17689722271360339</v>
      </c>
      <c r="N410" s="7">
        <v>11.305999999999999</v>
      </c>
      <c r="O410" s="7">
        <v>237.42599999999999</v>
      </c>
      <c r="P410" s="10">
        <v>43528</v>
      </c>
      <c r="Q410" s="10" t="str">
        <f>TEXT(Table2[[#This Row],[Date]],"mmm")</f>
        <v>Mar</v>
      </c>
      <c r="R410" s="11">
        <v>0.82500000000000007</v>
      </c>
      <c r="S410" s="6" t="s">
        <v>27</v>
      </c>
      <c r="T410" s="7">
        <v>5.5</v>
      </c>
      <c r="U410" s="6">
        <f>IF(_xlfn.XLOOKUP(A410,[1]Data2!$A:$A,[1]Data2!$B:$B,"no")="yes",1,0)</f>
        <v>1</v>
      </c>
    </row>
    <row r="411" spans="1:21" s="6" customFormat="1" x14ac:dyDescent="0.3">
      <c r="A411" s="6" t="s">
        <v>449</v>
      </c>
      <c r="B411" s="6" t="s">
        <v>29</v>
      </c>
      <c r="C411" s="6" t="s">
        <v>30</v>
      </c>
      <c r="D411" s="6" t="s">
        <v>31</v>
      </c>
      <c r="E411" s="6" t="s">
        <v>25</v>
      </c>
      <c r="F411" s="6" t="s">
        <v>50</v>
      </c>
      <c r="G411" s="7">
        <f>Table2[[#This Row],[Unit price]]-10</f>
        <v>13.82</v>
      </c>
      <c r="H411" s="7">
        <v>23.82</v>
      </c>
      <c r="I411" s="8">
        <v>5</v>
      </c>
      <c r="J411" s="8">
        <f>Table2[[#This Row],[Unit price]]*Table2[[#This Row],[Quantity]]</f>
        <v>119.1</v>
      </c>
      <c r="K411" s="8">
        <f>Table2[[#This Row],[Unit Cost]]*Table2[[#This Row],[Quantity]]</f>
        <v>69.099999999999994</v>
      </c>
      <c r="L411" s="8">
        <f>Table2[[#This Row],[Gross Sales]]-Table2[[#This Row],[COGS]]</f>
        <v>50</v>
      </c>
      <c r="M411" s="9">
        <f t="shared" si="6"/>
        <v>0.41981528127623846</v>
      </c>
      <c r="N411" s="7">
        <v>5.9550000000000001</v>
      </c>
      <c r="O411" s="7">
        <v>125.05500000000001</v>
      </c>
      <c r="P411" s="10">
        <v>43493</v>
      </c>
      <c r="Q411" s="10" t="str">
        <f>TEXT(Table2[[#This Row],[Date]],"mmm")</f>
        <v>Jan</v>
      </c>
      <c r="R411" s="11">
        <v>0.80833333333333324</v>
      </c>
      <c r="S411" s="6" t="s">
        <v>27</v>
      </c>
      <c r="T411" s="7">
        <v>5.4</v>
      </c>
      <c r="U411" s="6">
        <f>IF(_xlfn.XLOOKUP(A411,[1]Data2!$A:$A,[1]Data2!$B:$B,"no")="yes",1,0)</f>
        <v>0</v>
      </c>
    </row>
    <row r="412" spans="1:21" s="6" customFormat="1" x14ac:dyDescent="0.3">
      <c r="A412" s="6" t="s">
        <v>450</v>
      </c>
      <c r="B412" s="6" t="s">
        <v>46</v>
      </c>
      <c r="C412" s="6" t="s">
        <v>47</v>
      </c>
      <c r="D412" s="6" t="s">
        <v>31</v>
      </c>
      <c r="E412" s="6" t="s">
        <v>25</v>
      </c>
      <c r="F412" s="6" t="s">
        <v>26</v>
      </c>
      <c r="G412" s="7">
        <f>Table2[[#This Row],[Unit price]]-10</f>
        <v>24.21</v>
      </c>
      <c r="H412" s="7">
        <v>34.21</v>
      </c>
      <c r="I412" s="8">
        <v>10</v>
      </c>
      <c r="J412" s="8">
        <f>Table2[[#This Row],[Unit price]]*Table2[[#This Row],[Quantity]]</f>
        <v>342.1</v>
      </c>
      <c r="K412" s="8">
        <f>Table2[[#This Row],[Unit Cost]]*Table2[[#This Row],[Quantity]]</f>
        <v>242.10000000000002</v>
      </c>
      <c r="L412" s="8">
        <f>Table2[[#This Row],[Gross Sales]]-Table2[[#This Row],[COGS]]</f>
        <v>100</v>
      </c>
      <c r="M412" s="9">
        <f t="shared" si="6"/>
        <v>0.29231218941829873</v>
      </c>
      <c r="N412" s="7">
        <v>17.105</v>
      </c>
      <c r="O412" s="7">
        <v>359.20499999999998</v>
      </c>
      <c r="P412" s="10">
        <v>43467</v>
      </c>
      <c r="Q412" s="10" t="str">
        <f>TEXT(Table2[[#This Row],[Date]],"mmm")</f>
        <v>Jan</v>
      </c>
      <c r="R412" s="11">
        <v>0.54166666666666663</v>
      </c>
      <c r="S412" s="6" t="s">
        <v>33</v>
      </c>
      <c r="T412" s="7">
        <v>5.0999999999999996</v>
      </c>
      <c r="U412" s="6">
        <f>IF(_xlfn.XLOOKUP(A412,[1]Data2!$A:$A,[1]Data2!$B:$B,"no")="yes",1,0)</f>
        <v>0</v>
      </c>
    </row>
    <row r="413" spans="1:21" s="6" customFormat="1" x14ac:dyDescent="0.3">
      <c r="A413" s="6" t="s">
        <v>451</v>
      </c>
      <c r="B413" s="6" t="s">
        <v>46</v>
      </c>
      <c r="C413" s="6" t="s">
        <v>47</v>
      </c>
      <c r="D413" s="6" t="s">
        <v>31</v>
      </c>
      <c r="E413" s="6" t="s">
        <v>35</v>
      </c>
      <c r="F413" s="6" t="s">
        <v>40</v>
      </c>
      <c r="G413" s="7">
        <f>Table2[[#This Row],[Unit price]]-10</f>
        <v>11.870000000000001</v>
      </c>
      <c r="H413" s="7">
        <v>21.87</v>
      </c>
      <c r="I413" s="8">
        <v>2</v>
      </c>
      <c r="J413" s="8">
        <f>Table2[[#This Row],[Unit price]]*Table2[[#This Row],[Quantity]]</f>
        <v>43.74</v>
      </c>
      <c r="K413" s="8">
        <f>Table2[[#This Row],[Unit Cost]]*Table2[[#This Row],[Quantity]]</f>
        <v>23.740000000000002</v>
      </c>
      <c r="L413" s="8">
        <f>Table2[[#This Row],[Gross Sales]]-Table2[[#This Row],[COGS]]</f>
        <v>20</v>
      </c>
      <c r="M413" s="9">
        <f t="shared" si="6"/>
        <v>0.45724737082761774</v>
      </c>
      <c r="N413" s="7">
        <v>2.1869999999999998</v>
      </c>
      <c r="O413" s="7">
        <v>45.927</v>
      </c>
      <c r="P413" s="10">
        <v>43490</v>
      </c>
      <c r="Q413" s="10" t="str">
        <f>TEXT(Table2[[#This Row],[Date]],"mmm")</f>
        <v>Jan</v>
      </c>
      <c r="R413" s="11">
        <v>0.60347222222222219</v>
      </c>
      <c r="S413" s="6" t="s">
        <v>27</v>
      </c>
      <c r="T413" s="7">
        <v>6.9</v>
      </c>
      <c r="U413" s="6">
        <f>IF(_xlfn.XLOOKUP(A413,[1]Data2!$A:$A,[1]Data2!$B:$B,"no")="yes",1,0)</f>
        <v>0</v>
      </c>
    </row>
    <row r="414" spans="1:21" s="6" customFormat="1" x14ac:dyDescent="0.3">
      <c r="A414" s="6" t="s">
        <v>452</v>
      </c>
      <c r="B414" s="6" t="s">
        <v>22</v>
      </c>
      <c r="C414" s="6" t="s">
        <v>23</v>
      </c>
      <c r="D414" s="6" t="s">
        <v>24</v>
      </c>
      <c r="E414" s="6" t="s">
        <v>35</v>
      </c>
      <c r="F414" s="6" t="s">
        <v>26</v>
      </c>
      <c r="G414" s="7">
        <f>Table2[[#This Row],[Unit price]]-10</f>
        <v>10.969999999999999</v>
      </c>
      <c r="H414" s="7">
        <v>20.97</v>
      </c>
      <c r="I414" s="8">
        <v>5</v>
      </c>
      <c r="J414" s="8">
        <f>Table2[[#This Row],[Unit price]]*Table2[[#This Row],[Quantity]]</f>
        <v>104.85</v>
      </c>
      <c r="K414" s="8">
        <f>Table2[[#This Row],[Unit Cost]]*Table2[[#This Row],[Quantity]]</f>
        <v>54.849999999999994</v>
      </c>
      <c r="L414" s="8">
        <f>Table2[[#This Row],[Gross Sales]]-Table2[[#This Row],[COGS]]</f>
        <v>50</v>
      </c>
      <c r="M414" s="9">
        <f t="shared" si="6"/>
        <v>0.47687172150691465</v>
      </c>
      <c r="N414" s="7">
        <v>5.2424999999999997</v>
      </c>
      <c r="O414" s="7">
        <v>110.0925</v>
      </c>
      <c r="P414" s="10">
        <v>43469</v>
      </c>
      <c r="Q414" s="10" t="str">
        <f>TEXT(Table2[[#This Row],[Date]],"mmm")</f>
        <v>Jan</v>
      </c>
      <c r="R414" s="11">
        <v>0.55625000000000002</v>
      </c>
      <c r="S414" s="6" t="s">
        <v>33</v>
      </c>
      <c r="T414" s="7">
        <v>7.8</v>
      </c>
      <c r="U414" s="6">
        <f>IF(_xlfn.XLOOKUP(A414,[1]Data2!$A:$A,[1]Data2!$B:$B,"no")="yes",1,0)</f>
        <v>1</v>
      </c>
    </row>
    <row r="415" spans="1:21" s="6" customFormat="1" x14ac:dyDescent="0.3">
      <c r="A415" s="6" t="s">
        <v>453</v>
      </c>
      <c r="B415" s="6" t="s">
        <v>22</v>
      </c>
      <c r="C415" s="6" t="s">
        <v>23</v>
      </c>
      <c r="D415" s="6" t="s">
        <v>31</v>
      </c>
      <c r="E415" s="6" t="s">
        <v>35</v>
      </c>
      <c r="F415" s="6" t="s">
        <v>40</v>
      </c>
      <c r="G415" s="7">
        <f>Table2[[#This Row],[Unit price]]-10</f>
        <v>15.84</v>
      </c>
      <c r="H415" s="7">
        <v>25.84</v>
      </c>
      <c r="I415" s="8">
        <v>3</v>
      </c>
      <c r="J415" s="8">
        <f>Table2[[#This Row],[Unit price]]*Table2[[#This Row],[Quantity]]</f>
        <v>77.52</v>
      </c>
      <c r="K415" s="8">
        <f>Table2[[#This Row],[Unit Cost]]*Table2[[#This Row],[Quantity]]</f>
        <v>47.519999999999996</v>
      </c>
      <c r="L415" s="8">
        <f>Table2[[#This Row],[Gross Sales]]-Table2[[#This Row],[COGS]]</f>
        <v>30</v>
      </c>
      <c r="M415" s="9">
        <f t="shared" si="6"/>
        <v>0.38699690402476783</v>
      </c>
      <c r="N415" s="7">
        <v>3.8759999999999999</v>
      </c>
      <c r="O415" s="7">
        <v>81.396000000000001</v>
      </c>
      <c r="P415" s="10">
        <v>43534</v>
      </c>
      <c r="Q415" s="10" t="str">
        <f>TEXT(Table2[[#This Row],[Date]],"mmm")</f>
        <v>Mar</v>
      </c>
      <c r="R415" s="11">
        <v>0.78819444444444453</v>
      </c>
      <c r="S415" s="6" t="s">
        <v>27</v>
      </c>
      <c r="T415" s="7">
        <v>6.6</v>
      </c>
      <c r="U415" s="6">
        <f>IF(_xlfn.XLOOKUP(A415,[1]Data2!$A:$A,[1]Data2!$B:$B,"no")="yes",1,0)</f>
        <v>0</v>
      </c>
    </row>
    <row r="416" spans="1:21" s="6" customFormat="1" x14ac:dyDescent="0.3">
      <c r="A416" s="6" t="s">
        <v>454</v>
      </c>
      <c r="B416" s="6" t="s">
        <v>22</v>
      </c>
      <c r="C416" s="6" t="s">
        <v>23</v>
      </c>
      <c r="D416" s="6" t="s">
        <v>31</v>
      </c>
      <c r="E416" s="6" t="s">
        <v>35</v>
      </c>
      <c r="F416" s="6" t="s">
        <v>36</v>
      </c>
      <c r="G416" s="7">
        <f>Table2[[#This Row],[Unit price]]-10</f>
        <v>40.93</v>
      </c>
      <c r="H416" s="7">
        <v>50.93</v>
      </c>
      <c r="I416" s="8">
        <v>8</v>
      </c>
      <c r="J416" s="8">
        <f>Table2[[#This Row],[Unit price]]*Table2[[#This Row],[Quantity]]</f>
        <v>407.44</v>
      </c>
      <c r="K416" s="8">
        <f>Table2[[#This Row],[Unit Cost]]*Table2[[#This Row],[Quantity]]</f>
        <v>327.44</v>
      </c>
      <c r="L416" s="8">
        <f>Table2[[#This Row],[Gross Sales]]-Table2[[#This Row],[COGS]]</f>
        <v>80</v>
      </c>
      <c r="M416" s="9">
        <f t="shared" si="6"/>
        <v>0.19634792852935401</v>
      </c>
      <c r="N416" s="7">
        <v>20.372</v>
      </c>
      <c r="O416" s="7">
        <v>427.81200000000001</v>
      </c>
      <c r="P416" s="10">
        <v>43546</v>
      </c>
      <c r="Q416" s="10" t="str">
        <f>TEXT(Table2[[#This Row],[Date]],"mmm")</f>
        <v>Mar</v>
      </c>
      <c r="R416" s="11">
        <v>0.81666666666666676</v>
      </c>
      <c r="S416" s="6" t="s">
        <v>27</v>
      </c>
      <c r="T416" s="7">
        <v>9.1999999999999993</v>
      </c>
      <c r="U416" s="6">
        <f>IF(_xlfn.XLOOKUP(A416,[1]Data2!$A:$A,[1]Data2!$B:$B,"no")="yes",1,0)</f>
        <v>0</v>
      </c>
    </row>
    <row r="417" spans="1:21" s="6" customFormat="1" x14ac:dyDescent="0.3">
      <c r="A417" s="6" t="s">
        <v>455</v>
      </c>
      <c r="B417" s="6" t="s">
        <v>46</v>
      </c>
      <c r="C417" s="6" t="s">
        <v>47</v>
      </c>
      <c r="D417" s="6" t="s">
        <v>31</v>
      </c>
      <c r="E417" s="6" t="s">
        <v>35</v>
      </c>
      <c r="F417" s="6" t="s">
        <v>26</v>
      </c>
      <c r="G417" s="7">
        <f>Table2[[#This Row],[Unit price]]-10</f>
        <v>86.11</v>
      </c>
      <c r="H417" s="7">
        <v>96.11</v>
      </c>
      <c r="I417" s="8">
        <v>1</v>
      </c>
      <c r="J417" s="8">
        <f>Table2[[#This Row],[Unit price]]*Table2[[#This Row],[Quantity]]</f>
        <v>96.11</v>
      </c>
      <c r="K417" s="8">
        <f>Table2[[#This Row],[Unit Cost]]*Table2[[#This Row],[Quantity]]</f>
        <v>86.11</v>
      </c>
      <c r="L417" s="8">
        <f>Table2[[#This Row],[Gross Sales]]-Table2[[#This Row],[COGS]]</f>
        <v>10</v>
      </c>
      <c r="M417" s="9">
        <f t="shared" si="6"/>
        <v>0.10404744563520965</v>
      </c>
      <c r="N417" s="7">
        <v>4.8055000000000003</v>
      </c>
      <c r="O417" s="7">
        <v>100.91549999999999</v>
      </c>
      <c r="P417" s="10">
        <v>43490</v>
      </c>
      <c r="Q417" s="10" t="str">
        <f>TEXT(Table2[[#This Row],[Date]],"mmm")</f>
        <v>Jan</v>
      </c>
      <c r="R417" s="11">
        <v>0.68611111111111101</v>
      </c>
      <c r="S417" s="6" t="s">
        <v>27</v>
      </c>
      <c r="T417" s="7">
        <v>7.8</v>
      </c>
      <c r="U417" s="6">
        <f>IF(_xlfn.XLOOKUP(A417,[1]Data2!$A:$A,[1]Data2!$B:$B,"no")="yes",1,0)</f>
        <v>0</v>
      </c>
    </row>
    <row r="418" spans="1:21" s="6" customFormat="1" x14ac:dyDescent="0.3">
      <c r="A418" s="6" t="s">
        <v>456</v>
      </c>
      <c r="B418" s="6" t="s">
        <v>29</v>
      </c>
      <c r="C418" s="6" t="s">
        <v>30</v>
      </c>
      <c r="D418" s="6" t="s">
        <v>31</v>
      </c>
      <c r="E418" s="6" t="s">
        <v>25</v>
      </c>
      <c r="F418" s="6" t="s">
        <v>36</v>
      </c>
      <c r="G418" s="7">
        <f>Table2[[#This Row],[Unit price]]-10</f>
        <v>35.380000000000003</v>
      </c>
      <c r="H418" s="7">
        <v>45.38</v>
      </c>
      <c r="I418" s="8">
        <v>4</v>
      </c>
      <c r="J418" s="8">
        <f>Table2[[#This Row],[Unit price]]*Table2[[#This Row],[Quantity]]</f>
        <v>181.52</v>
      </c>
      <c r="K418" s="8">
        <f>Table2[[#This Row],[Unit Cost]]*Table2[[#This Row],[Quantity]]</f>
        <v>141.52000000000001</v>
      </c>
      <c r="L418" s="8">
        <f>Table2[[#This Row],[Gross Sales]]-Table2[[#This Row],[COGS]]</f>
        <v>40</v>
      </c>
      <c r="M418" s="9">
        <f t="shared" si="6"/>
        <v>0.22036139268400176</v>
      </c>
      <c r="N418" s="7">
        <v>9.0760000000000005</v>
      </c>
      <c r="O418" s="7">
        <v>190.596</v>
      </c>
      <c r="P418" s="10">
        <v>43473</v>
      </c>
      <c r="Q418" s="10" t="str">
        <f>TEXT(Table2[[#This Row],[Date]],"mmm")</f>
        <v>Jan</v>
      </c>
      <c r="R418" s="11">
        <v>0.57500000000000007</v>
      </c>
      <c r="S418" s="6" t="s">
        <v>37</v>
      </c>
      <c r="T418" s="7">
        <v>8.6999999999999993</v>
      </c>
      <c r="U418" s="6">
        <f>IF(_xlfn.XLOOKUP(A418,[1]Data2!$A:$A,[1]Data2!$B:$B,"no")="yes",1,0)</f>
        <v>1</v>
      </c>
    </row>
    <row r="419" spans="1:21" s="6" customFormat="1" x14ac:dyDescent="0.3">
      <c r="A419" s="6" t="s">
        <v>457</v>
      </c>
      <c r="B419" s="6" t="s">
        <v>29</v>
      </c>
      <c r="C419" s="6" t="s">
        <v>30</v>
      </c>
      <c r="D419" s="6" t="s">
        <v>24</v>
      </c>
      <c r="E419" s="6" t="s">
        <v>25</v>
      </c>
      <c r="F419" s="6" t="s">
        <v>26</v>
      </c>
      <c r="G419" s="7">
        <f>Table2[[#This Row],[Unit price]]-10</f>
        <v>71.510000000000005</v>
      </c>
      <c r="H419" s="7">
        <v>81.510000000000005</v>
      </c>
      <c r="I419" s="8">
        <v>1</v>
      </c>
      <c r="J419" s="8">
        <f>Table2[[#This Row],[Unit price]]*Table2[[#This Row],[Quantity]]</f>
        <v>81.510000000000005</v>
      </c>
      <c r="K419" s="8">
        <f>Table2[[#This Row],[Unit Cost]]*Table2[[#This Row],[Quantity]]</f>
        <v>71.510000000000005</v>
      </c>
      <c r="L419" s="8">
        <f>Table2[[#This Row],[Gross Sales]]-Table2[[#This Row],[COGS]]</f>
        <v>10</v>
      </c>
      <c r="M419" s="9">
        <f t="shared" si="6"/>
        <v>0.12268433321064899</v>
      </c>
      <c r="N419" s="7">
        <v>4.0754999999999999</v>
      </c>
      <c r="O419" s="7">
        <v>85.585499999999996</v>
      </c>
      <c r="P419" s="10">
        <v>43487</v>
      </c>
      <c r="Q419" s="10" t="str">
        <f>TEXT(Table2[[#This Row],[Date]],"mmm")</f>
        <v>Jan</v>
      </c>
      <c r="R419" s="11">
        <v>0.45624999999999999</v>
      </c>
      <c r="S419" s="6" t="s">
        <v>27</v>
      </c>
      <c r="T419" s="7">
        <v>9.1999999999999993</v>
      </c>
      <c r="U419" s="6">
        <f>IF(_xlfn.XLOOKUP(A419,[1]Data2!$A:$A,[1]Data2!$B:$B,"no")="yes",1,0)</f>
        <v>0</v>
      </c>
    </row>
    <row r="420" spans="1:21" s="6" customFormat="1" x14ac:dyDescent="0.3">
      <c r="A420" s="6" t="s">
        <v>458</v>
      </c>
      <c r="B420" s="6" t="s">
        <v>46</v>
      </c>
      <c r="C420" s="6" t="s">
        <v>47</v>
      </c>
      <c r="D420" s="6" t="s">
        <v>31</v>
      </c>
      <c r="E420" s="6" t="s">
        <v>25</v>
      </c>
      <c r="F420" s="6" t="s">
        <v>26</v>
      </c>
      <c r="G420" s="7">
        <f>Table2[[#This Row],[Unit price]]-10</f>
        <v>47.22</v>
      </c>
      <c r="H420" s="7">
        <v>57.22</v>
      </c>
      <c r="I420" s="8">
        <v>2</v>
      </c>
      <c r="J420" s="8">
        <f>Table2[[#This Row],[Unit price]]*Table2[[#This Row],[Quantity]]</f>
        <v>114.44</v>
      </c>
      <c r="K420" s="8">
        <f>Table2[[#This Row],[Unit Cost]]*Table2[[#This Row],[Quantity]]</f>
        <v>94.44</v>
      </c>
      <c r="L420" s="8">
        <f>Table2[[#This Row],[Gross Sales]]-Table2[[#This Row],[COGS]]</f>
        <v>20</v>
      </c>
      <c r="M420" s="9">
        <f t="shared" si="6"/>
        <v>0.17476406850751486</v>
      </c>
      <c r="N420" s="7">
        <v>5.7220000000000004</v>
      </c>
      <c r="O420" s="7">
        <v>120.16200000000001</v>
      </c>
      <c r="P420" s="10">
        <v>43477</v>
      </c>
      <c r="Q420" s="10" t="str">
        <f>TEXT(Table2[[#This Row],[Date]],"mmm")</f>
        <v>Jan</v>
      </c>
      <c r="R420" s="11">
        <v>0.71736111111111101</v>
      </c>
      <c r="S420" s="6" t="s">
        <v>27</v>
      </c>
      <c r="T420" s="7">
        <v>8.3000000000000007</v>
      </c>
      <c r="U420" s="6">
        <f>IF(_xlfn.XLOOKUP(A420,[1]Data2!$A:$A,[1]Data2!$B:$B,"no")="yes",1,0)</f>
        <v>0</v>
      </c>
    </row>
    <row r="421" spans="1:21" s="6" customFormat="1" x14ac:dyDescent="0.3">
      <c r="A421" s="6" t="s">
        <v>459</v>
      </c>
      <c r="B421" s="6" t="s">
        <v>22</v>
      </c>
      <c r="C421" s="6" t="s">
        <v>23</v>
      </c>
      <c r="D421" s="6" t="s">
        <v>24</v>
      </c>
      <c r="E421" s="6" t="s">
        <v>25</v>
      </c>
      <c r="F421" s="6" t="s">
        <v>32</v>
      </c>
      <c r="G421" s="7">
        <f>Table2[[#This Row],[Unit price]]-10</f>
        <v>15.219999999999999</v>
      </c>
      <c r="H421" s="7">
        <v>25.22</v>
      </c>
      <c r="I421" s="8">
        <v>7</v>
      </c>
      <c r="J421" s="8">
        <f>Table2[[#This Row],[Unit price]]*Table2[[#This Row],[Quantity]]</f>
        <v>176.54</v>
      </c>
      <c r="K421" s="8">
        <f>Table2[[#This Row],[Unit Cost]]*Table2[[#This Row],[Quantity]]</f>
        <v>106.53999999999999</v>
      </c>
      <c r="L421" s="8">
        <f>Table2[[#This Row],[Gross Sales]]-Table2[[#This Row],[COGS]]</f>
        <v>70</v>
      </c>
      <c r="M421" s="9">
        <f t="shared" si="6"/>
        <v>0.39651070578905634</v>
      </c>
      <c r="N421" s="7">
        <v>8.827</v>
      </c>
      <c r="O421" s="7">
        <v>185.36699999999999</v>
      </c>
      <c r="P421" s="10">
        <v>43500</v>
      </c>
      <c r="Q421" s="10" t="str">
        <f>TEXT(Table2[[#This Row],[Date]],"mmm")</f>
        <v>Feb</v>
      </c>
      <c r="R421" s="11">
        <v>0.43263888888888885</v>
      </c>
      <c r="S421" s="6" t="s">
        <v>33</v>
      </c>
      <c r="T421" s="7">
        <v>8.1999999999999993</v>
      </c>
      <c r="U421" s="6">
        <f>IF(_xlfn.XLOOKUP(A421,[1]Data2!$A:$A,[1]Data2!$B:$B,"no")="yes",1,0)</f>
        <v>0</v>
      </c>
    </row>
    <row r="422" spans="1:21" s="6" customFormat="1" x14ac:dyDescent="0.3">
      <c r="A422" s="6" t="s">
        <v>460</v>
      </c>
      <c r="B422" s="6" t="s">
        <v>29</v>
      </c>
      <c r="C422" s="6" t="s">
        <v>30</v>
      </c>
      <c r="D422" s="6" t="s">
        <v>24</v>
      </c>
      <c r="E422" s="6" t="s">
        <v>25</v>
      </c>
      <c r="F422" s="6" t="s">
        <v>48</v>
      </c>
      <c r="G422" s="7">
        <f>Table2[[#This Row],[Unit price]]-10</f>
        <v>28.6</v>
      </c>
      <c r="H422" s="7">
        <v>38.6</v>
      </c>
      <c r="I422" s="8">
        <v>3</v>
      </c>
      <c r="J422" s="8">
        <f>Table2[[#This Row],[Unit price]]*Table2[[#This Row],[Quantity]]</f>
        <v>115.80000000000001</v>
      </c>
      <c r="K422" s="8">
        <f>Table2[[#This Row],[Unit Cost]]*Table2[[#This Row],[Quantity]]</f>
        <v>85.800000000000011</v>
      </c>
      <c r="L422" s="8">
        <f>Table2[[#This Row],[Gross Sales]]-Table2[[#This Row],[COGS]]</f>
        <v>30</v>
      </c>
      <c r="M422" s="9">
        <f t="shared" si="6"/>
        <v>0.25906735751295334</v>
      </c>
      <c r="N422" s="7">
        <v>5.79</v>
      </c>
      <c r="O422" s="7">
        <v>121.59</v>
      </c>
      <c r="P422" s="10">
        <v>43552</v>
      </c>
      <c r="Q422" s="10" t="str">
        <f>TEXT(Table2[[#This Row],[Date]],"mmm")</f>
        <v>Mar</v>
      </c>
      <c r="R422" s="11">
        <v>0.58124999999999993</v>
      </c>
      <c r="S422" s="6" t="s">
        <v>27</v>
      </c>
      <c r="T422" s="7">
        <v>7.5</v>
      </c>
      <c r="U422" s="6">
        <f>IF(_xlfn.XLOOKUP(A422,[1]Data2!$A:$A,[1]Data2!$B:$B,"no")="yes",1,0)</f>
        <v>1</v>
      </c>
    </row>
    <row r="423" spans="1:21" s="6" customFormat="1" x14ac:dyDescent="0.3">
      <c r="A423" s="6" t="s">
        <v>461</v>
      </c>
      <c r="B423" s="6" t="s">
        <v>29</v>
      </c>
      <c r="C423" s="6" t="s">
        <v>30</v>
      </c>
      <c r="D423" s="6" t="s">
        <v>31</v>
      </c>
      <c r="E423" s="6" t="s">
        <v>25</v>
      </c>
      <c r="F423" s="6" t="s">
        <v>32</v>
      </c>
      <c r="G423" s="7">
        <f>Table2[[#This Row],[Unit price]]-10</f>
        <v>74.05</v>
      </c>
      <c r="H423" s="7">
        <v>84.05</v>
      </c>
      <c r="I423" s="8">
        <v>3</v>
      </c>
      <c r="J423" s="8">
        <f>Table2[[#This Row],[Unit price]]*Table2[[#This Row],[Quantity]]</f>
        <v>252.14999999999998</v>
      </c>
      <c r="K423" s="8">
        <f>Table2[[#This Row],[Unit Cost]]*Table2[[#This Row],[Quantity]]</f>
        <v>222.14999999999998</v>
      </c>
      <c r="L423" s="8">
        <f>Table2[[#This Row],[Gross Sales]]-Table2[[#This Row],[COGS]]</f>
        <v>30</v>
      </c>
      <c r="M423" s="9">
        <f t="shared" si="6"/>
        <v>0.11897679952409282</v>
      </c>
      <c r="N423" s="7">
        <v>12.6075</v>
      </c>
      <c r="O423" s="7">
        <v>264.75749999999999</v>
      </c>
      <c r="P423" s="10">
        <v>43488</v>
      </c>
      <c r="Q423" s="10" t="str">
        <f>TEXT(Table2[[#This Row],[Date]],"mmm")</f>
        <v>Jan</v>
      </c>
      <c r="R423" s="11">
        <v>0.56180555555555556</v>
      </c>
      <c r="S423" s="6" t="s">
        <v>33</v>
      </c>
      <c r="T423" s="7">
        <v>9.8000000000000007</v>
      </c>
      <c r="U423" s="6">
        <f>IF(_xlfn.XLOOKUP(A423,[1]Data2!$A:$A,[1]Data2!$B:$B,"no")="yes",1,0)</f>
        <v>0</v>
      </c>
    </row>
    <row r="424" spans="1:21" s="6" customFormat="1" x14ac:dyDescent="0.3">
      <c r="A424" s="6" t="s">
        <v>462</v>
      </c>
      <c r="B424" s="6" t="s">
        <v>29</v>
      </c>
      <c r="C424" s="6" t="s">
        <v>30</v>
      </c>
      <c r="D424" s="6" t="s">
        <v>24</v>
      </c>
      <c r="E424" s="6" t="s">
        <v>25</v>
      </c>
      <c r="F424" s="6" t="s">
        <v>50</v>
      </c>
      <c r="G424" s="7">
        <f>Table2[[#This Row],[Unit price]]-10</f>
        <v>87.21</v>
      </c>
      <c r="H424" s="7">
        <v>97.21</v>
      </c>
      <c r="I424" s="8">
        <v>10</v>
      </c>
      <c r="J424" s="8">
        <f>Table2[[#This Row],[Unit price]]*Table2[[#This Row],[Quantity]]</f>
        <v>972.09999999999991</v>
      </c>
      <c r="K424" s="8">
        <f>Table2[[#This Row],[Unit Cost]]*Table2[[#This Row],[Quantity]]</f>
        <v>872.09999999999991</v>
      </c>
      <c r="L424" s="8">
        <f>Table2[[#This Row],[Gross Sales]]-Table2[[#This Row],[COGS]]</f>
        <v>100</v>
      </c>
      <c r="M424" s="9">
        <f t="shared" si="6"/>
        <v>0.10287007509515483</v>
      </c>
      <c r="N424" s="7">
        <v>48.604999999999997</v>
      </c>
      <c r="O424" s="7">
        <v>1020.705</v>
      </c>
      <c r="P424" s="10">
        <v>43504</v>
      </c>
      <c r="Q424" s="10" t="str">
        <f>TEXT(Table2[[#This Row],[Date]],"mmm")</f>
        <v>Feb</v>
      </c>
      <c r="R424" s="11">
        <v>0.54166666666666663</v>
      </c>
      <c r="S424" s="6" t="s">
        <v>37</v>
      </c>
      <c r="T424" s="7">
        <v>8.6999999999999993</v>
      </c>
      <c r="U424" s="6">
        <f>IF(_xlfn.XLOOKUP(A424,[1]Data2!$A:$A,[1]Data2!$B:$B,"no")="yes",1,0)</f>
        <v>0</v>
      </c>
    </row>
    <row r="425" spans="1:21" s="6" customFormat="1" x14ac:dyDescent="0.3">
      <c r="A425" s="6" t="s">
        <v>463</v>
      </c>
      <c r="B425" s="6" t="s">
        <v>46</v>
      </c>
      <c r="C425" s="6" t="s">
        <v>47</v>
      </c>
      <c r="D425" s="6" t="s">
        <v>24</v>
      </c>
      <c r="E425" s="6" t="s">
        <v>35</v>
      </c>
      <c r="F425" s="6" t="s">
        <v>50</v>
      </c>
      <c r="G425" s="7">
        <f>Table2[[#This Row],[Unit price]]-10</f>
        <v>15.420000000000002</v>
      </c>
      <c r="H425" s="7">
        <v>25.42</v>
      </c>
      <c r="I425" s="8">
        <v>8</v>
      </c>
      <c r="J425" s="8">
        <f>Table2[[#This Row],[Unit price]]*Table2[[#This Row],[Quantity]]</f>
        <v>203.36</v>
      </c>
      <c r="K425" s="8">
        <f>Table2[[#This Row],[Unit Cost]]*Table2[[#This Row],[Quantity]]</f>
        <v>123.36000000000001</v>
      </c>
      <c r="L425" s="8">
        <f>Table2[[#This Row],[Gross Sales]]-Table2[[#This Row],[COGS]]</f>
        <v>80</v>
      </c>
      <c r="M425" s="9">
        <f t="shared" si="6"/>
        <v>0.39339103068450038</v>
      </c>
      <c r="N425" s="7">
        <v>10.167999999999999</v>
      </c>
      <c r="O425" s="7">
        <v>213.52799999999999</v>
      </c>
      <c r="P425" s="10">
        <v>43543</v>
      </c>
      <c r="Q425" s="10" t="str">
        <f>TEXT(Table2[[#This Row],[Date]],"mmm")</f>
        <v>Mar</v>
      </c>
      <c r="R425" s="11">
        <v>0.8208333333333333</v>
      </c>
      <c r="S425" s="6" t="s">
        <v>37</v>
      </c>
      <c r="T425" s="7">
        <v>6.7</v>
      </c>
      <c r="U425" s="6">
        <f>IF(_xlfn.XLOOKUP(A425,[1]Data2!$A:$A,[1]Data2!$B:$B,"no")="yes",1,0)</f>
        <v>0</v>
      </c>
    </row>
    <row r="426" spans="1:21" s="6" customFormat="1" x14ac:dyDescent="0.3">
      <c r="A426" s="6" t="s">
        <v>464</v>
      </c>
      <c r="B426" s="6" t="s">
        <v>29</v>
      </c>
      <c r="C426" s="6" t="s">
        <v>30</v>
      </c>
      <c r="D426" s="6" t="s">
        <v>31</v>
      </c>
      <c r="E426" s="6" t="s">
        <v>35</v>
      </c>
      <c r="F426" s="6" t="s">
        <v>50</v>
      </c>
      <c r="G426" s="7">
        <f>Table2[[#This Row],[Unit price]]-10</f>
        <v>6.2800000000000011</v>
      </c>
      <c r="H426" s="7">
        <v>16.28</v>
      </c>
      <c r="I426" s="8">
        <v>1</v>
      </c>
      <c r="J426" s="8">
        <f>Table2[[#This Row],[Unit price]]*Table2[[#This Row],[Quantity]]</f>
        <v>16.28</v>
      </c>
      <c r="K426" s="8">
        <f>Table2[[#This Row],[Unit Cost]]*Table2[[#This Row],[Quantity]]</f>
        <v>6.2800000000000011</v>
      </c>
      <c r="L426" s="8">
        <f>Table2[[#This Row],[Gross Sales]]-Table2[[#This Row],[COGS]]</f>
        <v>10</v>
      </c>
      <c r="M426" s="9">
        <f t="shared" si="6"/>
        <v>0.61425061425061422</v>
      </c>
      <c r="N426" s="7">
        <v>0.81399999999999995</v>
      </c>
      <c r="O426" s="7">
        <v>17.094000000000001</v>
      </c>
      <c r="P426" s="10">
        <v>43533</v>
      </c>
      <c r="Q426" s="10" t="str">
        <f>TEXT(Table2[[#This Row],[Date]],"mmm")</f>
        <v>Mar</v>
      </c>
      <c r="R426" s="11">
        <v>0.65</v>
      </c>
      <c r="S426" s="6" t="s">
        <v>33</v>
      </c>
      <c r="T426" s="7">
        <v>5</v>
      </c>
      <c r="U426" s="6">
        <f>IF(_xlfn.XLOOKUP(A426,[1]Data2!$A:$A,[1]Data2!$B:$B,"no")="yes",1,0)</f>
        <v>1</v>
      </c>
    </row>
    <row r="427" spans="1:21" s="6" customFormat="1" x14ac:dyDescent="0.3">
      <c r="A427" s="6" t="s">
        <v>465</v>
      </c>
      <c r="B427" s="6" t="s">
        <v>46</v>
      </c>
      <c r="C427" s="6" t="s">
        <v>47</v>
      </c>
      <c r="D427" s="6" t="s">
        <v>24</v>
      </c>
      <c r="E427" s="6" t="s">
        <v>35</v>
      </c>
      <c r="F427" s="6" t="s">
        <v>50</v>
      </c>
      <c r="G427" s="7">
        <f>Table2[[#This Row],[Unit price]]-10</f>
        <v>30.61</v>
      </c>
      <c r="H427" s="7">
        <v>40.61</v>
      </c>
      <c r="I427" s="8">
        <v>9</v>
      </c>
      <c r="J427" s="8">
        <f>Table2[[#This Row],[Unit price]]*Table2[[#This Row],[Quantity]]</f>
        <v>365.49</v>
      </c>
      <c r="K427" s="8">
        <f>Table2[[#This Row],[Unit Cost]]*Table2[[#This Row],[Quantity]]</f>
        <v>275.49</v>
      </c>
      <c r="L427" s="8">
        <f>Table2[[#This Row],[Gross Sales]]-Table2[[#This Row],[COGS]]</f>
        <v>90</v>
      </c>
      <c r="M427" s="9">
        <f t="shared" si="6"/>
        <v>0.24624476729869491</v>
      </c>
      <c r="N427" s="7">
        <v>18.2745</v>
      </c>
      <c r="O427" s="7">
        <v>383.7645</v>
      </c>
      <c r="P427" s="10">
        <v>43467</v>
      </c>
      <c r="Q427" s="10" t="str">
        <f>TEXT(Table2[[#This Row],[Date]],"mmm")</f>
        <v>Jan</v>
      </c>
      <c r="R427" s="11">
        <v>0.56944444444444442</v>
      </c>
      <c r="S427" s="6" t="s">
        <v>33</v>
      </c>
      <c r="T427" s="7">
        <v>7</v>
      </c>
      <c r="U427" s="6">
        <f>IF(_xlfn.XLOOKUP(A427,[1]Data2!$A:$A,[1]Data2!$B:$B,"no")="yes",1,0)</f>
        <v>0</v>
      </c>
    </row>
    <row r="428" spans="1:21" s="6" customFormat="1" x14ac:dyDescent="0.3">
      <c r="A428" s="6" t="s">
        <v>466</v>
      </c>
      <c r="B428" s="6" t="s">
        <v>22</v>
      </c>
      <c r="C428" s="6" t="s">
        <v>23</v>
      </c>
      <c r="D428" s="6" t="s">
        <v>24</v>
      </c>
      <c r="E428" s="6" t="s">
        <v>35</v>
      </c>
      <c r="F428" s="6" t="s">
        <v>26</v>
      </c>
      <c r="G428" s="7">
        <f>Table2[[#This Row],[Unit price]]-10</f>
        <v>43.17</v>
      </c>
      <c r="H428" s="7">
        <v>53.17</v>
      </c>
      <c r="I428" s="8">
        <v>7</v>
      </c>
      <c r="J428" s="8">
        <f>Table2[[#This Row],[Unit price]]*Table2[[#This Row],[Quantity]]</f>
        <v>372.19</v>
      </c>
      <c r="K428" s="8">
        <f>Table2[[#This Row],[Unit Cost]]*Table2[[#This Row],[Quantity]]</f>
        <v>302.19</v>
      </c>
      <c r="L428" s="8">
        <f>Table2[[#This Row],[Gross Sales]]-Table2[[#This Row],[COGS]]</f>
        <v>70</v>
      </c>
      <c r="M428" s="9">
        <f t="shared" si="6"/>
        <v>0.18807598269700959</v>
      </c>
      <c r="N428" s="7">
        <v>18.609500000000001</v>
      </c>
      <c r="O428" s="7">
        <v>390.79950000000002</v>
      </c>
      <c r="P428" s="10">
        <v>43486</v>
      </c>
      <c r="Q428" s="10" t="str">
        <f>TEXT(Table2[[#This Row],[Date]],"mmm")</f>
        <v>Jan</v>
      </c>
      <c r="R428" s="11">
        <v>0.75069444444444444</v>
      </c>
      <c r="S428" s="6" t="s">
        <v>33</v>
      </c>
      <c r="T428" s="7">
        <v>8.9</v>
      </c>
      <c r="U428" s="6">
        <f>IF(_xlfn.XLOOKUP(A428,[1]Data2!$A:$A,[1]Data2!$B:$B,"no")="yes",1,0)</f>
        <v>0</v>
      </c>
    </row>
    <row r="429" spans="1:21" s="6" customFormat="1" x14ac:dyDescent="0.3">
      <c r="A429" s="6" t="s">
        <v>467</v>
      </c>
      <c r="B429" s="6" t="s">
        <v>46</v>
      </c>
      <c r="C429" s="6" t="s">
        <v>47</v>
      </c>
      <c r="D429" s="6" t="s">
        <v>24</v>
      </c>
      <c r="E429" s="6" t="s">
        <v>25</v>
      </c>
      <c r="F429" s="6" t="s">
        <v>48</v>
      </c>
      <c r="G429" s="7">
        <f>Table2[[#This Row],[Unit price]]-10</f>
        <v>10.870000000000001</v>
      </c>
      <c r="H429" s="7">
        <v>20.87</v>
      </c>
      <c r="I429" s="8">
        <v>3</v>
      </c>
      <c r="J429" s="8">
        <f>Table2[[#This Row],[Unit price]]*Table2[[#This Row],[Quantity]]</f>
        <v>62.61</v>
      </c>
      <c r="K429" s="8">
        <f>Table2[[#This Row],[Unit Cost]]*Table2[[#This Row],[Quantity]]</f>
        <v>32.61</v>
      </c>
      <c r="L429" s="8">
        <f>Table2[[#This Row],[Gross Sales]]-Table2[[#This Row],[COGS]]</f>
        <v>30</v>
      </c>
      <c r="M429" s="9">
        <f t="shared" si="6"/>
        <v>0.47915668423574509</v>
      </c>
      <c r="N429" s="7">
        <v>3.1305000000000001</v>
      </c>
      <c r="O429" s="7">
        <v>65.740499999999997</v>
      </c>
      <c r="P429" s="10">
        <v>43544</v>
      </c>
      <c r="Q429" s="10" t="str">
        <f>TEXT(Table2[[#This Row],[Date]],"mmm")</f>
        <v>Mar</v>
      </c>
      <c r="R429" s="11">
        <v>0.57847222222222217</v>
      </c>
      <c r="S429" s="6" t="s">
        <v>37</v>
      </c>
      <c r="T429" s="7">
        <v>8</v>
      </c>
      <c r="U429" s="6">
        <f>IF(_xlfn.XLOOKUP(A429,[1]Data2!$A:$A,[1]Data2!$B:$B,"no")="yes",1,0)</f>
        <v>0</v>
      </c>
    </row>
    <row r="430" spans="1:21" s="6" customFormat="1" x14ac:dyDescent="0.3">
      <c r="A430" s="6" t="s">
        <v>468</v>
      </c>
      <c r="B430" s="6" t="s">
        <v>46</v>
      </c>
      <c r="C430" s="6" t="s">
        <v>47</v>
      </c>
      <c r="D430" s="6" t="s">
        <v>31</v>
      </c>
      <c r="E430" s="6" t="s">
        <v>35</v>
      </c>
      <c r="F430" s="6" t="s">
        <v>40</v>
      </c>
      <c r="G430" s="7">
        <f>Table2[[#This Row],[Unit price]]-10</f>
        <v>57.269999999999996</v>
      </c>
      <c r="H430" s="7">
        <v>67.27</v>
      </c>
      <c r="I430" s="8">
        <v>5</v>
      </c>
      <c r="J430" s="8">
        <f>Table2[[#This Row],[Unit price]]*Table2[[#This Row],[Quantity]]</f>
        <v>336.34999999999997</v>
      </c>
      <c r="K430" s="8">
        <f>Table2[[#This Row],[Unit Cost]]*Table2[[#This Row],[Quantity]]</f>
        <v>286.34999999999997</v>
      </c>
      <c r="L430" s="8">
        <f>Table2[[#This Row],[Gross Sales]]-Table2[[#This Row],[COGS]]</f>
        <v>50</v>
      </c>
      <c r="M430" s="9">
        <f t="shared" si="6"/>
        <v>0.14865467518953474</v>
      </c>
      <c r="N430" s="7">
        <v>16.817499999999999</v>
      </c>
      <c r="O430" s="7">
        <v>353.16750000000002</v>
      </c>
      <c r="P430" s="10">
        <v>43523</v>
      </c>
      <c r="Q430" s="10" t="str">
        <f>TEXT(Table2[[#This Row],[Date]],"mmm")</f>
        <v>Feb</v>
      </c>
      <c r="R430" s="11">
        <v>0.7270833333333333</v>
      </c>
      <c r="S430" s="6" t="s">
        <v>33</v>
      </c>
      <c r="T430" s="7">
        <v>6.9</v>
      </c>
      <c r="U430" s="6">
        <f>IF(_xlfn.XLOOKUP(A430,[1]Data2!$A:$A,[1]Data2!$B:$B,"no")="yes",1,0)</f>
        <v>1</v>
      </c>
    </row>
    <row r="431" spans="1:21" s="6" customFormat="1" x14ac:dyDescent="0.3">
      <c r="A431" s="6" t="s">
        <v>469</v>
      </c>
      <c r="B431" s="6" t="s">
        <v>22</v>
      </c>
      <c r="C431" s="6" t="s">
        <v>23</v>
      </c>
      <c r="D431" s="6" t="s">
        <v>24</v>
      </c>
      <c r="E431" s="6" t="s">
        <v>25</v>
      </c>
      <c r="F431" s="6" t="s">
        <v>36</v>
      </c>
      <c r="G431" s="7">
        <f>Table2[[#This Row],[Unit price]]-10</f>
        <v>80.650000000000006</v>
      </c>
      <c r="H431" s="7">
        <v>90.65</v>
      </c>
      <c r="I431" s="8">
        <v>10</v>
      </c>
      <c r="J431" s="8">
        <f>Table2[[#This Row],[Unit price]]*Table2[[#This Row],[Quantity]]</f>
        <v>906.5</v>
      </c>
      <c r="K431" s="8">
        <f>Table2[[#This Row],[Unit Cost]]*Table2[[#This Row],[Quantity]]</f>
        <v>806.5</v>
      </c>
      <c r="L431" s="8">
        <f>Table2[[#This Row],[Gross Sales]]-Table2[[#This Row],[COGS]]</f>
        <v>100</v>
      </c>
      <c r="M431" s="9">
        <f t="shared" si="6"/>
        <v>0.11031439602868175</v>
      </c>
      <c r="N431" s="7">
        <v>45.325000000000003</v>
      </c>
      <c r="O431" s="7">
        <v>951.82500000000005</v>
      </c>
      <c r="P431" s="10">
        <v>43532</v>
      </c>
      <c r="Q431" s="10" t="str">
        <f>TEXT(Table2[[#This Row],[Date]],"mmm")</f>
        <v>Mar</v>
      </c>
      <c r="R431" s="11">
        <v>0.45347222222222222</v>
      </c>
      <c r="S431" s="6" t="s">
        <v>27</v>
      </c>
      <c r="T431" s="7">
        <v>7.3</v>
      </c>
      <c r="U431" s="6">
        <f>IF(_xlfn.XLOOKUP(A431,[1]Data2!$A:$A,[1]Data2!$B:$B,"no")="yes",1,0)</f>
        <v>0</v>
      </c>
    </row>
    <row r="432" spans="1:21" s="6" customFormat="1" x14ac:dyDescent="0.3">
      <c r="A432" s="6" t="s">
        <v>470</v>
      </c>
      <c r="B432" s="6" t="s">
        <v>46</v>
      </c>
      <c r="C432" s="6" t="s">
        <v>47</v>
      </c>
      <c r="D432" s="6" t="s">
        <v>31</v>
      </c>
      <c r="E432" s="6" t="s">
        <v>35</v>
      </c>
      <c r="F432" s="6" t="s">
        <v>50</v>
      </c>
      <c r="G432" s="7">
        <f>Table2[[#This Row],[Unit price]]-10</f>
        <v>59.08</v>
      </c>
      <c r="H432" s="7">
        <v>69.08</v>
      </c>
      <c r="I432" s="8">
        <v>2</v>
      </c>
      <c r="J432" s="8">
        <f>Table2[[#This Row],[Unit price]]*Table2[[#This Row],[Quantity]]</f>
        <v>138.16</v>
      </c>
      <c r="K432" s="8">
        <f>Table2[[#This Row],[Unit Cost]]*Table2[[#This Row],[Quantity]]</f>
        <v>118.16</v>
      </c>
      <c r="L432" s="8">
        <f>Table2[[#This Row],[Gross Sales]]-Table2[[#This Row],[COGS]]</f>
        <v>20</v>
      </c>
      <c r="M432" s="9">
        <f t="shared" si="6"/>
        <v>0.14475969889982629</v>
      </c>
      <c r="N432" s="7">
        <v>6.9080000000000004</v>
      </c>
      <c r="O432" s="7">
        <v>145.06800000000001</v>
      </c>
      <c r="P432" s="10">
        <v>43496</v>
      </c>
      <c r="Q432" s="10" t="str">
        <f>TEXT(Table2[[#This Row],[Date]],"mmm")</f>
        <v>Jan</v>
      </c>
      <c r="R432" s="11">
        <v>0.82500000000000007</v>
      </c>
      <c r="S432" s="6" t="s">
        <v>37</v>
      </c>
      <c r="T432" s="7">
        <v>6.9</v>
      </c>
      <c r="U432" s="6">
        <f>IF(_xlfn.XLOOKUP(A432,[1]Data2!$A:$A,[1]Data2!$B:$B,"no")="yes",1,0)</f>
        <v>0</v>
      </c>
    </row>
    <row r="433" spans="1:21" s="6" customFormat="1" x14ac:dyDescent="0.3">
      <c r="A433" s="6" t="s">
        <v>471</v>
      </c>
      <c r="B433" s="6" t="s">
        <v>29</v>
      </c>
      <c r="C433" s="6" t="s">
        <v>30</v>
      </c>
      <c r="D433" s="6" t="s">
        <v>31</v>
      </c>
      <c r="E433" s="6" t="s">
        <v>35</v>
      </c>
      <c r="F433" s="6" t="s">
        <v>48</v>
      </c>
      <c r="G433" s="7">
        <f>Table2[[#This Row],[Unit price]]-10</f>
        <v>33.270000000000003</v>
      </c>
      <c r="H433" s="7">
        <v>43.27</v>
      </c>
      <c r="I433" s="8">
        <v>2</v>
      </c>
      <c r="J433" s="8">
        <f>Table2[[#This Row],[Unit price]]*Table2[[#This Row],[Quantity]]</f>
        <v>86.54</v>
      </c>
      <c r="K433" s="8">
        <f>Table2[[#This Row],[Unit Cost]]*Table2[[#This Row],[Quantity]]</f>
        <v>66.540000000000006</v>
      </c>
      <c r="L433" s="8">
        <f>Table2[[#This Row],[Gross Sales]]-Table2[[#This Row],[COGS]]</f>
        <v>20</v>
      </c>
      <c r="M433" s="9">
        <f t="shared" si="6"/>
        <v>0.231107002542177</v>
      </c>
      <c r="N433" s="7">
        <v>4.327</v>
      </c>
      <c r="O433" s="7">
        <v>90.867000000000004</v>
      </c>
      <c r="P433" s="10">
        <v>43532</v>
      </c>
      <c r="Q433" s="10" t="str">
        <f>TEXT(Table2[[#This Row],[Date]],"mmm")</f>
        <v>Mar</v>
      </c>
      <c r="R433" s="11">
        <v>0.70347222222222217</v>
      </c>
      <c r="S433" s="6" t="s">
        <v>27</v>
      </c>
      <c r="T433" s="7">
        <v>5.7</v>
      </c>
      <c r="U433" s="6">
        <f>IF(_xlfn.XLOOKUP(A433,[1]Data2!$A:$A,[1]Data2!$B:$B,"no")="yes",1,0)</f>
        <v>0</v>
      </c>
    </row>
    <row r="434" spans="1:21" s="6" customFormat="1" x14ac:dyDescent="0.3">
      <c r="A434" s="6" t="s">
        <v>472</v>
      </c>
      <c r="B434" s="6" t="s">
        <v>22</v>
      </c>
      <c r="C434" s="6" t="s">
        <v>23</v>
      </c>
      <c r="D434" s="6" t="s">
        <v>31</v>
      </c>
      <c r="E434" s="6" t="s">
        <v>25</v>
      </c>
      <c r="F434" s="6" t="s">
        <v>32</v>
      </c>
      <c r="G434" s="7">
        <f>Table2[[#This Row],[Unit price]]-10</f>
        <v>13.46</v>
      </c>
      <c r="H434" s="7">
        <v>23.46</v>
      </c>
      <c r="I434" s="8">
        <v>6</v>
      </c>
      <c r="J434" s="8">
        <f>Table2[[#This Row],[Unit price]]*Table2[[#This Row],[Quantity]]</f>
        <v>140.76</v>
      </c>
      <c r="K434" s="8">
        <f>Table2[[#This Row],[Unit Cost]]*Table2[[#This Row],[Quantity]]</f>
        <v>80.760000000000005</v>
      </c>
      <c r="L434" s="8">
        <f>Table2[[#This Row],[Gross Sales]]-Table2[[#This Row],[COGS]]</f>
        <v>59.999999999999986</v>
      </c>
      <c r="M434" s="9">
        <f t="shared" si="6"/>
        <v>0.42625745950554128</v>
      </c>
      <c r="N434" s="7">
        <v>7.0380000000000003</v>
      </c>
      <c r="O434" s="7">
        <v>147.798</v>
      </c>
      <c r="P434" s="10">
        <v>43478</v>
      </c>
      <c r="Q434" s="10" t="str">
        <f>TEXT(Table2[[#This Row],[Date]],"mmm")</f>
        <v>Jan</v>
      </c>
      <c r="R434" s="11">
        <v>0.80138888888888893</v>
      </c>
      <c r="S434" s="6" t="s">
        <v>27</v>
      </c>
      <c r="T434" s="7">
        <v>6.4</v>
      </c>
      <c r="U434" s="6">
        <f>IF(_xlfn.XLOOKUP(A434,[1]Data2!$A:$A,[1]Data2!$B:$B,"no")="yes",1,0)</f>
        <v>1</v>
      </c>
    </row>
    <row r="435" spans="1:21" s="6" customFormat="1" x14ac:dyDescent="0.3">
      <c r="A435" s="6" t="s">
        <v>473</v>
      </c>
      <c r="B435" s="6" t="s">
        <v>46</v>
      </c>
      <c r="C435" s="6" t="s">
        <v>47</v>
      </c>
      <c r="D435" s="6" t="s">
        <v>31</v>
      </c>
      <c r="E435" s="6" t="s">
        <v>35</v>
      </c>
      <c r="F435" s="6" t="s">
        <v>50</v>
      </c>
      <c r="G435" s="7">
        <f>Table2[[#This Row],[Unit price]]-10</f>
        <v>85.54</v>
      </c>
      <c r="H435" s="7">
        <v>95.54</v>
      </c>
      <c r="I435" s="8">
        <v>7</v>
      </c>
      <c r="J435" s="8">
        <f>Table2[[#This Row],[Unit price]]*Table2[[#This Row],[Quantity]]</f>
        <v>668.78000000000009</v>
      </c>
      <c r="K435" s="8">
        <f>Table2[[#This Row],[Unit Cost]]*Table2[[#This Row],[Quantity]]</f>
        <v>598.78000000000009</v>
      </c>
      <c r="L435" s="8">
        <f>Table2[[#This Row],[Gross Sales]]-Table2[[#This Row],[COGS]]</f>
        <v>70</v>
      </c>
      <c r="M435" s="9">
        <f t="shared" si="6"/>
        <v>0.10466820180029306</v>
      </c>
      <c r="N435" s="7">
        <v>33.439</v>
      </c>
      <c r="O435" s="7">
        <v>702.21900000000005</v>
      </c>
      <c r="P435" s="10">
        <v>43533</v>
      </c>
      <c r="Q435" s="10" t="str">
        <f>TEXT(Table2[[#This Row],[Date]],"mmm")</f>
        <v>Mar</v>
      </c>
      <c r="R435" s="11">
        <v>0.60833333333333328</v>
      </c>
      <c r="S435" s="6" t="s">
        <v>37</v>
      </c>
      <c r="T435" s="7">
        <v>9.6</v>
      </c>
      <c r="U435" s="6">
        <f>IF(_xlfn.XLOOKUP(A435,[1]Data2!$A:$A,[1]Data2!$B:$B,"no")="yes",1,0)</f>
        <v>0</v>
      </c>
    </row>
    <row r="436" spans="1:21" s="6" customFormat="1" x14ac:dyDescent="0.3">
      <c r="A436" s="6" t="s">
        <v>474</v>
      </c>
      <c r="B436" s="6" t="s">
        <v>46</v>
      </c>
      <c r="C436" s="6" t="s">
        <v>47</v>
      </c>
      <c r="D436" s="6" t="s">
        <v>31</v>
      </c>
      <c r="E436" s="6" t="s">
        <v>25</v>
      </c>
      <c r="F436" s="6" t="s">
        <v>50</v>
      </c>
      <c r="G436" s="7">
        <f>Table2[[#This Row],[Unit price]]-10</f>
        <v>37.44</v>
      </c>
      <c r="H436" s="7">
        <v>47.44</v>
      </c>
      <c r="I436" s="8">
        <v>1</v>
      </c>
      <c r="J436" s="8">
        <f>Table2[[#This Row],[Unit price]]*Table2[[#This Row],[Quantity]]</f>
        <v>47.44</v>
      </c>
      <c r="K436" s="8">
        <f>Table2[[#This Row],[Unit Cost]]*Table2[[#This Row],[Quantity]]</f>
        <v>37.44</v>
      </c>
      <c r="L436" s="8">
        <f>Table2[[#This Row],[Gross Sales]]-Table2[[#This Row],[COGS]]</f>
        <v>10</v>
      </c>
      <c r="M436" s="9">
        <f t="shared" si="6"/>
        <v>0.21079258010118046</v>
      </c>
      <c r="N436" s="7">
        <v>2.3719999999999999</v>
      </c>
      <c r="O436" s="7">
        <v>49.811999999999998</v>
      </c>
      <c r="P436" s="10">
        <v>43518</v>
      </c>
      <c r="Q436" s="10" t="str">
        <f>TEXT(Table2[[#This Row],[Date]],"mmm")</f>
        <v>Feb</v>
      </c>
      <c r="R436" s="11">
        <v>0.7631944444444444</v>
      </c>
      <c r="S436" s="6" t="s">
        <v>37</v>
      </c>
      <c r="T436" s="7">
        <v>6.8</v>
      </c>
      <c r="U436" s="6">
        <f>IF(_xlfn.XLOOKUP(A436,[1]Data2!$A:$A,[1]Data2!$B:$B,"no")="yes",1,0)</f>
        <v>0</v>
      </c>
    </row>
    <row r="437" spans="1:21" s="6" customFormat="1" x14ac:dyDescent="0.3">
      <c r="A437" s="6" t="s">
        <v>475</v>
      </c>
      <c r="B437" s="6" t="s">
        <v>29</v>
      </c>
      <c r="C437" s="6" t="s">
        <v>30</v>
      </c>
      <c r="D437" s="6" t="s">
        <v>31</v>
      </c>
      <c r="E437" s="6" t="s">
        <v>35</v>
      </c>
      <c r="F437" s="6" t="s">
        <v>40</v>
      </c>
      <c r="G437" s="7">
        <f>Table2[[#This Row],[Unit price]]-10</f>
        <v>89.24</v>
      </c>
      <c r="H437" s="7">
        <v>99.24</v>
      </c>
      <c r="I437" s="8">
        <v>9</v>
      </c>
      <c r="J437" s="8">
        <f>Table2[[#This Row],[Unit price]]*Table2[[#This Row],[Quantity]]</f>
        <v>893.16</v>
      </c>
      <c r="K437" s="8">
        <f>Table2[[#This Row],[Unit Cost]]*Table2[[#This Row],[Quantity]]</f>
        <v>803.16</v>
      </c>
      <c r="L437" s="8">
        <f>Table2[[#This Row],[Gross Sales]]-Table2[[#This Row],[COGS]]</f>
        <v>90</v>
      </c>
      <c r="M437" s="9">
        <f t="shared" si="6"/>
        <v>0.10076582023377671</v>
      </c>
      <c r="N437" s="7">
        <v>44.658000000000001</v>
      </c>
      <c r="O437" s="7">
        <v>937.81799999999998</v>
      </c>
      <c r="P437" s="10">
        <v>43543</v>
      </c>
      <c r="Q437" s="10" t="str">
        <f>TEXT(Table2[[#This Row],[Date]],"mmm")</f>
        <v>Mar</v>
      </c>
      <c r="R437" s="11">
        <v>0.79791666666666661</v>
      </c>
      <c r="S437" s="6" t="s">
        <v>27</v>
      </c>
      <c r="T437" s="7">
        <v>9</v>
      </c>
      <c r="U437" s="6">
        <f>IF(_xlfn.XLOOKUP(A437,[1]Data2!$A:$A,[1]Data2!$B:$B,"no")="yes",1,0)</f>
        <v>0</v>
      </c>
    </row>
    <row r="438" spans="1:21" s="6" customFormat="1" x14ac:dyDescent="0.3">
      <c r="A438" s="6" t="s">
        <v>476</v>
      </c>
      <c r="B438" s="6" t="s">
        <v>29</v>
      </c>
      <c r="C438" s="6" t="s">
        <v>30</v>
      </c>
      <c r="D438" s="6" t="s">
        <v>24</v>
      </c>
      <c r="E438" s="6" t="s">
        <v>35</v>
      </c>
      <c r="F438" s="6" t="s">
        <v>40</v>
      </c>
      <c r="G438" s="7">
        <f>Table2[[#This Row],[Unit price]]-10</f>
        <v>72.930000000000007</v>
      </c>
      <c r="H438" s="7">
        <v>82.93</v>
      </c>
      <c r="I438" s="8">
        <v>4</v>
      </c>
      <c r="J438" s="8">
        <f>Table2[[#This Row],[Unit price]]*Table2[[#This Row],[Quantity]]</f>
        <v>331.72</v>
      </c>
      <c r="K438" s="8">
        <f>Table2[[#This Row],[Unit Cost]]*Table2[[#This Row],[Quantity]]</f>
        <v>291.72000000000003</v>
      </c>
      <c r="L438" s="8">
        <f>Table2[[#This Row],[Gross Sales]]-Table2[[#This Row],[COGS]]</f>
        <v>40</v>
      </c>
      <c r="M438" s="9">
        <f t="shared" si="6"/>
        <v>0.12058362474375979</v>
      </c>
      <c r="N438" s="7">
        <v>16.585999999999999</v>
      </c>
      <c r="O438" s="7">
        <v>348.30599999999998</v>
      </c>
      <c r="P438" s="10">
        <v>43485</v>
      </c>
      <c r="Q438" s="10" t="str">
        <f>TEXT(Table2[[#This Row],[Date]],"mmm")</f>
        <v>Jan</v>
      </c>
      <c r="R438" s="11">
        <v>0.70208333333333339</v>
      </c>
      <c r="S438" s="6" t="s">
        <v>27</v>
      </c>
      <c r="T438" s="7">
        <v>9.6</v>
      </c>
      <c r="U438" s="6">
        <f>IF(_xlfn.XLOOKUP(A438,[1]Data2!$A:$A,[1]Data2!$B:$B,"no")="yes",1,0)</f>
        <v>1</v>
      </c>
    </row>
    <row r="439" spans="1:21" s="6" customFormat="1" x14ac:dyDescent="0.3">
      <c r="A439" s="6" t="s">
        <v>477</v>
      </c>
      <c r="B439" s="6" t="s">
        <v>22</v>
      </c>
      <c r="C439" s="6" t="s">
        <v>23</v>
      </c>
      <c r="D439" s="6" t="s">
        <v>31</v>
      </c>
      <c r="E439" s="6" t="s">
        <v>35</v>
      </c>
      <c r="F439" s="6" t="s">
        <v>36</v>
      </c>
      <c r="G439" s="7">
        <f>Table2[[#This Row],[Unit price]]-10</f>
        <v>23.990000000000002</v>
      </c>
      <c r="H439" s="7">
        <v>33.99</v>
      </c>
      <c r="I439" s="8">
        <v>6</v>
      </c>
      <c r="J439" s="8">
        <f>Table2[[#This Row],[Unit price]]*Table2[[#This Row],[Quantity]]</f>
        <v>203.94</v>
      </c>
      <c r="K439" s="8">
        <f>Table2[[#This Row],[Unit Cost]]*Table2[[#This Row],[Quantity]]</f>
        <v>143.94</v>
      </c>
      <c r="L439" s="8">
        <f>Table2[[#This Row],[Gross Sales]]-Table2[[#This Row],[COGS]]</f>
        <v>60</v>
      </c>
      <c r="M439" s="9">
        <f t="shared" si="6"/>
        <v>0.29420417769932333</v>
      </c>
      <c r="N439" s="7">
        <v>10.196999999999999</v>
      </c>
      <c r="O439" s="7">
        <v>214.137</v>
      </c>
      <c r="P439" s="10">
        <v>43532</v>
      </c>
      <c r="Q439" s="10" t="str">
        <f>TEXT(Table2[[#This Row],[Date]],"mmm")</f>
        <v>Mar</v>
      </c>
      <c r="R439" s="11">
        <v>0.65069444444444446</v>
      </c>
      <c r="S439" s="6" t="s">
        <v>37</v>
      </c>
      <c r="T439" s="7">
        <v>7.7</v>
      </c>
      <c r="U439" s="6">
        <f>IF(_xlfn.XLOOKUP(A439,[1]Data2!$A:$A,[1]Data2!$B:$B,"no")="yes",1,0)</f>
        <v>0</v>
      </c>
    </row>
    <row r="440" spans="1:21" s="6" customFormat="1" x14ac:dyDescent="0.3">
      <c r="A440" s="6" t="s">
        <v>478</v>
      </c>
      <c r="B440" s="6" t="s">
        <v>29</v>
      </c>
      <c r="C440" s="6" t="s">
        <v>30</v>
      </c>
      <c r="D440" s="6" t="s">
        <v>24</v>
      </c>
      <c r="E440" s="6" t="s">
        <v>35</v>
      </c>
      <c r="F440" s="6" t="s">
        <v>48</v>
      </c>
      <c r="G440" s="7">
        <f>Table2[[#This Row],[Unit price]]-10</f>
        <v>7.0399999999999991</v>
      </c>
      <c r="H440" s="7">
        <v>17.04</v>
      </c>
      <c r="I440" s="8">
        <v>4</v>
      </c>
      <c r="J440" s="8">
        <f>Table2[[#This Row],[Unit price]]*Table2[[#This Row],[Quantity]]</f>
        <v>68.16</v>
      </c>
      <c r="K440" s="8">
        <f>Table2[[#This Row],[Unit Cost]]*Table2[[#This Row],[Quantity]]</f>
        <v>28.159999999999997</v>
      </c>
      <c r="L440" s="8">
        <f>Table2[[#This Row],[Gross Sales]]-Table2[[#This Row],[COGS]]</f>
        <v>40</v>
      </c>
      <c r="M440" s="9">
        <f t="shared" si="6"/>
        <v>0.58685446009389675</v>
      </c>
      <c r="N440" s="7">
        <v>3.4079999999999999</v>
      </c>
      <c r="O440" s="7">
        <v>71.567999999999998</v>
      </c>
      <c r="P440" s="10">
        <v>43532</v>
      </c>
      <c r="Q440" s="10" t="str">
        <f>TEXT(Table2[[#This Row],[Date]],"mmm")</f>
        <v>Mar</v>
      </c>
      <c r="R440" s="11">
        <v>0.84375</v>
      </c>
      <c r="S440" s="6" t="s">
        <v>27</v>
      </c>
      <c r="T440" s="7">
        <v>7</v>
      </c>
      <c r="U440" s="6">
        <f>IF(_xlfn.XLOOKUP(A440,[1]Data2!$A:$A,[1]Data2!$B:$B,"no")="yes",1,0)</f>
        <v>0</v>
      </c>
    </row>
    <row r="441" spans="1:21" s="6" customFormat="1" x14ac:dyDescent="0.3">
      <c r="A441" s="6" t="s">
        <v>479</v>
      </c>
      <c r="B441" s="6" t="s">
        <v>29</v>
      </c>
      <c r="C441" s="6" t="s">
        <v>30</v>
      </c>
      <c r="D441" s="6" t="s">
        <v>31</v>
      </c>
      <c r="E441" s="6" t="s">
        <v>25</v>
      </c>
      <c r="F441" s="6" t="s">
        <v>32</v>
      </c>
      <c r="G441" s="7">
        <f>Table2[[#This Row],[Unit price]]-10</f>
        <v>30.86</v>
      </c>
      <c r="H441" s="7">
        <v>40.86</v>
      </c>
      <c r="I441" s="8">
        <v>8</v>
      </c>
      <c r="J441" s="8">
        <f>Table2[[#This Row],[Unit price]]*Table2[[#This Row],[Quantity]]</f>
        <v>326.88</v>
      </c>
      <c r="K441" s="8">
        <f>Table2[[#This Row],[Unit Cost]]*Table2[[#This Row],[Quantity]]</f>
        <v>246.88</v>
      </c>
      <c r="L441" s="8">
        <f>Table2[[#This Row],[Gross Sales]]-Table2[[#This Row],[COGS]]</f>
        <v>80</v>
      </c>
      <c r="M441" s="9">
        <f t="shared" si="6"/>
        <v>0.24473813020068527</v>
      </c>
      <c r="N441" s="7">
        <v>16.344000000000001</v>
      </c>
      <c r="O441" s="7">
        <v>343.22399999999999</v>
      </c>
      <c r="P441" s="10">
        <v>43503</v>
      </c>
      <c r="Q441" s="10" t="str">
        <f>TEXT(Table2[[#This Row],[Date]],"mmm")</f>
        <v>Feb</v>
      </c>
      <c r="R441" s="11">
        <v>0.60972222222222217</v>
      </c>
      <c r="S441" s="6" t="s">
        <v>37</v>
      </c>
      <c r="T441" s="7">
        <v>6.5</v>
      </c>
      <c r="U441" s="6">
        <f>IF(_xlfn.XLOOKUP(A441,[1]Data2!$A:$A,[1]Data2!$B:$B,"no")="yes",1,0)</f>
        <v>0</v>
      </c>
    </row>
    <row r="442" spans="1:21" s="6" customFormat="1" x14ac:dyDescent="0.3">
      <c r="A442" s="6" t="s">
        <v>480</v>
      </c>
      <c r="B442" s="6" t="s">
        <v>29</v>
      </c>
      <c r="C442" s="6" t="s">
        <v>30</v>
      </c>
      <c r="D442" s="6" t="s">
        <v>24</v>
      </c>
      <c r="E442" s="6" t="s">
        <v>35</v>
      </c>
      <c r="F442" s="6" t="s">
        <v>48</v>
      </c>
      <c r="G442" s="7">
        <f>Table2[[#This Row],[Unit price]]-10</f>
        <v>7.4400000000000013</v>
      </c>
      <c r="H442" s="7">
        <v>17.440000000000001</v>
      </c>
      <c r="I442" s="8">
        <v>5</v>
      </c>
      <c r="J442" s="8">
        <f>Table2[[#This Row],[Unit price]]*Table2[[#This Row],[Quantity]]</f>
        <v>87.2</v>
      </c>
      <c r="K442" s="8">
        <f>Table2[[#This Row],[Unit Cost]]*Table2[[#This Row],[Quantity]]</f>
        <v>37.200000000000003</v>
      </c>
      <c r="L442" s="8">
        <f>Table2[[#This Row],[Gross Sales]]-Table2[[#This Row],[COGS]]</f>
        <v>50</v>
      </c>
      <c r="M442" s="9">
        <f t="shared" si="6"/>
        <v>0.57339449541284404</v>
      </c>
      <c r="N442" s="7">
        <v>4.3600000000000003</v>
      </c>
      <c r="O442" s="7">
        <v>91.56</v>
      </c>
      <c r="P442" s="10">
        <v>43480</v>
      </c>
      <c r="Q442" s="10" t="str">
        <f>TEXT(Table2[[#This Row],[Date]],"mmm")</f>
        <v>Jan</v>
      </c>
      <c r="R442" s="11">
        <v>0.80902777777777779</v>
      </c>
      <c r="S442" s="6" t="s">
        <v>33</v>
      </c>
      <c r="T442" s="7">
        <v>8.1</v>
      </c>
      <c r="U442" s="6">
        <f>IF(_xlfn.XLOOKUP(A442,[1]Data2!$A:$A,[1]Data2!$B:$B,"no")="yes",1,0)</f>
        <v>1</v>
      </c>
    </row>
    <row r="443" spans="1:21" s="6" customFormat="1" x14ac:dyDescent="0.3">
      <c r="A443" s="6" t="s">
        <v>481</v>
      </c>
      <c r="B443" s="6" t="s">
        <v>46</v>
      </c>
      <c r="C443" s="6" t="s">
        <v>47</v>
      </c>
      <c r="D443" s="6" t="s">
        <v>24</v>
      </c>
      <c r="E443" s="6" t="s">
        <v>25</v>
      </c>
      <c r="F443" s="6" t="s">
        <v>40</v>
      </c>
      <c r="G443" s="7">
        <f>Table2[[#This Row],[Unit price]]-10</f>
        <v>78.430000000000007</v>
      </c>
      <c r="H443" s="7">
        <v>88.43</v>
      </c>
      <c r="I443" s="8">
        <v>8</v>
      </c>
      <c r="J443" s="8">
        <f>Table2[[#This Row],[Unit price]]*Table2[[#This Row],[Quantity]]</f>
        <v>707.44</v>
      </c>
      <c r="K443" s="8">
        <f>Table2[[#This Row],[Unit Cost]]*Table2[[#This Row],[Quantity]]</f>
        <v>627.44000000000005</v>
      </c>
      <c r="L443" s="8">
        <f>Table2[[#This Row],[Gross Sales]]-Table2[[#This Row],[COGS]]</f>
        <v>80</v>
      </c>
      <c r="M443" s="9">
        <f t="shared" si="6"/>
        <v>0.11308379509216328</v>
      </c>
      <c r="N443" s="7">
        <v>35.372</v>
      </c>
      <c r="O443" s="7">
        <v>742.81200000000001</v>
      </c>
      <c r="P443" s="10">
        <v>43546</v>
      </c>
      <c r="Q443" s="10" t="str">
        <f>TEXT(Table2[[#This Row],[Date]],"mmm")</f>
        <v>Mar</v>
      </c>
      <c r="R443" s="11">
        <v>0.81597222222222221</v>
      </c>
      <c r="S443" s="6" t="s">
        <v>37</v>
      </c>
      <c r="T443" s="7">
        <v>4.3</v>
      </c>
      <c r="U443" s="6">
        <f>IF(_xlfn.XLOOKUP(A443,[1]Data2!$A:$A,[1]Data2!$B:$B,"no")="yes",1,0)</f>
        <v>0</v>
      </c>
    </row>
    <row r="444" spans="1:21" s="6" customFormat="1" x14ac:dyDescent="0.3">
      <c r="A444" s="6" t="s">
        <v>482</v>
      </c>
      <c r="B444" s="6" t="s">
        <v>22</v>
      </c>
      <c r="C444" s="6" t="s">
        <v>23</v>
      </c>
      <c r="D444" s="6" t="s">
        <v>24</v>
      </c>
      <c r="E444" s="6" t="s">
        <v>25</v>
      </c>
      <c r="F444" s="6" t="s">
        <v>36</v>
      </c>
      <c r="G444" s="7">
        <f>Table2[[#This Row],[Unit price]]-10</f>
        <v>79.209999999999994</v>
      </c>
      <c r="H444" s="7">
        <v>89.21</v>
      </c>
      <c r="I444" s="8">
        <v>9</v>
      </c>
      <c r="J444" s="8">
        <f>Table2[[#This Row],[Unit price]]*Table2[[#This Row],[Quantity]]</f>
        <v>802.89</v>
      </c>
      <c r="K444" s="8">
        <f>Table2[[#This Row],[Unit Cost]]*Table2[[#This Row],[Quantity]]</f>
        <v>712.89</v>
      </c>
      <c r="L444" s="8">
        <f>Table2[[#This Row],[Gross Sales]]-Table2[[#This Row],[COGS]]</f>
        <v>90</v>
      </c>
      <c r="M444" s="9">
        <f t="shared" si="6"/>
        <v>0.11209505660800359</v>
      </c>
      <c r="N444" s="7">
        <v>40.144500000000001</v>
      </c>
      <c r="O444" s="7">
        <v>843.03449999999998</v>
      </c>
      <c r="P444" s="10">
        <v>43480</v>
      </c>
      <c r="Q444" s="10" t="str">
        <f>TEXT(Table2[[#This Row],[Date]],"mmm")</f>
        <v>Jan</v>
      </c>
      <c r="R444" s="11">
        <v>0.65416666666666667</v>
      </c>
      <c r="S444" s="6" t="s">
        <v>37</v>
      </c>
      <c r="T444" s="7">
        <v>6.5</v>
      </c>
      <c r="U444" s="6">
        <f>IF(_xlfn.XLOOKUP(A444,[1]Data2!$A:$A,[1]Data2!$B:$B,"no")="yes",1,0)</f>
        <v>0</v>
      </c>
    </row>
    <row r="445" spans="1:21" s="6" customFormat="1" x14ac:dyDescent="0.3">
      <c r="A445" s="6" t="s">
        <v>483</v>
      </c>
      <c r="B445" s="6" t="s">
        <v>29</v>
      </c>
      <c r="C445" s="6" t="s">
        <v>30</v>
      </c>
      <c r="D445" s="6" t="s">
        <v>31</v>
      </c>
      <c r="E445" s="6" t="s">
        <v>35</v>
      </c>
      <c r="F445" s="6" t="s">
        <v>50</v>
      </c>
      <c r="G445" s="7">
        <f>Table2[[#This Row],[Unit price]]-10</f>
        <v>2.7799999999999994</v>
      </c>
      <c r="H445" s="7">
        <v>12.78</v>
      </c>
      <c r="I445" s="8">
        <v>1</v>
      </c>
      <c r="J445" s="8">
        <f>Table2[[#This Row],[Unit price]]*Table2[[#This Row],[Quantity]]</f>
        <v>12.78</v>
      </c>
      <c r="K445" s="8">
        <f>Table2[[#This Row],[Unit Cost]]*Table2[[#This Row],[Quantity]]</f>
        <v>2.7799999999999994</v>
      </c>
      <c r="L445" s="8">
        <f>Table2[[#This Row],[Gross Sales]]-Table2[[#This Row],[COGS]]</f>
        <v>10</v>
      </c>
      <c r="M445" s="9">
        <f t="shared" si="6"/>
        <v>0.78247261345852903</v>
      </c>
      <c r="N445" s="7">
        <v>0.63900000000000001</v>
      </c>
      <c r="O445" s="7">
        <v>13.419</v>
      </c>
      <c r="P445" s="10">
        <v>43473</v>
      </c>
      <c r="Q445" s="10" t="str">
        <f>TEXT(Table2[[#This Row],[Date]],"mmm")</f>
        <v>Jan</v>
      </c>
      <c r="R445" s="11">
        <v>0.59097222222222223</v>
      </c>
      <c r="S445" s="6" t="s">
        <v>27</v>
      </c>
      <c r="T445" s="7">
        <v>9.5</v>
      </c>
      <c r="U445" s="6">
        <f>IF(_xlfn.XLOOKUP(A445,[1]Data2!$A:$A,[1]Data2!$B:$B,"no")="yes",1,0)</f>
        <v>0</v>
      </c>
    </row>
    <row r="446" spans="1:21" s="6" customFormat="1" x14ac:dyDescent="0.3">
      <c r="A446" s="6" t="s">
        <v>484</v>
      </c>
      <c r="B446" s="6" t="s">
        <v>22</v>
      </c>
      <c r="C446" s="6" t="s">
        <v>23</v>
      </c>
      <c r="D446" s="6" t="s">
        <v>31</v>
      </c>
      <c r="E446" s="6" t="s">
        <v>25</v>
      </c>
      <c r="F446" s="6" t="s">
        <v>40</v>
      </c>
      <c r="G446" s="7">
        <f>Table2[[#This Row],[Unit price]]-10</f>
        <v>9.1000000000000014</v>
      </c>
      <c r="H446" s="7">
        <v>19.100000000000001</v>
      </c>
      <c r="I446" s="8">
        <v>7</v>
      </c>
      <c r="J446" s="8">
        <f>Table2[[#This Row],[Unit price]]*Table2[[#This Row],[Quantity]]</f>
        <v>133.70000000000002</v>
      </c>
      <c r="K446" s="8">
        <f>Table2[[#This Row],[Unit Cost]]*Table2[[#This Row],[Quantity]]</f>
        <v>63.70000000000001</v>
      </c>
      <c r="L446" s="8">
        <f>Table2[[#This Row],[Gross Sales]]-Table2[[#This Row],[COGS]]</f>
        <v>70</v>
      </c>
      <c r="M446" s="9">
        <f t="shared" si="6"/>
        <v>0.52356020942408366</v>
      </c>
      <c r="N446" s="7">
        <v>6.6849999999999996</v>
      </c>
      <c r="O446" s="7">
        <v>140.38499999999999</v>
      </c>
      <c r="P446" s="10">
        <v>43480</v>
      </c>
      <c r="Q446" s="10" t="str">
        <f>TEXT(Table2[[#This Row],[Date]],"mmm")</f>
        <v>Jan</v>
      </c>
      <c r="R446" s="11">
        <v>0.4465277777777778</v>
      </c>
      <c r="S446" s="6" t="s">
        <v>33</v>
      </c>
      <c r="T446" s="7">
        <v>9.6999999999999993</v>
      </c>
      <c r="U446" s="6">
        <f>IF(_xlfn.XLOOKUP(A446,[1]Data2!$A:$A,[1]Data2!$B:$B,"no")="yes",1,0)</f>
        <v>1</v>
      </c>
    </row>
    <row r="447" spans="1:21" s="6" customFormat="1" x14ac:dyDescent="0.3">
      <c r="A447" s="6" t="s">
        <v>485</v>
      </c>
      <c r="B447" s="6" t="s">
        <v>46</v>
      </c>
      <c r="C447" s="6" t="s">
        <v>47</v>
      </c>
      <c r="D447" s="6" t="s">
        <v>24</v>
      </c>
      <c r="E447" s="6" t="s">
        <v>25</v>
      </c>
      <c r="F447" s="6" t="s">
        <v>26</v>
      </c>
      <c r="G447" s="7">
        <f>Table2[[#This Row],[Unit price]]-10</f>
        <v>9.1499999999999986</v>
      </c>
      <c r="H447" s="7">
        <v>19.149999999999999</v>
      </c>
      <c r="I447" s="8">
        <v>1</v>
      </c>
      <c r="J447" s="8">
        <f>Table2[[#This Row],[Unit price]]*Table2[[#This Row],[Quantity]]</f>
        <v>19.149999999999999</v>
      </c>
      <c r="K447" s="8">
        <f>Table2[[#This Row],[Unit Cost]]*Table2[[#This Row],[Quantity]]</f>
        <v>9.1499999999999986</v>
      </c>
      <c r="L447" s="8">
        <f>Table2[[#This Row],[Gross Sales]]-Table2[[#This Row],[COGS]]</f>
        <v>10</v>
      </c>
      <c r="M447" s="9">
        <f t="shared" si="6"/>
        <v>0.52219321148825071</v>
      </c>
      <c r="N447" s="7">
        <v>0.95750000000000002</v>
      </c>
      <c r="O447" s="7">
        <v>20.107500000000002</v>
      </c>
      <c r="P447" s="10">
        <v>43493</v>
      </c>
      <c r="Q447" s="10" t="str">
        <f>TEXT(Table2[[#This Row],[Date]],"mmm")</f>
        <v>Jan</v>
      </c>
      <c r="R447" s="11">
        <v>0.74861111111111101</v>
      </c>
      <c r="S447" s="6" t="s">
        <v>37</v>
      </c>
      <c r="T447" s="7">
        <v>9.5</v>
      </c>
      <c r="U447" s="6">
        <f>IF(_xlfn.XLOOKUP(A447,[1]Data2!$A:$A,[1]Data2!$B:$B,"no")="yes",1,0)</f>
        <v>0</v>
      </c>
    </row>
    <row r="448" spans="1:21" s="6" customFormat="1" x14ac:dyDescent="0.3">
      <c r="A448" s="6" t="s">
        <v>486</v>
      </c>
      <c r="B448" s="6" t="s">
        <v>29</v>
      </c>
      <c r="C448" s="6" t="s">
        <v>30</v>
      </c>
      <c r="D448" s="6" t="s">
        <v>24</v>
      </c>
      <c r="E448" s="6" t="s">
        <v>35</v>
      </c>
      <c r="F448" s="6" t="s">
        <v>48</v>
      </c>
      <c r="G448" s="7">
        <f>Table2[[#This Row],[Unit price]]-10</f>
        <v>17.66</v>
      </c>
      <c r="H448" s="7">
        <v>27.66</v>
      </c>
      <c r="I448" s="8">
        <v>10</v>
      </c>
      <c r="J448" s="8">
        <f>Table2[[#This Row],[Unit price]]*Table2[[#This Row],[Quantity]]</f>
        <v>276.60000000000002</v>
      </c>
      <c r="K448" s="8">
        <f>Table2[[#This Row],[Unit Cost]]*Table2[[#This Row],[Quantity]]</f>
        <v>176.6</v>
      </c>
      <c r="L448" s="8">
        <f>Table2[[#This Row],[Gross Sales]]-Table2[[#This Row],[COGS]]</f>
        <v>100.00000000000003</v>
      </c>
      <c r="M448" s="9">
        <f t="shared" si="6"/>
        <v>0.36153289949385403</v>
      </c>
      <c r="N448" s="7">
        <v>13.83</v>
      </c>
      <c r="O448" s="7">
        <v>290.43</v>
      </c>
      <c r="P448" s="10">
        <v>43510</v>
      </c>
      <c r="Q448" s="10" t="str">
        <f>TEXT(Table2[[#This Row],[Date]],"mmm")</f>
        <v>Feb</v>
      </c>
      <c r="R448" s="11">
        <v>0.47638888888888892</v>
      </c>
      <c r="S448" s="6" t="s">
        <v>37</v>
      </c>
      <c r="T448" s="7">
        <v>8.9</v>
      </c>
      <c r="U448" s="6">
        <f>IF(_xlfn.XLOOKUP(A448,[1]Data2!$A:$A,[1]Data2!$B:$B,"no")="yes",1,0)</f>
        <v>0</v>
      </c>
    </row>
    <row r="449" spans="1:21" s="6" customFormat="1" x14ac:dyDescent="0.3">
      <c r="A449" s="6" t="s">
        <v>487</v>
      </c>
      <c r="B449" s="6" t="s">
        <v>29</v>
      </c>
      <c r="C449" s="6" t="s">
        <v>30</v>
      </c>
      <c r="D449" s="6" t="s">
        <v>31</v>
      </c>
      <c r="E449" s="6" t="s">
        <v>35</v>
      </c>
      <c r="F449" s="6" t="s">
        <v>50</v>
      </c>
      <c r="G449" s="7">
        <f>Table2[[#This Row],[Unit price]]-10</f>
        <v>35.74</v>
      </c>
      <c r="H449" s="7">
        <v>45.74</v>
      </c>
      <c r="I449" s="8">
        <v>3</v>
      </c>
      <c r="J449" s="8">
        <f>Table2[[#This Row],[Unit price]]*Table2[[#This Row],[Quantity]]</f>
        <v>137.22</v>
      </c>
      <c r="K449" s="8">
        <f>Table2[[#This Row],[Unit Cost]]*Table2[[#This Row],[Quantity]]</f>
        <v>107.22</v>
      </c>
      <c r="L449" s="8">
        <f>Table2[[#This Row],[Gross Sales]]-Table2[[#This Row],[COGS]]</f>
        <v>30</v>
      </c>
      <c r="M449" s="9">
        <f t="shared" si="6"/>
        <v>0.21862702229995629</v>
      </c>
      <c r="N449" s="7">
        <v>6.8609999999999998</v>
      </c>
      <c r="O449" s="7">
        <v>144.08099999999999</v>
      </c>
      <c r="P449" s="10">
        <v>43534</v>
      </c>
      <c r="Q449" s="10" t="str">
        <f>TEXT(Table2[[#This Row],[Date]],"mmm")</f>
        <v>Mar</v>
      </c>
      <c r="R449" s="11">
        <v>0.73472222222222217</v>
      </c>
      <c r="S449" s="6" t="s">
        <v>37</v>
      </c>
      <c r="T449" s="7">
        <v>6.5</v>
      </c>
      <c r="U449" s="6">
        <f>IF(_xlfn.XLOOKUP(A449,[1]Data2!$A:$A,[1]Data2!$B:$B,"no")="yes",1,0)</f>
        <v>0</v>
      </c>
    </row>
    <row r="450" spans="1:21" s="6" customFormat="1" x14ac:dyDescent="0.3">
      <c r="A450" s="6" t="s">
        <v>488</v>
      </c>
      <c r="B450" s="6" t="s">
        <v>46</v>
      </c>
      <c r="C450" s="6" t="s">
        <v>47</v>
      </c>
      <c r="D450" s="6" t="s">
        <v>24</v>
      </c>
      <c r="E450" s="6" t="s">
        <v>25</v>
      </c>
      <c r="F450" s="6" t="s">
        <v>26</v>
      </c>
      <c r="G450" s="7">
        <f>Table2[[#This Row],[Unit price]]-10</f>
        <v>17.07</v>
      </c>
      <c r="H450" s="7">
        <v>27.07</v>
      </c>
      <c r="I450" s="8">
        <v>1</v>
      </c>
      <c r="J450" s="8">
        <f>Table2[[#This Row],[Unit price]]*Table2[[#This Row],[Quantity]]</f>
        <v>27.07</v>
      </c>
      <c r="K450" s="8">
        <f>Table2[[#This Row],[Unit Cost]]*Table2[[#This Row],[Quantity]]</f>
        <v>17.07</v>
      </c>
      <c r="L450" s="8">
        <f>Table2[[#This Row],[Gross Sales]]-Table2[[#This Row],[COGS]]</f>
        <v>10</v>
      </c>
      <c r="M450" s="9">
        <f t="shared" si="6"/>
        <v>0.36941263391207979</v>
      </c>
      <c r="N450" s="7">
        <v>1.3534999999999999</v>
      </c>
      <c r="O450" s="7">
        <v>28.423500000000001</v>
      </c>
      <c r="P450" s="10">
        <v>43477</v>
      </c>
      <c r="Q450" s="10" t="str">
        <f>TEXT(Table2[[#This Row],[Date]],"mmm")</f>
        <v>Jan</v>
      </c>
      <c r="R450" s="11">
        <v>0.83819444444444446</v>
      </c>
      <c r="S450" s="6" t="s">
        <v>37</v>
      </c>
      <c r="T450" s="7">
        <v>5.3</v>
      </c>
      <c r="U450" s="6">
        <f>IF(_xlfn.XLOOKUP(A450,[1]Data2!$A:$A,[1]Data2!$B:$B,"no")="yes",1,0)</f>
        <v>1</v>
      </c>
    </row>
    <row r="451" spans="1:21" s="6" customFormat="1" x14ac:dyDescent="0.3">
      <c r="A451" s="6" t="s">
        <v>489</v>
      </c>
      <c r="B451" s="6" t="s">
        <v>46</v>
      </c>
      <c r="C451" s="6" t="s">
        <v>47</v>
      </c>
      <c r="D451" s="6" t="s">
        <v>24</v>
      </c>
      <c r="E451" s="6" t="s">
        <v>25</v>
      </c>
      <c r="F451" s="6" t="s">
        <v>40</v>
      </c>
      <c r="G451" s="7">
        <f>Table2[[#This Row],[Unit price]]-10</f>
        <v>29.119999999999997</v>
      </c>
      <c r="H451" s="7">
        <v>39.119999999999997</v>
      </c>
      <c r="I451" s="8">
        <v>1</v>
      </c>
      <c r="J451" s="8">
        <f>Table2[[#This Row],[Unit price]]*Table2[[#This Row],[Quantity]]</f>
        <v>39.119999999999997</v>
      </c>
      <c r="K451" s="8">
        <f>Table2[[#This Row],[Unit Cost]]*Table2[[#This Row],[Quantity]]</f>
        <v>29.119999999999997</v>
      </c>
      <c r="L451" s="8">
        <f>Table2[[#This Row],[Gross Sales]]-Table2[[#This Row],[COGS]]</f>
        <v>10</v>
      </c>
      <c r="M451" s="9">
        <f t="shared" ref="M451:M514" si="7">IFERROR(L451/J451,0)</f>
        <v>0.2556237218813906</v>
      </c>
      <c r="N451" s="7">
        <v>1.956</v>
      </c>
      <c r="O451" s="7">
        <v>41.076000000000001</v>
      </c>
      <c r="P451" s="10">
        <v>43550</v>
      </c>
      <c r="Q451" s="10" t="str">
        <f>TEXT(Table2[[#This Row],[Date]],"mmm")</f>
        <v>Mar</v>
      </c>
      <c r="R451" s="11">
        <v>0.4597222222222222</v>
      </c>
      <c r="S451" s="6" t="s">
        <v>37</v>
      </c>
      <c r="T451" s="7">
        <v>9.6</v>
      </c>
      <c r="U451" s="6">
        <f>IF(_xlfn.XLOOKUP(A451,[1]Data2!$A:$A,[1]Data2!$B:$B,"no")="yes",1,0)</f>
        <v>0</v>
      </c>
    </row>
    <row r="452" spans="1:21" s="6" customFormat="1" x14ac:dyDescent="0.3">
      <c r="A452" s="6" t="s">
        <v>490</v>
      </c>
      <c r="B452" s="6" t="s">
        <v>46</v>
      </c>
      <c r="C452" s="6" t="s">
        <v>47</v>
      </c>
      <c r="D452" s="6" t="s">
        <v>31</v>
      </c>
      <c r="E452" s="6" t="s">
        <v>25</v>
      </c>
      <c r="F452" s="6" t="s">
        <v>32</v>
      </c>
      <c r="G452" s="7">
        <f>Table2[[#This Row],[Unit price]]-10</f>
        <v>64.709999999999994</v>
      </c>
      <c r="H452" s="7">
        <v>74.709999999999994</v>
      </c>
      <c r="I452" s="8">
        <v>6</v>
      </c>
      <c r="J452" s="8">
        <f>Table2[[#This Row],[Unit price]]*Table2[[#This Row],[Quantity]]</f>
        <v>448.26</v>
      </c>
      <c r="K452" s="8">
        <f>Table2[[#This Row],[Unit Cost]]*Table2[[#This Row],[Quantity]]</f>
        <v>388.26</v>
      </c>
      <c r="L452" s="8">
        <f>Table2[[#This Row],[Gross Sales]]-Table2[[#This Row],[COGS]]</f>
        <v>60</v>
      </c>
      <c r="M452" s="9">
        <f t="shared" si="7"/>
        <v>0.13385089010841922</v>
      </c>
      <c r="N452" s="7">
        <v>22.413</v>
      </c>
      <c r="O452" s="7">
        <v>470.673</v>
      </c>
      <c r="P452" s="10">
        <v>43466</v>
      </c>
      <c r="Q452" s="10" t="str">
        <f>TEXT(Table2[[#This Row],[Date]],"mmm")</f>
        <v>Jan</v>
      </c>
      <c r="R452" s="11">
        <v>0.79652777777777783</v>
      </c>
      <c r="S452" s="6" t="s">
        <v>33</v>
      </c>
      <c r="T452" s="7">
        <v>6.7</v>
      </c>
      <c r="U452" s="6">
        <f>IF(_xlfn.XLOOKUP(A452,[1]Data2!$A:$A,[1]Data2!$B:$B,"no")="yes",1,0)</f>
        <v>0</v>
      </c>
    </row>
    <row r="453" spans="1:21" s="6" customFormat="1" x14ac:dyDescent="0.3">
      <c r="A453" s="6" t="s">
        <v>491</v>
      </c>
      <c r="B453" s="6" t="s">
        <v>46</v>
      </c>
      <c r="C453" s="6" t="s">
        <v>47</v>
      </c>
      <c r="D453" s="6" t="s">
        <v>31</v>
      </c>
      <c r="E453" s="6" t="s">
        <v>35</v>
      </c>
      <c r="F453" s="6" t="s">
        <v>32</v>
      </c>
      <c r="G453" s="7">
        <f>Table2[[#This Row],[Unit price]]-10</f>
        <v>12.010000000000002</v>
      </c>
      <c r="H453" s="7">
        <v>22.01</v>
      </c>
      <c r="I453" s="8">
        <v>6</v>
      </c>
      <c r="J453" s="8">
        <f>Table2[[#This Row],[Unit price]]*Table2[[#This Row],[Quantity]]</f>
        <v>132.06</v>
      </c>
      <c r="K453" s="8">
        <f>Table2[[#This Row],[Unit Cost]]*Table2[[#This Row],[Quantity]]</f>
        <v>72.06</v>
      </c>
      <c r="L453" s="8">
        <f>Table2[[#This Row],[Gross Sales]]-Table2[[#This Row],[COGS]]</f>
        <v>60</v>
      </c>
      <c r="M453" s="9">
        <f t="shared" si="7"/>
        <v>0.45433893684688775</v>
      </c>
      <c r="N453" s="7">
        <v>6.6029999999999998</v>
      </c>
      <c r="O453" s="7">
        <v>138.66300000000001</v>
      </c>
      <c r="P453" s="10">
        <v>43467</v>
      </c>
      <c r="Q453" s="10" t="str">
        <f>TEXT(Table2[[#This Row],[Date]],"mmm")</f>
        <v>Jan</v>
      </c>
      <c r="R453" s="11">
        <v>0.78472222222222221</v>
      </c>
      <c r="S453" s="6" t="s">
        <v>33</v>
      </c>
      <c r="T453" s="7">
        <v>7.6</v>
      </c>
      <c r="U453" s="6">
        <f>IF(_xlfn.XLOOKUP(A453,[1]Data2!$A:$A,[1]Data2!$B:$B,"no")="yes",1,0)</f>
        <v>0</v>
      </c>
    </row>
    <row r="454" spans="1:21" s="6" customFormat="1" x14ac:dyDescent="0.3">
      <c r="A454" s="6" t="s">
        <v>492</v>
      </c>
      <c r="B454" s="6" t="s">
        <v>22</v>
      </c>
      <c r="C454" s="6" t="s">
        <v>23</v>
      </c>
      <c r="D454" s="6" t="s">
        <v>31</v>
      </c>
      <c r="E454" s="6" t="s">
        <v>25</v>
      </c>
      <c r="F454" s="6" t="s">
        <v>48</v>
      </c>
      <c r="G454" s="7">
        <f>Table2[[#This Row],[Unit price]]-10</f>
        <v>53.61</v>
      </c>
      <c r="H454" s="7">
        <v>63.61</v>
      </c>
      <c r="I454" s="8">
        <v>5</v>
      </c>
      <c r="J454" s="8">
        <f>Table2[[#This Row],[Unit price]]*Table2[[#This Row],[Quantity]]</f>
        <v>318.05</v>
      </c>
      <c r="K454" s="8">
        <f>Table2[[#This Row],[Unit Cost]]*Table2[[#This Row],[Quantity]]</f>
        <v>268.05</v>
      </c>
      <c r="L454" s="8">
        <f>Table2[[#This Row],[Gross Sales]]-Table2[[#This Row],[COGS]]</f>
        <v>50</v>
      </c>
      <c r="M454" s="9">
        <f t="shared" si="7"/>
        <v>0.1572079861656972</v>
      </c>
      <c r="N454" s="7">
        <v>15.9025</v>
      </c>
      <c r="O454" s="7">
        <v>333.95249999999999</v>
      </c>
      <c r="P454" s="10">
        <v>43540</v>
      </c>
      <c r="Q454" s="10" t="str">
        <f>TEXT(Table2[[#This Row],[Date]],"mmm")</f>
        <v>Mar</v>
      </c>
      <c r="R454" s="11">
        <v>0.52986111111111112</v>
      </c>
      <c r="S454" s="6" t="s">
        <v>27</v>
      </c>
      <c r="T454" s="7">
        <v>4.8</v>
      </c>
      <c r="U454" s="6">
        <f>IF(_xlfn.XLOOKUP(A454,[1]Data2!$A:$A,[1]Data2!$B:$B,"no")="yes",1,0)</f>
        <v>1</v>
      </c>
    </row>
    <row r="455" spans="1:21" s="6" customFormat="1" x14ac:dyDescent="0.3">
      <c r="A455" s="6" t="s">
        <v>493</v>
      </c>
      <c r="B455" s="6" t="s">
        <v>22</v>
      </c>
      <c r="C455" s="6" t="s">
        <v>23</v>
      </c>
      <c r="D455" s="6" t="s">
        <v>31</v>
      </c>
      <c r="E455" s="6" t="s">
        <v>35</v>
      </c>
      <c r="F455" s="6" t="s">
        <v>26</v>
      </c>
      <c r="G455" s="7">
        <f>Table2[[#This Row],[Unit price]]-10</f>
        <v>15</v>
      </c>
      <c r="H455" s="7">
        <v>25</v>
      </c>
      <c r="I455" s="8">
        <v>1</v>
      </c>
      <c r="J455" s="8">
        <f>Table2[[#This Row],[Unit price]]*Table2[[#This Row],[Quantity]]</f>
        <v>25</v>
      </c>
      <c r="K455" s="8">
        <f>Table2[[#This Row],[Unit Cost]]*Table2[[#This Row],[Quantity]]</f>
        <v>15</v>
      </c>
      <c r="L455" s="8">
        <f>Table2[[#This Row],[Gross Sales]]-Table2[[#This Row],[COGS]]</f>
        <v>10</v>
      </c>
      <c r="M455" s="9">
        <f t="shared" si="7"/>
        <v>0.4</v>
      </c>
      <c r="N455" s="7">
        <v>1.25</v>
      </c>
      <c r="O455" s="7">
        <v>26.25</v>
      </c>
      <c r="P455" s="10">
        <v>43527</v>
      </c>
      <c r="Q455" s="10" t="str">
        <f>TEXT(Table2[[#This Row],[Date]],"mmm")</f>
        <v>Mar</v>
      </c>
      <c r="R455" s="11">
        <v>0.63124999999999998</v>
      </c>
      <c r="S455" s="6" t="s">
        <v>27</v>
      </c>
      <c r="T455" s="7">
        <v>5.5</v>
      </c>
      <c r="U455" s="6">
        <f>IF(_xlfn.XLOOKUP(A455,[1]Data2!$A:$A,[1]Data2!$B:$B,"no")="yes",1,0)</f>
        <v>0</v>
      </c>
    </row>
    <row r="456" spans="1:21" s="6" customFormat="1" x14ac:dyDescent="0.3">
      <c r="A456" s="6" t="s">
        <v>494</v>
      </c>
      <c r="B456" s="6" t="s">
        <v>22</v>
      </c>
      <c r="C456" s="6" t="s">
        <v>23</v>
      </c>
      <c r="D456" s="6" t="s">
        <v>24</v>
      </c>
      <c r="E456" s="6" t="s">
        <v>35</v>
      </c>
      <c r="F456" s="6" t="s">
        <v>32</v>
      </c>
      <c r="G456" s="7">
        <f>Table2[[#This Row],[Unit price]]-10</f>
        <v>10.77</v>
      </c>
      <c r="H456" s="7">
        <v>20.77</v>
      </c>
      <c r="I456" s="8">
        <v>4</v>
      </c>
      <c r="J456" s="8">
        <f>Table2[[#This Row],[Unit price]]*Table2[[#This Row],[Quantity]]</f>
        <v>83.08</v>
      </c>
      <c r="K456" s="8">
        <f>Table2[[#This Row],[Unit Cost]]*Table2[[#This Row],[Quantity]]</f>
        <v>43.08</v>
      </c>
      <c r="L456" s="8">
        <f>Table2[[#This Row],[Gross Sales]]-Table2[[#This Row],[COGS]]</f>
        <v>40</v>
      </c>
      <c r="M456" s="9">
        <f t="shared" si="7"/>
        <v>0.48146364949446319</v>
      </c>
      <c r="N456" s="7">
        <v>4.1539999999999999</v>
      </c>
      <c r="O456" s="7">
        <v>87.233999999999995</v>
      </c>
      <c r="P456" s="10">
        <v>43496</v>
      </c>
      <c r="Q456" s="10" t="str">
        <f>TEXT(Table2[[#This Row],[Date]],"mmm")</f>
        <v>Jan</v>
      </c>
      <c r="R456" s="11">
        <v>0.57430555555555551</v>
      </c>
      <c r="S456" s="6" t="s">
        <v>33</v>
      </c>
      <c r="T456" s="7">
        <v>4.7</v>
      </c>
      <c r="U456" s="6">
        <f>IF(_xlfn.XLOOKUP(A456,[1]Data2!$A:$A,[1]Data2!$B:$B,"no")="yes",1,0)</f>
        <v>0</v>
      </c>
    </row>
    <row r="457" spans="1:21" s="6" customFormat="1" x14ac:dyDescent="0.3">
      <c r="A457" s="6" t="s">
        <v>495</v>
      </c>
      <c r="B457" s="6" t="s">
        <v>46</v>
      </c>
      <c r="C457" s="6" t="s">
        <v>47</v>
      </c>
      <c r="D457" s="6" t="s">
        <v>24</v>
      </c>
      <c r="E457" s="6" t="s">
        <v>25</v>
      </c>
      <c r="F457" s="6" t="s">
        <v>50</v>
      </c>
      <c r="G457" s="7">
        <f>Table2[[#This Row],[Unit price]]-10</f>
        <v>19.559999999999999</v>
      </c>
      <c r="H457" s="7">
        <v>29.56</v>
      </c>
      <c r="I457" s="8">
        <v>5</v>
      </c>
      <c r="J457" s="8">
        <f>Table2[[#This Row],[Unit price]]*Table2[[#This Row],[Quantity]]</f>
        <v>147.79999999999998</v>
      </c>
      <c r="K457" s="8">
        <f>Table2[[#This Row],[Unit Cost]]*Table2[[#This Row],[Quantity]]</f>
        <v>97.8</v>
      </c>
      <c r="L457" s="8">
        <f>Table2[[#This Row],[Gross Sales]]-Table2[[#This Row],[COGS]]</f>
        <v>49.999999999999986</v>
      </c>
      <c r="M457" s="9">
        <f t="shared" si="7"/>
        <v>0.33829499323410006</v>
      </c>
      <c r="N457" s="7">
        <v>7.39</v>
      </c>
      <c r="O457" s="7">
        <v>155.19</v>
      </c>
      <c r="P457" s="10">
        <v>43509</v>
      </c>
      <c r="Q457" s="10" t="str">
        <f>TEXT(Table2[[#This Row],[Date]],"mmm")</f>
        <v>Feb</v>
      </c>
      <c r="R457" s="11">
        <v>0.70763888888888893</v>
      </c>
      <c r="S457" s="6" t="s">
        <v>33</v>
      </c>
      <c r="T457" s="7">
        <v>6.9</v>
      </c>
      <c r="U457" s="6">
        <f>IF(_xlfn.XLOOKUP(A457,[1]Data2!$A:$A,[1]Data2!$B:$B,"no")="yes",1,0)</f>
        <v>0</v>
      </c>
    </row>
    <row r="458" spans="1:21" s="6" customFormat="1" x14ac:dyDescent="0.3">
      <c r="A458" s="6" t="s">
        <v>496</v>
      </c>
      <c r="B458" s="6" t="s">
        <v>46</v>
      </c>
      <c r="C458" s="6" t="s">
        <v>47</v>
      </c>
      <c r="D458" s="6" t="s">
        <v>24</v>
      </c>
      <c r="E458" s="6" t="s">
        <v>25</v>
      </c>
      <c r="F458" s="6" t="s">
        <v>48</v>
      </c>
      <c r="G458" s="7">
        <f>Table2[[#This Row],[Unit price]]-10</f>
        <v>67.400000000000006</v>
      </c>
      <c r="H458" s="7">
        <v>77.400000000000006</v>
      </c>
      <c r="I458" s="8">
        <v>9</v>
      </c>
      <c r="J458" s="8">
        <f>Table2[[#This Row],[Unit price]]*Table2[[#This Row],[Quantity]]</f>
        <v>696.6</v>
      </c>
      <c r="K458" s="8">
        <f>Table2[[#This Row],[Unit Cost]]*Table2[[#This Row],[Quantity]]</f>
        <v>606.6</v>
      </c>
      <c r="L458" s="8">
        <f>Table2[[#This Row],[Gross Sales]]-Table2[[#This Row],[COGS]]</f>
        <v>90</v>
      </c>
      <c r="M458" s="9">
        <f t="shared" si="7"/>
        <v>0.12919896640826872</v>
      </c>
      <c r="N458" s="7">
        <v>34.83</v>
      </c>
      <c r="O458" s="7">
        <v>731.43</v>
      </c>
      <c r="P458" s="10">
        <v>43511</v>
      </c>
      <c r="Q458" s="10" t="str">
        <f>TEXT(Table2[[#This Row],[Date]],"mmm")</f>
        <v>Feb</v>
      </c>
      <c r="R458" s="11">
        <v>0.59375</v>
      </c>
      <c r="S458" s="6" t="s">
        <v>37</v>
      </c>
      <c r="T458" s="7">
        <v>4.5</v>
      </c>
      <c r="U458" s="6">
        <f>IF(_xlfn.XLOOKUP(A458,[1]Data2!$A:$A,[1]Data2!$B:$B,"no")="yes",1,0)</f>
        <v>1</v>
      </c>
    </row>
    <row r="459" spans="1:21" s="6" customFormat="1" x14ac:dyDescent="0.3">
      <c r="A459" s="6" t="s">
        <v>497</v>
      </c>
      <c r="B459" s="6" t="s">
        <v>46</v>
      </c>
      <c r="C459" s="6" t="s">
        <v>47</v>
      </c>
      <c r="D459" s="6" t="s">
        <v>31</v>
      </c>
      <c r="E459" s="6" t="s">
        <v>35</v>
      </c>
      <c r="F459" s="6" t="s">
        <v>32</v>
      </c>
      <c r="G459" s="7">
        <f>Table2[[#This Row],[Unit price]]-10</f>
        <v>69.39</v>
      </c>
      <c r="H459" s="7">
        <v>79.39</v>
      </c>
      <c r="I459" s="8">
        <v>10</v>
      </c>
      <c r="J459" s="8">
        <f>Table2[[#This Row],[Unit price]]*Table2[[#This Row],[Quantity]]</f>
        <v>793.9</v>
      </c>
      <c r="K459" s="8">
        <f>Table2[[#This Row],[Unit Cost]]*Table2[[#This Row],[Quantity]]</f>
        <v>693.9</v>
      </c>
      <c r="L459" s="8">
        <f>Table2[[#This Row],[Gross Sales]]-Table2[[#This Row],[COGS]]</f>
        <v>100</v>
      </c>
      <c r="M459" s="9">
        <f t="shared" si="7"/>
        <v>0.12596044841919637</v>
      </c>
      <c r="N459" s="7">
        <v>39.695</v>
      </c>
      <c r="O459" s="7">
        <v>833.59500000000003</v>
      </c>
      <c r="P459" s="10">
        <v>43503</v>
      </c>
      <c r="Q459" s="10" t="str">
        <f>TEXT(Table2[[#This Row],[Date]],"mmm")</f>
        <v>Feb</v>
      </c>
      <c r="R459" s="11">
        <v>0.85</v>
      </c>
      <c r="S459" s="6" t="s">
        <v>33</v>
      </c>
      <c r="T459" s="7">
        <v>6.2</v>
      </c>
      <c r="U459" s="6">
        <f>IF(_xlfn.XLOOKUP(A459,[1]Data2!$A:$A,[1]Data2!$B:$B,"no")="yes",1,0)</f>
        <v>0</v>
      </c>
    </row>
    <row r="460" spans="1:21" s="6" customFormat="1" x14ac:dyDescent="0.3">
      <c r="A460" s="6" t="s">
        <v>498</v>
      </c>
      <c r="B460" s="6" t="s">
        <v>29</v>
      </c>
      <c r="C460" s="6" t="s">
        <v>30</v>
      </c>
      <c r="D460" s="6" t="s">
        <v>24</v>
      </c>
      <c r="E460" s="6" t="s">
        <v>25</v>
      </c>
      <c r="F460" s="6" t="s">
        <v>32</v>
      </c>
      <c r="G460" s="7">
        <f>Table2[[#This Row],[Unit price]]-10</f>
        <v>36.57</v>
      </c>
      <c r="H460" s="7">
        <v>46.57</v>
      </c>
      <c r="I460" s="8">
        <v>10</v>
      </c>
      <c r="J460" s="8">
        <f>Table2[[#This Row],[Unit price]]*Table2[[#This Row],[Quantity]]</f>
        <v>465.7</v>
      </c>
      <c r="K460" s="8">
        <f>Table2[[#This Row],[Unit Cost]]*Table2[[#This Row],[Quantity]]</f>
        <v>365.7</v>
      </c>
      <c r="L460" s="8">
        <f>Table2[[#This Row],[Gross Sales]]-Table2[[#This Row],[COGS]]</f>
        <v>100</v>
      </c>
      <c r="M460" s="9">
        <f t="shared" si="7"/>
        <v>0.21473051320592657</v>
      </c>
      <c r="N460" s="7">
        <v>23.285</v>
      </c>
      <c r="O460" s="7">
        <v>488.98500000000001</v>
      </c>
      <c r="P460" s="10">
        <v>43492</v>
      </c>
      <c r="Q460" s="10" t="str">
        <f>TEXT(Table2[[#This Row],[Date]],"mmm")</f>
        <v>Jan</v>
      </c>
      <c r="R460" s="11">
        <v>0.58194444444444449</v>
      </c>
      <c r="S460" s="6" t="s">
        <v>33</v>
      </c>
      <c r="T460" s="7">
        <v>7.6</v>
      </c>
      <c r="U460" s="6">
        <f>IF(_xlfn.XLOOKUP(A460,[1]Data2!$A:$A,[1]Data2!$B:$B,"no")="yes",1,0)</f>
        <v>0</v>
      </c>
    </row>
    <row r="461" spans="1:21" s="6" customFormat="1" x14ac:dyDescent="0.3">
      <c r="A461" s="6" t="s">
        <v>499</v>
      </c>
      <c r="B461" s="6" t="s">
        <v>29</v>
      </c>
      <c r="C461" s="6" t="s">
        <v>30</v>
      </c>
      <c r="D461" s="6" t="s">
        <v>31</v>
      </c>
      <c r="E461" s="6" t="s">
        <v>35</v>
      </c>
      <c r="F461" s="6" t="s">
        <v>48</v>
      </c>
      <c r="G461" s="7">
        <f>Table2[[#This Row],[Unit price]]-10</f>
        <v>25.89</v>
      </c>
      <c r="H461" s="7">
        <v>35.89</v>
      </c>
      <c r="I461" s="8">
        <v>1</v>
      </c>
      <c r="J461" s="8">
        <f>Table2[[#This Row],[Unit price]]*Table2[[#This Row],[Quantity]]</f>
        <v>35.89</v>
      </c>
      <c r="K461" s="8">
        <f>Table2[[#This Row],[Unit Cost]]*Table2[[#This Row],[Quantity]]</f>
        <v>25.89</v>
      </c>
      <c r="L461" s="8">
        <f>Table2[[#This Row],[Gross Sales]]-Table2[[#This Row],[COGS]]</f>
        <v>10</v>
      </c>
      <c r="M461" s="9">
        <f t="shared" si="7"/>
        <v>0.27862914460852606</v>
      </c>
      <c r="N461" s="7">
        <v>1.7945</v>
      </c>
      <c r="O461" s="7">
        <v>37.6845</v>
      </c>
      <c r="P461" s="10">
        <v>43519</v>
      </c>
      <c r="Q461" s="10" t="str">
        <f>TEXT(Table2[[#This Row],[Date]],"mmm")</f>
        <v>Feb</v>
      </c>
      <c r="R461" s="11">
        <v>0.70277777777777783</v>
      </c>
      <c r="S461" s="6" t="s">
        <v>37</v>
      </c>
      <c r="T461" s="7">
        <v>7.9</v>
      </c>
      <c r="U461" s="6">
        <f>IF(_xlfn.XLOOKUP(A461,[1]Data2!$A:$A,[1]Data2!$B:$B,"no")="yes",1,0)</f>
        <v>0</v>
      </c>
    </row>
    <row r="462" spans="1:21" s="6" customFormat="1" x14ac:dyDescent="0.3">
      <c r="A462" s="6" t="s">
        <v>500</v>
      </c>
      <c r="B462" s="6" t="s">
        <v>29</v>
      </c>
      <c r="C462" s="6" t="s">
        <v>30</v>
      </c>
      <c r="D462" s="6" t="s">
        <v>31</v>
      </c>
      <c r="E462" s="6" t="s">
        <v>35</v>
      </c>
      <c r="F462" s="6" t="s">
        <v>48</v>
      </c>
      <c r="G462" s="7">
        <f>Table2[[#This Row],[Unit price]]-10</f>
        <v>30.520000000000003</v>
      </c>
      <c r="H462" s="7">
        <v>40.520000000000003</v>
      </c>
      <c r="I462" s="8">
        <v>5</v>
      </c>
      <c r="J462" s="8">
        <f>Table2[[#This Row],[Unit price]]*Table2[[#This Row],[Quantity]]</f>
        <v>202.60000000000002</v>
      </c>
      <c r="K462" s="8">
        <f>Table2[[#This Row],[Unit Cost]]*Table2[[#This Row],[Quantity]]</f>
        <v>152.60000000000002</v>
      </c>
      <c r="L462" s="8">
        <f>Table2[[#This Row],[Gross Sales]]-Table2[[#This Row],[COGS]]</f>
        <v>50</v>
      </c>
      <c r="M462" s="9">
        <f t="shared" si="7"/>
        <v>0.24679170779861795</v>
      </c>
      <c r="N462" s="7">
        <v>10.130000000000001</v>
      </c>
      <c r="O462" s="7">
        <v>212.73</v>
      </c>
      <c r="P462" s="10">
        <v>43499</v>
      </c>
      <c r="Q462" s="10" t="str">
        <f>TEXT(Table2[[#This Row],[Date]],"mmm")</f>
        <v>Feb</v>
      </c>
      <c r="R462" s="11">
        <v>0.6381944444444444</v>
      </c>
      <c r="S462" s="6" t="s">
        <v>33</v>
      </c>
      <c r="T462" s="7">
        <v>4.5</v>
      </c>
      <c r="U462" s="6">
        <f>IF(_xlfn.XLOOKUP(A462,[1]Data2!$A:$A,[1]Data2!$B:$B,"no")="yes",1,0)</f>
        <v>1</v>
      </c>
    </row>
    <row r="463" spans="1:21" s="6" customFormat="1" x14ac:dyDescent="0.3">
      <c r="A463" s="6" t="s">
        <v>501</v>
      </c>
      <c r="B463" s="6" t="s">
        <v>46</v>
      </c>
      <c r="C463" s="6" t="s">
        <v>47</v>
      </c>
      <c r="D463" s="6" t="s">
        <v>24</v>
      </c>
      <c r="E463" s="6" t="s">
        <v>25</v>
      </c>
      <c r="F463" s="6" t="s">
        <v>48</v>
      </c>
      <c r="G463" s="7">
        <f>Table2[[#This Row],[Unit price]]-10</f>
        <v>63.05</v>
      </c>
      <c r="H463" s="7">
        <v>73.05</v>
      </c>
      <c r="I463" s="8">
        <v>10</v>
      </c>
      <c r="J463" s="8">
        <f>Table2[[#This Row],[Unit price]]*Table2[[#This Row],[Quantity]]</f>
        <v>730.5</v>
      </c>
      <c r="K463" s="8">
        <f>Table2[[#This Row],[Unit Cost]]*Table2[[#This Row],[Quantity]]</f>
        <v>630.5</v>
      </c>
      <c r="L463" s="8">
        <f>Table2[[#This Row],[Gross Sales]]-Table2[[#This Row],[COGS]]</f>
        <v>100</v>
      </c>
      <c r="M463" s="9">
        <f t="shared" si="7"/>
        <v>0.13689253935660506</v>
      </c>
      <c r="N463" s="7">
        <v>36.524999999999999</v>
      </c>
      <c r="O463" s="7">
        <v>767.02499999999998</v>
      </c>
      <c r="P463" s="10">
        <v>43527</v>
      </c>
      <c r="Q463" s="10" t="str">
        <f>TEXT(Table2[[#This Row],[Date]],"mmm")</f>
        <v>Mar</v>
      </c>
      <c r="R463" s="11">
        <v>0.51736111111111105</v>
      </c>
      <c r="S463" s="6" t="s">
        <v>37</v>
      </c>
      <c r="T463" s="7">
        <v>8.6999999999999993</v>
      </c>
      <c r="U463" s="6">
        <f>IF(_xlfn.XLOOKUP(A463,[1]Data2!$A:$A,[1]Data2!$B:$B,"no")="yes",1,0)</f>
        <v>0</v>
      </c>
    </row>
    <row r="464" spans="1:21" s="6" customFormat="1" x14ac:dyDescent="0.3">
      <c r="A464" s="6" t="s">
        <v>502</v>
      </c>
      <c r="B464" s="6" t="s">
        <v>29</v>
      </c>
      <c r="C464" s="6" t="s">
        <v>30</v>
      </c>
      <c r="D464" s="6" t="s">
        <v>31</v>
      </c>
      <c r="E464" s="6" t="s">
        <v>25</v>
      </c>
      <c r="F464" s="6" t="s">
        <v>40</v>
      </c>
      <c r="G464" s="7">
        <f>Table2[[#This Row],[Unit price]]-10</f>
        <v>63.95</v>
      </c>
      <c r="H464" s="7">
        <v>73.95</v>
      </c>
      <c r="I464" s="8">
        <v>4</v>
      </c>
      <c r="J464" s="8">
        <f>Table2[[#This Row],[Unit price]]*Table2[[#This Row],[Quantity]]</f>
        <v>295.8</v>
      </c>
      <c r="K464" s="8">
        <f>Table2[[#This Row],[Unit Cost]]*Table2[[#This Row],[Quantity]]</f>
        <v>255.8</v>
      </c>
      <c r="L464" s="8">
        <f>Table2[[#This Row],[Gross Sales]]-Table2[[#This Row],[COGS]]</f>
        <v>40</v>
      </c>
      <c r="M464" s="9">
        <f t="shared" si="7"/>
        <v>0.13522650439486139</v>
      </c>
      <c r="N464" s="7">
        <v>14.79</v>
      </c>
      <c r="O464" s="7">
        <v>310.58999999999997</v>
      </c>
      <c r="P464" s="10">
        <v>43499</v>
      </c>
      <c r="Q464" s="10" t="str">
        <f>TEXT(Table2[[#This Row],[Date]],"mmm")</f>
        <v>Feb</v>
      </c>
      <c r="R464" s="11">
        <v>0.41805555555555557</v>
      </c>
      <c r="S464" s="6" t="s">
        <v>33</v>
      </c>
      <c r="T464" s="7">
        <v>6.1</v>
      </c>
      <c r="U464" s="6">
        <f>IF(_xlfn.XLOOKUP(A464,[1]Data2!$A:$A,[1]Data2!$B:$B,"no")="yes",1,0)</f>
        <v>0</v>
      </c>
    </row>
    <row r="465" spans="1:21" s="6" customFormat="1" x14ac:dyDescent="0.3">
      <c r="A465" s="6" t="s">
        <v>503</v>
      </c>
      <c r="B465" s="6" t="s">
        <v>29</v>
      </c>
      <c r="C465" s="6" t="s">
        <v>30</v>
      </c>
      <c r="D465" s="6" t="s">
        <v>24</v>
      </c>
      <c r="E465" s="6" t="s">
        <v>25</v>
      </c>
      <c r="F465" s="6" t="s">
        <v>48</v>
      </c>
      <c r="G465" s="7">
        <f>Table2[[#This Row],[Unit price]]-10</f>
        <v>12.620000000000001</v>
      </c>
      <c r="H465" s="7">
        <v>22.62</v>
      </c>
      <c r="I465" s="8">
        <v>1</v>
      </c>
      <c r="J465" s="8">
        <f>Table2[[#This Row],[Unit price]]*Table2[[#This Row],[Quantity]]</f>
        <v>22.62</v>
      </c>
      <c r="K465" s="8">
        <f>Table2[[#This Row],[Unit Cost]]*Table2[[#This Row],[Quantity]]</f>
        <v>12.620000000000001</v>
      </c>
      <c r="L465" s="8">
        <f>Table2[[#This Row],[Gross Sales]]-Table2[[#This Row],[COGS]]</f>
        <v>10</v>
      </c>
      <c r="M465" s="9">
        <f t="shared" si="7"/>
        <v>0.44208664898320071</v>
      </c>
      <c r="N465" s="7">
        <v>1.131</v>
      </c>
      <c r="O465" s="7">
        <v>23.751000000000001</v>
      </c>
      <c r="P465" s="10">
        <v>43541</v>
      </c>
      <c r="Q465" s="10" t="str">
        <f>TEXT(Table2[[#This Row],[Date]],"mmm")</f>
        <v>Mar</v>
      </c>
      <c r="R465" s="11">
        <v>0.79027777777777775</v>
      </c>
      <c r="S465" s="6" t="s">
        <v>33</v>
      </c>
      <c r="T465" s="7">
        <v>6.4</v>
      </c>
      <c r="U465" s="6">
        <f>IF(_xlfn.XLOOKUP(A465,[1]Data2!$A:$A,[1]Data2!$B:$B,"no")="yes",1,0)</f>
        <v>0</v>
      </c>
    </row>
    <row r="466" spans="1:21" s="6" customFormat="1" x14ac:dyDescent="0.3">
      <c r="A466" s="6" t="s">
        <v>504</v>
      </c>
      <c r="B466" s="6" t="s">
        <v>22</v>
      </c>
      <c r="C466" s="6" t="s">
        <v>23</v>
      </c>
      <c r="D466" s="6" t="s">
        <v>24</v>
      </c>
      <c r="E466" s="6" t="s">
        <v>35</v>
      </c>
      <c r="F466" s="6" t="s">
        <v>48</v>
      </c>
      <c r="G466" s="7">
        <f>Table2[[#This Row],[Unit price]]-10</f>
        <v>41.34</v>
      </c>
      <c r="H466" s="7">
        <v>51.34</v>
      </c>
      <c r="I466" s="8">
        <v>5</v>
      </c>
      <c r="J466" s="8">
        <f>Table2[[#This Row],[Unit price]]*Table2[[#This Row],[Quantity]]</f>
        <v>256.70000000000005</v>
      </c>
      <c r="K466" s="8">
        <f>Table2[[#This Row],[Unit Cost]]*Table2[[#This Row],[Quantity]]</f>
        <v>206.70000000000002</v>
      </c>
      <c r="L466" s="8">
        <f>Table2[[#This Row],[Gross Sales]]-Table2[[#This Row],[COGS]]</f>
        <v>50.000000000000028</v>
      </c>
      <c r="M466" s="9">
        <f t="shared" si="7"/>
        <v>0.19477989871445275</v>
      </c>
      <c r="N466" s="7">
        <v>12.835000000000001</v>
      </c>
      <c r="O466" s="7">
        <v>269.53500000000003</v>
      </c>
      <c r="P466" s="10">
        <v>43552</v>
      </c>
      <c r="Q466" s="10" t="str">
        <f>TEXT(Table2[[#This Row],[Date]],"mmm")</f>
        <v>Mar</v>
      </c>
      <c r="R466" s="11">
        <v>0.64652777777777781</v>
      </c>
      <c r="S466" s="6" t="s">
        <v>37</v>
      </c>
      <c r="T466" s="7">
        <v>9.1</v>
      </c>
      <c r="U466" s="6">
        <f>IF(_xlfn.XLOOKUP(A466,[1]Data2!$A:$A,[1]Data2!$B:$B,"no")="yes",1,0)</f>
        <v>1</v>
      </c>
    </row>
    <row r="467" spans="1:21" s="6" customFormat="1" x14ac:dyDescent="0.3">
      <c r="A467" s="6" t="s">
        <v>505</v>
      </c>
      <c r="B467" s="6" t="s">
        <v>29</v>
      </c>
      <c r="C467" s="6" t="s">
        <v>30</v>
      </c>
      <c r="D467" s="6" t="s">
        <v>24</v>
      </c>
      <c r="E467" s="6" t="s">
        <v>25</v>
      </c>
      <c r="F467" s="6" t="s">
        <v>40</v>
      </c>
      <c r="G467" s="7">
        <f>Table2[[#This Row],[Unit price]]-10</f>
        <v>44.55</v>
      </c>
      <c r="H467" s="7">
        <v>54.55</v>
      </c>
      <c r="I467" s="8">
        <v>10</v>
      </c>
      <c r="J467" s="8">
        <f>Table2[[#This Row],[Unit price]]*Table2[[#This Row],[Quantity]]</f>
        <v>545.5</v>
      </c>
      <c r="K467" s="8">
        <f>Table2[[#This Row],[Unit Cost]]*Table2[[#This Row],[Quantity]]</f>
        <v>445.5</v>
      </c>
      <c r="L467" s="8">
        <f>Table2[[#This Row],[Gross Sales]]-Table2[[#This Row],[COGS]]</f>
        <v>100</v>
      </c>
      <c r="M467" s="9">
        <f t="shared" si="7"/>
        <v>0.18331805682859761</v>
      </c>
      <c r="N467" s="7">
        <v>27.274999999999999</v>
      </c>
      <c r="O467" s="7">
        <v>572.77499999999998</v>
      </c>
      <c r="P467" s="10">
        <v>43526</v>
      </c>
      <c r="Q467" s="10" t="str">
        <f>TEXT(Table2[[#This Row],[Date]],"mmm")</f>
        <v>Mar</v>
      </c>
      <c r="R467" s="11">
        <v>0.47361111111111115</v>
      </c>
      <c r="S467" s="6" t="s">
        <v>37</v>
      </c>
      <c r="T467" s="7">
        <v>7.1</v>
      </c>
      <c r="U467" s="6">
        <f>IF(_xlfn.XLOOKUP(A467,[1]Data2!$A:$A,[1]Data2!$B:$B,"no")="yes",1,0)</f>
        <v>0</v>
      </c>
    </row>
    <row r="468" spans="1:21" s="6" customFormat="1" x14ac:dyDescent="0.3">
      <c r="A468" s="6" t="s">
        <v>506</v>
      </c>
      <c r="B468" s="6" t="s">
        <v>29</v>
      </c>
      <c r="C468" s="6" t="s">
        <v>30</v>
      </c>
      <c r="D468" s="6" t="s">
        <v>24</v>
      </c>
      <c r="E468" s="6" t="s">
        <v>25</v>
      </c>
      <c r="F468" s="6" t="s">
        <v>26</v>
      </c>
      <c r="G468" s="7">
        <f>Table2[[#This Row],[Unit price]]-10</f>
        <v>27.15</v>
      </c>
      <c r="H468" s="7">
        <v>37.15</v>
      </c>
      <c r="I468" s="8">
        <v>7</v>
      </c>
      <c r="J468" s="8">
        <f>Table2[[#This Row],[Unit price]]*Table2[[#This Row],[Quantity]]</f>
        <v>260.05</v>
      </c>
      <c r="K468" s="8">
        <f>Table2[[#This Row],[Unit Cost]]*Table2[[#This Row],[Quantity]]</f>
        <v>190.04999999999998</v>
      </c>
      <c r="L468" s="8">
        <f>Table2[[#This Row],[Gross Sales]]-Table2[[#This Row],[COGS]]</f>
        <v>70.000000000000028</v>
      </c>
      <c r="M468" s="9">
        <f t="shared" si="7"/>
        <v>0.26917900403768513</v>
      </c>
      <c r="N468" s="7">
        <v>13.0025</v>
      </c>
      <c r="O468" s="7">
        <v>273.05250000000001</v>
      </c>
      <c r="P468" s="10">
        <v>43504</v>
      </c>
      <c r="Q468" s="10" t="str">
        <f>TEXT(Table2[[#This Row],[Date]],"mmm")</f>
        <v>Feb</v>
      </c>
      <c r="R468" s="11">
        <v>0.54999999999999993</v>
      </c>
      <c r="S468" s="6" t="s">
        <v>37</v>
      </c>
      <c r="T468" s="7">
        <v>7.7</v>
      </c>
      <c r="U468" s="6">
        <f>IF(_xlfn.XLOOKUP(A468,[1]Data2!$A:$A,[1]Data2!$B:$B,"no")="yes",1,0)</f>
        <v>0</v>
      </c>
    </row>
    <row r="469" spans="1:21" s="6" customFormat="1" x14ac:dyDescent="0.3">
      <c r="A469" s="6" t="s">
        <v>507</v>
      </c>
      <c r="B469" s="6" t="s">
        <v>46</v>
      </c>
      <c r="C469" s="6" t="s">
        <v>47</v>
      </c>
      <c r="D469" s="6" t="s">
        <v>31</v>
      </c>
      <c r="E469" s="6" t="s">
        <v>35</v>
      </c>
      <c r="F469" s="6" t="s">
        <v>40</v>
      </c>
      <c r="G469" s="7">
        <f>Table2[[#This Row],[Unit price]]-10</f>
        <v>27.020000000000003</v>
      </c>
      <c r="H469" s="7">
        <v>37.020000000000003</v>
      </c>
      <c r="I469" s="8">
        <v>6</v>
      </c>
      <c r="J469" s="8">
        <f>Table2[[#This Row],[Unit price]]*Table2[[#This Row],[Quantity]]</f>
        <v>222.12</v>
      </c>
      <c r="K469" s="8">
        <f>Table2[[#This Row],[Unit Cost]]*Table2[[#This Row],[Quantity]]</f>
        <v>162.12</v>
      </c>
      <c r="L469" s="8">
        <f>Table2[[#This Row],[Gross Sales]]-Table2[[#This Row],[COGS]]</f>
        <v>60</v>
      </c>
      <c r="M469" s="9">
        <f t="shared" si="7"/>
        <v>0.2701242571582928</v>
      </c>
      <c r="N469" s="7">
        <v>11.106</v>
      </c>
      <c r="O469" s="7">
        <v>233.226</v>
      </c>
      <c r="P469" s="10">
        <v>43546</v>
      </c>
      <c r="Q469" s="10" t="str">
        <f>TEXT(Table2[[#This Row],[Date]],"mmm")</f>
        <v>Mar</v>
      </c>
      <c r="R469" s="11">
        <v>0.7729166666666667</v>
      </c>
      <c r="S469" s="6" t="s">
        <v>33</v>
      </c>
      <c r="T469" s="7">
        <v>4.5</v>
      </c>
      <c r="U469" s="6">
        <f>IF(_xlfn.XLOOKUP(A469,[1]Data2!$A:$A,[1]Data2!$B:$B,"no")="yes",1,0)</f>
        <v>0</v>
      </c>
    </row>
    <row r="470" spans="1:21" s="6" customFormat="1" x14ac:dyDescent="0.3">
      <c r="A470" s="6" t="s">
        <v>508</v>
      </c>
      <c r="B470" s="6" t="s">
        <v>29</v>
      </c>
      <c r="C470" s="6" t="s">
        <v>30</v>
      </c>
      <c r="D470" s="6" t="s">
        <v>31</v>
      </c>
      <c r="E470" s="6" t="s">
        <v>35</v>
      </c>
      <c r="F470" s="6" t="s">
        <v>48</v>
      </c>
      <c r="G470" s="7">
        <f>Table2[[#This Row],[Unit price]]-10</f>
        <v>11.579999999999998</v>
      </c>
      <c r="H470" s="7">
        <v>21.58</v>
      </c>
      <c r="I470" s="8">
        <v>1</v>
      </c>
      <c r="J470" s="8">
        <f>Table2[[#This Row],[Unit price]]*Table2[[#This Row],[Quantity]]</f>
        <v>21.58</v>
      </c>
      <c r="K470" s="8">
        <f>Table2[[#This Row],[Unit Cost]]*Table2[[#This Row],[Quantity]]</f>
        <v>11.579999999999998</v>
      </c>
      <c r="L470" s="8">
        <f>Table2[[#This Row],[Gross Sales]]-Table2[[#This Row],[COGS]]</f>
        <v>10</v>
      </c>
      <c r="M470" s="9">
        <f t="shared" si="7"/>
        <v>0.46339202965708992</v>
      </c>
      <c r="N470" s="7">
        <v>1.079</v>
      </c>
      <c r="O470" s="7">
        <v>22.658999999999999</v>
      </c>
      <c r="P470" s="10">
        <v>43505</v>
      </c>
      <c r="Q470" s="10" t="str">
        <f>TEXT(Table2[[#This Row],[Date]],"mmm")</f>
        <v>Feb</v>
      </c>
      <c r="R470" s="11">
        <v>0.41805555555555557</v>
      </c>
      <c r="S470" s="6" t="s">
        <v>27</v>
      </c>
      <c r="T470" s="7">
        <v>7.2</v>
      </c>
      <c r="U470" s="6">
        <f>IF(_xlfn.XLOOKUP(A470,[1]Data2!$A:$A,[1]Data2!$B:$B,"no")="yes",1,0)</f>
        <v>1</v>
      </c>
    </row>
    <row r="471" spans="1:21" s="6" customFormat="1" x14ac:dyDescent="0.3">
      <c r="A471" s="6" t="s">
        <v>509</v>
      </c>
      <c r="B471" s="6" t="s">
        <v>29</v>
      </c>
      <c r="C471" s="6" t="s">
        <v>30</v>
      </c>
      <c r="D471" s="6" t="s">
        <v>24</v>
      </c>
      <c r="E471" s="6" t="s">
        <v>25</v>
      </c>
      <c r="F471" s="6" t="s">
        <v>32</v>
      </c>
      <c r="G471" s="7">
        <f>Table2[[#This Row],[Unit price]]-10</f>
        <v>88.84</v>
      </c>
      <c r="H471" s="7">
        <v>98.84</v>
      </c>
      <c r="I471" s="8">
        <v>1</v>
      </c>
      <c r="J471" s="8">
        <f>Table2[[#This Row],[Unit price]]*Table2[[#This Row],[Quantity]]</f>
        <v>98.84</v>
      </c>
      <c r="K471" s="8">
        <f>Table2[[#This Row],[Unit Cost]]*Table2[[#This Row],[Quantity]]</f>
        <v>88.84</v>
      </c>
      <c r="L471" s="8">
        <f>Table2[[#This Row],[Gross Sales]]-Table2[[#This Row],[COGS]]</f>
        <v>10</v>
      </c>
      <c r="M471" s="9">
        <f t="shared" si="7"/>
        <v>0.10117361392148927</v>
      </c>
      <c r="N471" s="7">
        <v>4.9420000000000002</v>
      </c>
      <c r="O471" s="7">
        <v>103.782</v>
      </c>
      <c r="P471" s="10">
        <v>43511</v>
      </c>
      <c r="Q471" s="10" t="str">
        <f>TEXT(Table2[[#This Row],[Date]],"mmm")</f>
        <v>Feb</v>
      </c>
      <c r="R471" s="11">
        <v>0.47291666666666665</v>
      </c>
      <c r="S471" s="6" t="s">
        <v>33</v>
      </c>
      <c r="T471" s="7">
        <v>8.4</v>
      </c>
      <c r="U471" s="6">
        <f>IF(_xlfn.XLOOKUP(A471,[1]Data2!$A:$A,[1]Data2!$B:$B,"no")="yes",1,0)</f>
        <v>0</v>
      </c>
    </row>
    <row r="472" spans="1:21" s="6" customFormat="1" x14ac:dyDescent="0.3">
      <c r="A472" s="6" t="s">
        <v>510</v>
      </c>
      <c r="B472" s="6" t="s">
        <v>29</v>
      </c>
      <c r="C472" s="6" t="s">
        <v>30</v>
      </c>
      <c r="D472" s="6" t="s">
        <v>24</v>
      </c>
      <c r="E472" s="6" t="s">
        <v>25</v>
      </c>
      <c r="F472" s="6" t="s">
        <v>36</v>
      </c>
      <c r="G472" s="7">
        <f>Table2[[#This Row],[Unit price]]-10</f>
        <v>73.77</v>
      </c>
      <c r="H472" s="7">
        <v>83.77</v>
      </c>
      <c r="I472" s="8">
        <v>6</v>
      </c>
      <c r="J472" s="8">
        <f>Table2[[#This Row],[Unit price]]*Table2[[#This Row],[Quantity]]</f>
        <v>502.62</v>
      </c>
      <c r="K472" s="8">
        <f>Table2[[#This Row],[Unit Cost]]*Table2[[#This Row],[Quantity]]</f>
        <v>442.62</v>
      </c>
      <c r="L472" s="8">
        <f>Table2[[#This Row],[Gross Sales]]-Table2[[#This Row],[COGS]]</f>
        <v>60</v>
      </c>
      <c r="M472" s="9">
        <f t="shared" si="7"/>
        <v>0.11937447773665991</v>
      </c>
      <c r="N472" s="7">
        <v>25.131</v>
      </c>
      <c r="O472" s="7">
        <v>527.75099999999998</v>
      </c>
      <c r="P472" s="10">
        <v>43488</v>
      </c>
      <c r="Q472" s="10" t="str">
        <f>TEXT(Table2[[#This Row],[Date]],"mmm")</f>
        <v>Jan</v>
      </c>
      <c r="R472" s="11">
        <v>0.50694444444444442</v>
      </c>
      <c r="S472" s="6" t="s">
        <v>27</v>
      </c>
      <c r="T472" s="7">
        <v>5.4</v>
      </c>
      <c r="U472" s="6">
        <f>IF(_xlfn.XLOOKUP(A472,[1]Data2!$A:$A,[1]Data2!$B:$B,"no")="yes",1,0)</f>
        <v>0</v>
      </c>
    </row>
    <row r="473" spans="1:21" s="6" customFormat="1" x14ac:dyDescent="0.3">
      <c r="A473" s="6" t="s">
        <v>511</v>
      </c>
      <c r="B473" s="6" t="s">
        <v>22</v>
      </c>
      <c r="C473" s="6" t="s">
        <v>23</v>
      </c>
      <c r="D473" s="6" t="s">
        <v>24</v>
      </c>
      <c r="E473" s="6" t="s">
        <v>25</v>
      </c>
      <c r="F473" s="6" t="s">
        <v>40</v>
      </c>
      <c r="G473" s="7">
        <f>Table2[[#This Row],[Unit price]]-10</f>
        <v>30.049999999999997</v>
      </c>
      <c r="H473" s="7">
        <v>40.049999999999997</v>
      </c>
      <c r="I473" s="8">
        <v>4</v>
      </c>
      <c r="J473" s="8">
        <f>Table2[[#This Row],[Unit price]]*Table2[[#This Row],[Quantity]]</f>
        <v>160.19999999999999</v>
      </c>
      <c r="K473" s="8">
        <f>Table2[[#This Row],[Unit Cost]]*Table2[[#This Row],[Quantity]]</f>
        <v>120.19999999999999</v>
      </c>
      <c r="L473" s="8">
        <f>Table2[[#This Row],[Gross Sales]]-Table2[[#This Row],[COGS]]</f>
        <v>40</v>
      </c>
      <c r="M473" s="9">
        <f t="shared" si="7"/>
        <v>0.24968789013732837</v>
      </c>
      <c r="N473" s="7">
        <v>8.01</v>
      </c>
      <c r="O473" s="7">
        <v>168.21</v>
      </c>
      <c r="P473" s="10">
        <v>43490</v>
      </c>
      <c r="Q473" s="10" t="str">
        <f>TEXT(Table2[[#This Row],[Date]],"mmm")</f>
        <v>Jan</v>
      </c>
      <c r="R473" s="11">
        <v>0.4861111111111111</v>
      </c>
      <c r="S473" s="6" t="s">
        <v>33</v>
      </c>
      <c r="T473" s="7">
        <v>9.6999999999999993</v>
      </c>
      <c r="U473" s="6">
        <f>IF(_xlfn.XLOOKUP(A473,[1]Data2!$A:$A,[1]Data2!$B:$B,"no")="yes",1,0)</f>
        <v>0</v>
      </c>
    </row>
    <row r="474" spans="1:21" s="6" customFormat="1" x14ac:dyDescent="0.3">
      <c r="A474" s="6" t="s">
        <v>512</v>
      </c>
      <c r="B474" s="6" t="s">
        <v>22</v>
      </c>
      <c r="C474" s="6" t="s">
        <v>23</v>
      </c>
      <c r="D474" s="6" t="s">
        <v>24</v>
      </c>
      <c r="E474" s="6" t="s">
        <v>35</v>
      </c>
      <c r="F474" s="6" t="s">
        <v>50</v>
      </c>
      <c r="G474" s="7">
        <f>Table2[[#This Row],[Unit price]]-10</f>
        <v>33.130000000000003</v>
      </c>
      <c r="H474" s="7">
        <v>43.13</v>
      </c>
      <c r="I474" s="8">
        <v>10</v>
      </c>
      <c r="J474" s="8">
        <f>Table2[[#This Row],[Unit price]]*Table2[[#This Row],[Quantity]]</f>
        <v>431.3</v>
      </c>
      <c r="K474" s="8">
        <f>Table2[[#This Row],[Unit Cost]]*Table2[[#This Row],[Quantity]]</f>
        <v>331.3</v>
      </c>
      <c r="L474" s="8">
        <f>Table2[[#This Row],[Gross Sales]]-Table2[[#This Row],[COGS]]</f>
        <v>100</v>
      </c>
      <c r="M474" s="9">
        <f t="shared" si="7"/>
        <v>0.23185717597959657</v>
      </c>
      <c r="N474" s="7">
        <v>21.565000000000001</v>
      </c>
      <c r="O474" s="7">
        <v>452.86500000000001</v>
      </c>
      <c r="P474" s="10">
        <v>43498</v>
      </c>
      <c r="Q474" s="10" t="str">
        <f>TEXT(Table2[[#This Row],[Date]],"mmm")</f>
        <v>Feb</v>
      </c>
      <c r="R474" s="11">
        <v>0.7715277777777777</v>
      </c>
      <c r="S474" s="6" t="s">
        <v>37</v>
      </c>
      <c r="T474" s="7">
        <v>5.5</v>
      </c>
      <c r="U474" s="6">
        <f>IF(_xlfn.XLOOKUP(A474,[1]Data2!$A:$A,[1]Data2!$B:$B,"no")="yes",1,0)</f>
        <v>1</v>
      </c>
    </row>
    <row r="475" spans="1:21" s="6" customFormat="1" x14ac:dyDescent="0.3">
      <c r="A475" s="6" t="s">
        <v>513</v>
      </c>
      <c r="B475" s="6" t="s">
        <v>46</v>
      </c>
      <c r="C475" s="6" t="s">
        <v>47</v>
      </c>
      <c r="D475" s="6" t="s">
        <v>24</v>
      </c>
      <c r="E475" s="6" t="s">
        <v>35</v>
      </c>
      <c r="F475" s="6" t="s">
        <v>26</v>
      </c>
      <c r="G475" s="7">
        <f>Table2[[#This Row],[Unit price]]-10</f>
        <v>62.569999999999993</v>
      </c>
      <c r="H475" s="7">
        <v>72.569999999999993</v>
      </c>
      <c r="I475" s="8">
        <v>8</v>
      </c>
      <c r="J475" s="8">
        <f>Table2[[#This Row],[Unit price]]*Table2[[#This Row],[Quantity]]</f>
        <v>580.55999999999995</v>
      </c>
      <c r="K475" s="8">
        <f>Table2[[#This Row],[Unit Cost]]*Table2[[#This Row],[Quantity]]</f>
        <v>500.55999999999995</v>
      </c>
      <c r="L475" s="8">
        <f>Table2[[#This Row],[Gross Sales]]-Table2[[#This Row],[COGS]]</f>
        <v>80</v>
      </c>
      <c r="M475" s="9">
        <f t="shared" si="7"/>
        <v>0.13779798814937302</v>
      </c>
      <c r="N475" s="7">
        <v>29.027999999999999</v>
      </c>
      <c r="O475" s="7">
        <v>609.58799999999997</v>
      </c>
      <c r="P475" s="10">
        <v>43554</v>
      </c>
      <c r="Q475" s="10" t="str">
        <f>TEXT(Table2[[#This Row],[Date]],"mmm")</f>
        <v>Mar</v>
      </c>
      <c r="R475" s="11">
        <v>0.74861111111111101</v>
      </c>
      <c r="S475" s="6" t="s">
        <v>33</v>
      </c>
      <c r="T475" s="7">
        <v>4.5999999999999996</v>
      </c>
      <c r="U475" s="6">
        <f>IF(_xlfn.XLOOKUP(A475,[1]Data2!$A:$A,[1]Data2!$B:$B,"no")="yes",1,0)</f>
        <v>0</v>
      </c>
    </row>
    <row r="476" spans="1:21" s="6" customFormat="1" x14ac:dyDescent="0.3">
      <c r="A476" s="6" t="s">
        <v>514</v>
      </c>
      <c r="B476" s="6" t="s">
        <v>22</v>
      </c>
      <c r="C476" s="6" t="s">
        <v>23</v>
      </c>
      <c r="D476" s="6" t="s">
        <v>24</v>
      </c>
      <c r="E476" s="6" t="s">
        <v>25</v>
      </c>
      <c r="F476" s="6" t="s">
        <v>32</v>
      </c>
      <c r="G476" s="7">
        <f>Table2[[#This Row],[Unit price]]-10</f>
        <v>54.44</v>
      </c>
      <c r="H476" s="7">
        <v>64.44</v>
      </c>
      <c r="I476" s="8">
        <v>5</v>
      </c>
      <c r="J476" s="8">
        <f>Table2[[#This Row],[Unit price]]*Table2[[#This Row],[Quantity]]</f>
        <v>322.2</v>
      </c>
      <c r="K476" s="8">
        <f>Table2[[#This Row],[Unit Cost]]*Table2[[#This Row],[Quantity]]</f>
        <v>272.2</v>
      </c>
      <c r="L476" s="8">
        <f>Table2[[#This Row],[Gross Sales]]-Table2[[#This Row],[COGS]]</f>
        <v>50</v>
      </c>
      <c r="M476" s="9">
        <f t="shared" si="7"/>
        <v>0.15518311607697083</v>
      </c>
      <c r="N476" s="7">
        <v>16.11</v>
      </c>
      <c r="O476" s="7">
        <v>338.31</v>
      </c>
      <c r="P476" s="10">
        <v>43554</v>
      </c>
      <c r="Q476" s="10" t="str">
        <f>TEXT(Table2[[#This Row],[Date]],"mmm")</f>
        <v>Mar</v>
      </c>
      <c r="R476" s="11">
        <v>0.71111111111111114</v>
      </c>
      <c r="S476" s="6" t="s">
        <v>33</v>
      </c>
      <c r="T476" s="7">
        <v>6.6</v>
      </c>
      <c r="U476" s="6">
        <f>IF(_xlfn.XLOOKUP(A476,[1]Data2!$A:$A,[1]Data2!$B:$B,"no")="yes",1,0)</f>
        <v>0</v>
      </c>
    </row>
    <row r="477" spans="1:21" s="6" customFormat="1" x14ac:dyDescent="0.3">
      <c r="A477" s="6" t="s">
        <v>515</v>
      </c>
      <c r="B477" s="6" t="s">
        <v>22</v>
      </c>
      <c r="C477" s="6" t="s">
        <v>23</v>
      </c>
      <c r="D477" s="6" t="s">
        <v>31</v>
      </c>
      <c r="E477" s="6" t="s">
        <v>35</v>
      </c>
      <c r="F477" s="6" t="s">
        <v>26</v>
      </c>
      <c r="G477" s="7">
        <f>Table2[[#This Row],[Unit price]]-10</f>
        <v>55.180000000000007</v>
      </c>
      <c r="H477" s="7">
        <v>65.180000000000007</v>
      </c>
      <c r="I477" s="8">
        <v>3</v>
      </c>
      <c r="J477" s="8">
        <f>Table2[[#This Row],[Unit price]]*Table2[[#This Row],[Quantity]]</f>
        <v>195.54000000000002</v>
      </c>
      <c r="K477" s="8">
        <f>Table2[[#This Row],[Unit Cost]]*Table2[[#This Row],[Quantity]]</f>
        <v>165.54000000000002</v>
      </c>
      <c r="L477" s="8">
        <f>Table2[[#This Row],[Gross Sales]]-Table2[[#This Row],[COGS]]</f>
        <v>30</v>
      </c>
      <c r="M477" s="9">
        <f t="shared" si="7"/>
        <v>0.15342129487572873</v>
      </c>
      <c r="N477" s="7">
        <v>9.7769999999999992</v>
      </c>
      <c r="O477" s="7">
        <v>205.31700000000001</v>
      </c>
      <c r="P477" s="10">
        <v>43521</v>
      </c>
      <c r="Q477" s="10" t="str">
        <f>TEXT(Table2[[#This Row],[Date]],"mmm")</f>
        <v>Feb</v>
      </c>
      <c r="R477" s="11">
        <v>0.85763888888888884</v>
      </c>
      <c r="S477" s="6" t="s">
        <v>37</v>
      </c>
      <c r="T477" s="7">
        <v>6.3</v>
      </c>
      <c r="U477" s="6">
        <f>IF(_xlfn.XLOOKUP(A477,[1]Data2!$A:$A,[1]Data2!$B:$B,"no")="yes",1,0)</f>
        <v>0</v>
      </c>
    </row>
    <row r="478" spans="1:21" s="6" customFormat="1" x14ac:dyDescent="0.3">
      <c r="A478" s="6" t="s">
        <v>516</v>
      </c>
      <c r="B478" s="6" t="s">
        <v>22</v>
      </c>
      <c r="C478" s="6" t="s">
        <v>23</v>
      </c>
      <c r="D478" s="6" t="s">
        <v>31</v>
      </c>
      <c r="E478" s="6" t="s">
        <v>25</v>
      </c>
      <c r="F478" s="6" t="s">
        <v>40</v>
      </c>
      <c r="G478" s="7">
        <f>Table2[[#This Row],[Unit price]]-10</f>
        <v>23.259999999999998</v>
      </c>
      <c r="H478" s="7">
        <v>33.26</v>
      </c>
      <c r="I478" s="8">
        <v>5</v>
      </c>
      <c r="J478" s="8">
        <f>Table2[[#This Row],[Unit price]]*Table2[[#This Row],[Quantity]]</f>
        <v>166.29999999999998</v>
      </c>
      <c r="K478" s="8">
        <f>Table2[[#This Row],[Unit Cost]]*Table2[[#This Row],[Quantity]]</f>
        <v>116.29999999999998</v>
      </c>
      <c r="L478" s="8">
        <f>Table2[[#This Row],[Gross Sales]]-Table2[[#This Row],[COGS]]</f>
        <v>50</v>
      </c>
      <c r="M478" s="9">
        <f t="shared" si="7"/>
        <v>0.30066145520144322</v>
      </c>
      <c r="N478" s="7">
        <v>8.3149999999999995</v>
      </c>
      <c r="O478" s="7">
        <v>174.61500000000001</v>
      </c>
      <c r="P478" s="10">
        <v>43542</v>
      </c>
      <c r="Q478" s="10" t="str">
        <f>TEXT(Table2[[#This Row],[Date]],"mmm")</f>
        <v>Mar</v>
      </c>
      <c r="R478" s="11">
        <v>0.67361111111111116</v>
      </c>
      <c r="S478" s="6" t="s">
        <v>37</v>
      </c>
      <c r="T478" s="7">
        <v>4.2</v>
      </c>
      <c r="U478" s="6">
        <f>IF(_xlfn.XLOOKUP(A478,[1]Data2!$A:$A,[1]Data2!$B:$B,"no")="yes",1,0)</f>
        <v>1</v>
      </c>
    </row>
    <row r="479" spans="1:21" s="6" customFormat="1" x14ac:dyDescent="0.3">
      <c r="A479" s="6" t="s">
        <v>517</v>
      </c>
      <c r="B479" s="6" t="s">
        <v>29</v>
      </c>
      <c r="C479" s="6" t="s">
        <v>30</v>
      </c>
      <c r="D479" s="6" t="s">
        <v>31</v>
      </c>
      <c r="E479" s="6" t="s">
        <v>35</v>
      </c>
      <c r="F479" s="6" t="s">
        <v>32</v>
      </c>
      <c r="G479" s="7">
        <f>Table2[[#This Row],[Unit price]]-10</f>
        <v>74.069999999999993</v>
      </c>
      <c r="H479" s="7">
        <v>84.07</v>
      </c>
      <c r="I479" s="8">
        <v>4</v>
      </c>
      <c r="J479" s="8">
        <f>Table2[[#This Row],[Unit price]]*Table2[[#This Row],[Quantity]]</f>
        <v>336.28</v>
      </c>
      <c r="K479" s="8">
        <f>Table2[[#This Row],[Unit Cost]]*Table2[[#This Row],[Quantity]]</f>
        <v>296.27999999999997</v>
      </c>
      <c r="L479" s="8">
        <f>Table2[[#This Row],[Gross Sales]]-Table2[[#This Row],[COGS]]</f>
        <v>40</v>
      </c>
      <c r="M479" s="9">
        <f t="shared" si="7"/>
        <v>0.11894849530153445</v>
      </c>
      <c r="N479" s="7">
        <v>16.814</v>
      </c>
      <c r="O479" s="7">
        <v>353.09399999999999</v>
      </c>
      <c r="P479" s="10">
        <v>43531</v>
      </c>
      <c r="Q479" s="10" t="str">
        <f>TEXT(Table2[[#This Row],[Date]],"mmm")</f>
        <v>Mar</v>
      </c>
      <c r="R479" s="11">
        <v>0.70416666666666661</v>
      </c>
      <c r="S479" s="6" t="s">
        <v>27</v>
      </c>
      <c r="T479" s="7">
        <v>4.4000000000000004</v>
      </c>
      <c r="U479" s="6">
        <f>IF(_xlfn.XLOOKUP(A479,[1]Data2!$A:$A,[1]Data2!$B:$B,"no")="yes",1,0)</f>
        <v>0</v>
      </c>
    </row>
    <row r="480" spans="1:21" s="6" customFormat="1" x14ac:dyDescent="0.3">
      <c r="A480" s="6" t="s">
        <v>518</v>
      </c>
      <c r="B480" s="6" t="s">
        <v>46</v>
      </c>
      <c r="C480" s="6" t="s">
        <v>47</v>
      </c>
      <c r="D480" s="6" t="s">
        <v>31</v>
      </c>
      <c r="E480" s="6" t="s">
        <v>35</v>
      </c>
      <c r="F480" s="6" t="s">
        <v>40</v>
      </c>
      <c r="G480" s="7">
        <f>Table2[[#This Row],[Unit price]]-10</f>
        <v>24.369999999999997</v>
      </c>
      <c r="H480" s="7">
        <v>34.369999999999997</v>
      </c>
      <c r="I480" s="8">
        <v>10</v>
      </c>
      <c r="J480" s="8">
        <f>Table2[[#This Row],[Unit price]]*Table2[[#This Row],[Quantity]]</f>
        <v>343.7</v>
      </c>
      <c r="K480" s="8">
        <f>Table2[[#This Row],[Unit Cost]]*Table2[[#This Row],[Quantity]]</f>
        <v>243.7</v>
      </c>
      <c r="L480" s="8">
        <f>Table2[[#This Row],[Gross Sales]]-Table2[[#This Row],[COGS]]</f>
        <v>100</v>
      </c>
      <c r="M480" s="9">
        <f t="shared" si="7"/>
        <v>0.29095141111434392</v>
      </c>
      <c r="N480" s="7">
        <v>17.184999999999999</v>
      </c>
      <c r="O480" s="7">
        <v>360.88499999999999</v>
      </c>
      <c r="P480" s="10">
        <v>43540</v>
      </c>
      <c r="Q480" s="10" t="str">
        <f>TEXT(Table2[[#This Row],[Date]],"mmm")</f>
        <v>Mar</v>
      </c>
      <c r="R480" s="11">
        <v>0.42430555555555555</v>
      </c>
      <c r="S480" s="6" t="s">
        <v>27</v>
      </c>
      <c r="T480" s="7">
        <v>6.7</v>
      </c>
      <c r="U480" s="6">
        <f>IF(_xlfn.XLOOKUP(A480,[1]Data2!$A:$A,[1]Data2!$B:$B,"no")="yes",1,0)</f>
        <v>0</v>
      </c>
    </row>
    <row r="481" spans="1:21" s="6" customFormat="1" x14ac:dyDescent="0.3">
      <c r="A481" s="6" t="s">
        <v>519</v>
      </c>
      <c r="B481" s="6" t="s">
        <v>22</v>
      </c>
      <c r="C481" s="6" t="s">
        <v>23</v>
      </c>
      <c r="D481" s="6" t="s">
        <v>31</v>
      </c>
      <c r="E481" s="6" t="s">
        <v>35</v>
      </c>
      <c r="F481" s="6" t="s">
        <v>32</v>
      </c>
      <c r="G481" s="7">
        <f>Table2[[#This Row],[Unit price]]-10</f>
        <v>28.6</v>
      </c>
      <c r="H481" s="7">
        <v>38.6</v>
      </c>
      <c r="I481" s="8">
        <v>1</v>
      </c>
      <c r="J481" s="8">
        <f>Table2[[#This Row],[Unit price]]*Table2[[#This Row],[Quantity]]</f>
        <v>38.6</v>
      </c>
      <c r="K481" s="8">
        <f>Table2[[#This Row],[Unit Cost]]*Table2[[#This Row],[Quantity]]</f>
        <v>28.6</v>
      </c>
      <c r="L481" s="8">
        <f>Table2[[#This Row],[Gross Sales]]-Table2[[#This Row],[COGS]]</f>
        <v>10</v>
      </c>
      <c r="M481" s="9">
        <f t="shared" si="7"/>
        <v>0.25906735751295334</v>
      </c>
      <c r="N481" s="7">
        <v>1.93</v>
      </c>
      <c r="O481" s="7">
        <v>40.53</v>
      </c>
      <c r="P481" s="10">
        <v>43494</v>
      </c>
      <c r="Q481" s="10" t="str">
        <f>TEXT(Table2[[#This Row],[Date]],"mmm")</f>
        <v>Jan</v>
      </c>
      <c r="R481" s="11">
        <v>0.47638888888888892</v>
      </c>
      <c r="S481" s="6" t="s">
        <v>27</v>
      </c>
      <c r="T481" s="7">
        <v>6.7</v>
      </c>
      <c r="U481" s="6">
        <f>IF(_xlfn.XLOOKUP(A481,[1]Data2!$A:$A,[1]Data2!$B:$B,"no")="yes",1,0)</f>
        <v>0</v>
      </c>
    </row>
    <row r="482" spans="1:21" s="6" customFormat="1" x14ac:dyDescent="0.3">
      <c r="A482" s="6" t="s">
        <v>520</v>
      </c>
      <c r="B482" s="6" t="s">
        <v>29</v>
      </c>
      <c r="C482" s="6" t="s">
        <v>30</v>
      </c>
      <c r="D482" s="6" t="s">
        <v>31</v>
      </c>
      <c r="E482" s="6" t="s">
        <v>35</v>
      </c>
      <c r="F482" s="6" t="s">
        <v>48</v>
      </c>
      <c r="G482" s="7">
        <f>Table2[[#This Row],[Unit price]]-10</f>
        <v>55.97</v>
      </c>
      <c r="H482" s="7">
        <v>65.97</v>
      </c>
      <c r="I482" s="8">
        <v>8</v>
      </c>
      <c r="J482" s="8">
        <f>Table2[[#This Row],[Unit price]]*Table2[[#This Row],[Quantity]]</f>
        <v>527.76</v>
      </c>
      <c r="K482" s="8">
        <f>Table2[[#This Row],[Unit Cost]]*Table2[[#This Row],[Quantity]]</f>
        <v>447.76</v>
      </c>
      <c r="L482" s="8">
        <f>Table2[[#This Row],[Gross Sales]]-Table2[[#This Row],[COGS]]</f>
        <v>80</v>
      </c>
      <c r="M482" s="9">
        <f t="shared" si="7"/>
        <v>0.15158405335758679</v>
      </c>
      <c r="N482" s="7">
        <v>26.388000000000002</v>
      </c>
      <c r="O482" s="7">
        <v>554.14800000000002</v>
      </c>
      <c r="P482" s="10">
        <v>43498</v>
      </c>
      <c r="Q482" s="10" t="str">
        <f>TEXT(Table2[[#This Row],[Date]],"mmm")</f>
        <v>Feb</v>
      </c>
      <c r="R482" s="11">
        <v>0.8534722222222223</v>
      </c>
      <c r="S482" s="6" t="s">
        <v>33</v>
      </c>
      <c r="T482" s="7">
        <v>8.4</v>
      </c>
      <c r="U482" s="6">
        <f>IF(_xlfn.XLOOKUP(A482,[1]Data2!$A:$A,[1]Data2!$B:$B,"no")="yes",1,0)</f>
        <v>1</v>
      </c>
    </row>
    <row r="483" spans="1:21" s="6" customFormat="1" x14ac:dyDescent="0.3">
      <c r="A483" s="6" t="s">
        <v>521</v>
      </c>
      <c r="B483" s="6" t="s">
        <v>29</v>
      </c>
      <c r="C483" s="6" t="s">
        <v>30</v>
      </c>
      <c r="D483" s="6" t="s">
        <v>31</v>
      </c>
      <c r="E483" s="6" t="s">
        <v>25</v>
      </c>
      <c r="F483" s="6" t="s">
        <v>32</v>
      </c>
      <c r="G483" s="7">
        <f>Table2[[#This Row],[Unit price]]-10</f>
        <v>22.799999999999997</v>
      </c>
      <c r="H483" s="7">
        <v>32.799999999999997</v>
      </c>
      <c r="I483" s="8">
        <v>10</v>
      </c>
      <c r="J483" s="8">
        <f>Table2[[#This Row],[Unit price]]*Table2[[#This Row],[Quantity]]</f>
        <v>328</v>
      </c>
      <c r="K483" s="8">
        <f>Table2[[#This Row],[Unit Cost]]*Table2[[#This Row],[Quantity]]</f>
        <v>227.99999999999997</v>
      </c>
      <c r="L483" s="8">
        <f>Table2[[#This Row],[Gross Sales]]-Table2[[#This Row],[COGS]]</f>
        <v>100.00000000000003</v>
      </c>
      <c r="M483" s="9">
        <f t="shared" si="7"/>
        <v>0.30487804878048791</v>
      </c>
      <c r="N483" s="7">
        <v>16.399999999999999</v>
      </c>
      <c r="O483" s="7">
        <v>344.4</v>
      </c>
      <c r="P483" s="10">
        <v>43511</v>
      </c>
      <c r="Q483" s="10" t="str">
        <f>TEXT(Table2[[#This Row],[Date]],"mmm")</f>
        <v>Feb</v>
      </c>
      <c r="R483" s="11">
        <v>0.5083333333333333</v>
      </c>
      <c r="S483" s="6" t="s">
        <v>33</v>
      </c>
      <c r="T483" s="7">
        <v>6.2</v>
      </c>
      <c r="U483" s="6">
        <f>IF(_xlfn.XLOOKUP(A483,[1]Data2!$A:$A,[1]Data2!$B:$B,"no")="yes",1,0)</f>
        <v>0</v>
      </c>
    </row>
    <row r="484" spans="1:21" s="6" customFormat="1" x14ac:dyDescent="0.3">
      <c r="A484" s="6" t="s">
        <v>522</v>
      </c>
      <c r="B484" s="6" t="s">
        <v>22</v>
      </c>
      <c r="C484" s="6" t="s">
        <v>23</v>
      </c>
      <c r="D484" s="6" t="s">
        <v>31</v>
      </c>
      <c r="E484" s="6" t="s">
        <v>35</v>
      </c>
      <c r="F484" s="6" t="s">
        <v>40</v>
      </c>
      <c r="G484" s="7">
        <f>Table2[[#This Row],[Unit price]]-10</f>
        <v>27.14</v>
      </c>
      <c r="H484" s="7">
        <v>37.14</v>
      </c>
      <c r="I484" s="8">
        <v>5</v>
      </c>
      <c r="J484" s="8">
        <f>Table2[[#This Row],[Unit price]]*Table2[[#This Row],[Quantity]]</f>
        <v>185.7</v>
      </c>
      <c r="K484" s="8">
        <f>Table2[[#This Row],[Unit Cost]]*Table2[[#This Row],[Quantity]]</f>
        <v>135.69999999999999</v>
      </c>
      <c r="L484" s="8">
        <f>Table2[[#This Row],[Gross Sales]]-Table2[[#This Row],[COGS]]</f>
        <v>50</v>
      </c>
      <c r="M484" s="9">
        <f t="shared" si="7"/>
        <v>0.26925148088314488</v>
      </c>
      <c r="N484" s="7">
        <v>9.2850000000000001</v>
      </c>
      <c r="O484" s="7">
        <v>194.98500000000001</v>
      </c>
      <c r="P484" s="10">
        <v>43473</v>
      </c>
      <c r="Q484" s="10" t="str">
        <f>TEXT(Table2[[#This Row],[Date]],"mmm")</f>
        <v>Jan</v>
      </c>
      <c r="R484" s="11">
        <v>0.54513888888888895</v>
      </c>
      <c r="S484" s="6" t="s">
        <v>27</v>
      </c>
      <c r="T484" s="7">
        <v>5</v>
      </c>
      <c r="U484" s="6">
        <f>IF(_xlfn.XLOOKUP(A484,[1]Data2!$A:$A,[1]Data2!$B:$B,"no")="yes",1,0)</f>
        <v>0</v>
      </c>
    </row>
    <row r="485" spans="1:21" s="6" customFormat="1" x14ac:dyDescent="0.3">
      <c r="A485" s="6" t="s">
        <v>523</v>
      </c>
      <c r="B485" s="6" t="s">
        <v>46</v>
      </c>
      <c r="C485" s="6" t="s">
        <v>47</v>
      </c>
      <c r="D485" s="6" t="s">
        <v>24</v>
      </c>
      <c r="E485" s="6" t="s">
        <v>35</v>
      </c>
      <c r="F485" s="6" t="s">
        <v>36</v>
      </c>
      <c r="G485" s="7">
        <f>Table2[[#This Row],[Unit price]]-10</f>
        <v>50.38</v>
      </c>
      <c r="H485" s="7">
        <v>60.38</v>
      </c>
      <c r="I485" s="8">
        <v>10</v>
      </c>
      <c r="J485" s="8">
        <f>Table2[[#This Row],[Unit price]]*Table2[[#This Row],[Quantity]]</f>
        <v>603.80000000000007</v>
      </c>
      <c r="K485" s="8">
        <f>Table2[[#This Row],[Unit Cost]]*Table2[[#This Row],[Quantity]]</f>
        <v>503.8</v>
      </c>
      <c r="L485" s="8">
        <f>Table2[[#This Row],[Gross Sales]]-Table2[[#This Row],[COGS]]</f>
        <v>100.00000000000006</v>
      </c>
      <c r="M485" s="9">
        <f t="shared" si="7"/>
        <v>0.16561775422325281</v>
      </c>
      <c r="N485" s="7">
        <v>30.19</v>
      </c>
      <c r="O485" s="7">
        <v>633.99</v>
      </c>
      <c r="P485" s="10">
        <v>43508</v>
      </c>
      <c r="Q485" s="10" t="str">
        <f>TEXT(Table2[[#This Row],[Date]],"mmm")</f>
        <v>Feb</v>
      </c>
      <c r="R485" s="11">
        <v>0.67986111111111114</v>
      </c>
      <c r="S485" s="6" t="s">
        <v>33</v>
      </c>
      <c r="T485" s="7">
        <v>6</v>
      </c>
      <c r="U485" s="6">
        <f>IF(_xlfn.XLOOKUP(A485,[1]Data2!$A:$A,[1]Data2!$B:$B,"no")="yes",1,0)</f>
        <v>0</v>
      </c>
    </row>
    <row r="486" spans="1:21" s="6" customFormat="1" x14ac:dyDescent="0.3">
      <c r="A486" s="6" t="s">
        <v>524</v>
      </c>
      <c r="B486" s="6" t="s">
        <v>29</v>
      </c>
      <c r="C486" s="6" t="s">
        <v>30</v>
      </c>
      <c r="D486" s="6" t="s">
        <v>24</v>
      </c>
      <c r="E486" s="6" t="s">
        <v>25</v>
      </c>
      <c r="F486" s="6" t="s">
        <v>40</v>
      </c>
      <c r="G486" s="7">
        <f>Table2[[#This Row],[Unit price]]-10</f>
        <v>26.979999999999997</v>
      </c>
      <c r="H486" s="7">
        <v>36.979999999999997</v>
      </c>
      <c r="I486" s="8">
        <v>10</v>
      </c>
      <c r="J486" s="8">
        <f>Table2[[#This Row],[Unit price]]*Table2[[#This Row],[Quantity]]</f>
        <v>369.79999999999995</v>
      </c>
      <c r="K486" s="8">
        <f>Table2[[#This Row],[Unit Cost]]*Table2[[#This Row],[Quantity]]</f>
        <v>269.79999999999995</v>
      </c>
      <c r="L486" s="8">
        <f>Table2[[#This Row],[Gross Sales]]-Table2[[#This Row],[COGS]]</f>
        <v>100</v>
      </c>
      <c r="M486" s="9">
        <f t="shared" si="7"/>
        <v>0.27041644131963227</v>
      </c>
      <c r="N486" s="7">
        <v>18.489999999999998</v>
      </c>
      <c r="O486" s="7">
        <v>388.29</v>
      </c>
      <c r="P486" s="10">
        <v>43466</v>
      </c>
      <c r="Q486" s="10" t="str">
        <f>TEXT(Table2[[#This Row],[Date]],"mmm")</f>
        <v>Jan</v>
      </c>
      <c r="R486" s="11">
        <v>0.82500000000000007</v>
      </c>
      <c r="S486" s="6" t="s">
        <v>37</v>
      </c>
      <c r="T486" s="7">
        <v>7</v>
      </c>
      <c r="U486" s="6">
        <f>IF(_xlfn.XLOOKUP(A486,[1]Data2!$A:$A,[1]Data2!$B:$B,"no")="yes",1,0)</f>
        <v>1</v>
      </c>
    </row>
    <row r="487" spans="1:21" s="6" customFormat="1" x14ac:dyDescent="0.3">
      <c r="A487" s="6" t="s">
        <v>525</v>
      </c>
      <c r="B487" s="6" t="s">
        <v>46</v>
      </c>
      <c r="C487" s="6" t="s">
        <v>47</v>
      </c>
      <c r="D487" s="6" t="s">
        <v>24</v>
      </c>
      <c r="E487" s="6" t="s">
        <v>25</v>
      </c>
      <c r="F487" s="6" t="s">
        <v>40</v>
      </c>
      <c r="G487" s="7">
        <f>Table2[[#This Row],[Unit price]]-10</f>
        <v>39.49</v>
      </c>
      <c r="H487" s="7">
        <v>49.49</v>
      </c>
      <c r="I487" s="8">
        <v>4</v>
      </c>
      <c r="J487" s="8">
        <f>Table2[[#This Row],[Unit price]]*Table2[[#This Row],[Quantity]]</f>
        <v>197.96</v>
      </c>
      <c r="K487" s="8">
        <f>Table2[[#This Row],[Unit Cost]]*Table2[[#This Row],[Quantity]]</f>
        <v>157.96</v>
      </c>
      <c r="L487" s="8">
        <f>Table2[[#This Row],[Gross Sales]]-Table2[[#This Row],[COGS]]</f>
        <v>40</v>
      </c>
      <c r="M487" s="9">
        <f t="shared" si="7"/>
        <v>0.20206102242877347</v>
      </c>
      <c r="N487" s="7">
        <v>9.8979999999999997</v>
      </c>
      <c r="O487" s="7">
        <v>207.858</v>
      </c>
      <c r="P487" s="10">
        <v>43545</v>
      </c>
      <c r="Q487" s="10" t="str">
        <f>TEXT(Table2[[#This Row],[Date]],"mmm")</f>
        <v>Mar</v>
      </c>
      <c r="R487" s="11">
        <v>0.64236111111111105</v>
      </c>
      <c r="S487" s="6" t="s">
        <v>27</v>
      </c>
      <c r="T487" s="7">
        <v>6.6</v>
      </c>
      <c r="U487" s="6">
        <f>IF(_xlfn.XLOOKUP(A487,[1]Data2!$A:$A,[1]Data2!$B:$B,"no")="yes",1,0)</f>
        <v>0</v>
      </c>
    </row>
    <row r="488" spans="1:21" s="6" customFormat="1" x14ac:dyDescent="0.3">
      <c r="A488" s="6" t="s">
        <v>526</v>
      </c>
      <c r="B488" s="6" t="s">
        <v>46</v>
      </c>
      <c r="C488" s="6" t="s">
        <v>47</v>
      </c>
      <c r="D488" s="6" t="s">
        <v>31</v>
      </c>
      <c r="E488" s="6" t="s">
        <v>25</v>
      </c>
      <c r="F488" s="6" t="s">
        <v>50</v>
      </c>
      <c r="G488" s="7">
        <f>Table2[[#This Row],[Unit price]]-10</f>
        <v>31.090000000000003</v>
      </c>
      <c r="H488" s="7">
        <v>41.09</v>
      </c>
      <c r="I488" s="8">
        <v>10</v>
      </c>
      <c r="J488" s="8">
        <f>Table2[[#This Row],[Unit price]]*Table2[[#This Row],[Quantity]]</f>
        <v>410.90000000000003</v>
      </c>
      <c r="K488" s="8">
        <f>Table2[[#This Row],[Unit Cost]]*Table2[[#This Row],[Quantity]]</f>
        <v>310.90000000000003</v>
      </c>
      <c r="L488" s="8">
        <f>Table2[[#This Row],[Gross Sales]]-Table2[[#This Row],[COGS]]</f>
        <v>100</v>
      </c>
      <c r="M488" s="9">
        <f t="shared" si="7"/>
        <v>0.24336821611097589</v>
      </c>
      <c r="N488" s="7">
        <v>20.545000000000002</v>
      </c>
      <c r="O488" s="7">
        <v>431.44499999999999</v>
      </c>
      <c r="P488" s="10">
        <v>43524</v>
      </c>
      <c r="Q488" s="10" t="str">
        <f>TEXT(Table2[[#This Row],[Date]],"mmm")</f>
        <v>Feb</v>
      </c>
      <c r="R488" s="11">
        <v>0.61249999999999993</v>
      </c>
      <c r="S488" s="6" t="s">
        <v>33</v>
      </c>
      <c r="T488" s="7">
        <v>7.3</v>
      </c>
      <c r="U488" s="6">
        <f>IF(_xlfn.XLOOKUP(A488,[1]Data2!$A:$A,[1]Data2!$B:$B,"no")="yes",1,0)</f>
        <v>0</v>
      </c>
    </row>
    <row r="489" spans="1:21" s="6" customFormat="1" x14ac:dyDescent="0.3">
      <c r="A489" s="6" t="s">
        <v>527</v>
      </c>
      <c r="B489" s="6" t="s">
        <v>22</v>
      </c>
      <c r="C489" s="6" t="s">
        <v>23</v>
      </c>
      <c r="D489" s="6" t="s">
        <v>31</v>
      </c>
      <c r="E489" s="6" t="s">
        <v>35</v>
      </c>
      <c r="F489" s="6" t="s">
        <v>50</v>
      </c>
      <c r="G489" s="7">
        <f>Table2[[#This Row],[Unit price]]-10</f>
        <v>27.15</v>
      </c>
      <c r="H489" s="7">
        <v>37.15</v>
      </c>
      <c r="I489" s="8">
        <v>4</v>
      </c>
      <c r="J489" s="8">
        <f>Table2[[#This Row],[Unit price]]*Table2[[#This Row],[Quantity]]</f>
        <v>148.6</v>
      </c>
      <c r="K489" s="8">
        <f>Table2[[#This Row],[Unit Cost]]*Table2[[#This Row],[Quantity]]</f>
        <v>108.6</v>
      </c>
      <c r="L489" s="8">
        <f>Table2[[#This Row],[Gross Sales]]-Table2[[#This Row],[COGS]]</f>
        <v>40</v>
      </c>
      <c r="M489" s="9">
        <f t="shared" si="7"/>
        <v>0.26917900403768508</v>
      </c>
      <c r="N489" s="7">
        <v>7.43</v>
      </c>
      <c r="O489" s="7">
        <v>156.03</v>
      </c>
      <c r="P489" s="10">
        <v>43547</v>
      </c>
      <c r="Q489" s="10" t="str">
        <f>TEXT(Table2[[#This Row],[Date]],"mmm")</f>
        <v>Mar</v>
      </c>
      <c r="R489" s="11">
        <v>0.7909722222222223</v>
      </c>
      <c r="S489" s="6" t="s">
        <v>27</v>
      </c>
      <c r="T489" s="7">
        <v>8.3000000000000007</v>
      </c>
      <c r="U489" s="6">
        <f>IF(_xlfn.XLOOKUP(A489,[1]Data2!$A:$A,[1]Data2!$B:$B,"no")="yes",1,0)</f>
        <v>0</v>
      </c>
    </row>
    <row r="490" spans="1:21" s="6" customFormat="1" x14ac:dyDescent="0.3">
      <c r="A490" s="6" t="s">
        <v>528</v>
      </c>
      <c r="B490" s="6" t="s">
        <v>29</v>
      </c>
      <c r="C490" s="6" t="s">
        <v>30</v>
      </c>
      <c r="D490" s="6" t="s">
        <v>31</v>
      </c>
      <c r="E490" s="6" t="s">
        <v>35</v>
      </c>
      <c r="F490" s="6" t="s">
        <v>36</v>
      </c>
      <c r="G490" s="7">
        <f>Table2[[#This Row],[Unit price]]-10</f>
        <v>12.96</v>
      </c>
      <c r="H490" s="7">
        <v>22.96</v>
      </c>
      <c r="I490" s="8">
        <v>1</v>
      </c>
      <c r="J490" s="8">
        <f>Table2[[#This Row],[Unit price]]*Table2[[#This Row],[Quantity]]</f>
        <v>22.96</v>
      </c>
      <c r="K490" s="8">
        <f>Table2[[#This Row],[Unit Cost]]*Table2[[#This Row],[Quantity]]</f>
        <v>12.96</v>
      </c>
      <c r="L490" s="8">
        <f>Table2[[#This Row],[Gross Sales]]-Table2[[#This Row],[COGS]]</f>
        <v>10</v>
      </c>
      <c r="M490" s="9">
        <f t="shared" si="7"/>
        <v>0.43554006968641112</v>
      </c>
      <c r="N490" s="7">
        <v>1.1479999999999999</v>
      </c>
      <c r="O490" s="7">
        <v>24.108000000000001</v>
      </c>
      <c r="P490" s="10">
        <v>43495</v>
      </c>
      <c r="Q490" s="10" t="str">
        <f>TEXT(Table2[[#This Row],[Date]],"mmm")</f>
        <v>Jan</v>
      </c>
      <c r="R490" s="11">
        <v>0.86597222222222225</v>
      </c>
      <c r="S490" s="6" t="s">
        <v>33</v>
      </c>
      <c r="T490" s="7">
        <v>4.3</v>
      </c>
      <c r="U490" s="6">
        <f>IF(_xlfn.XLOOKUP(A490,[1]Data2!$A:$A,[1]Data2!$B:$B,"no")="yes",1,0)</f>
        <v>1</v>
      </c>
    </row>
    <row r="491" spans="1:21" s="6" customFormat="1" x14ac:dyDescent="0.3">
      <c r="A491" s="6" t="s">
        <v>529</v>
      </c>
      <c r="B491" s="6" t="s">
        <v>46</v>
      </c>
      <c r="C491" s="6" t="s">
        <v>47</v>
      </c>
      <c r="D491" s="6" t="s">
        <v>24</v>
      </c>
      <c r="E491" s="6" t="s">
        <v>25</v>
      </c>
      <c r="F491" s="6" t="s">
        <v>36</v>
      </c>
      <c r="G491" s="7">
        <f>Table2[[#This Row],[Unit price]]-10</f>
        <v>67.680000000000007</v>
      </c>
      <c r="H491" s="7">
        <v>77.680000000000007</v>
      </c>
      <c r="I491" s="8">
        <v>9</v>
      </c>
      <c r="J491" s="8">
        <f>Table2[[#This Row],[Unit price]]*Table2[[#This Row],[Quantity]]</f>
        <v>699.12000000000012</v>
      </c>
      <c r="K491" s="8">
        <f>Table2[[#This Row],[Unit Cost]]*Table2[[#This Row],[Quantity]]</f>
        <v>609.12000000000012</v>
      </c>
      <c r="L491" s="8">
        <f>Table2[[#This Row],[Gross Sales]]-Table2[[#This Row],[COGS]]</f>
        <v>90</v>
      </c>
      <c r="M491" s="9">
        <f t="shared" si="7"/>
        <v>0.12873326467559215</v>
      </c>
      <c r="N491" s="7">
        <v>34.956000000000003</v>
      </c>
      <c r="O491" s="7">
        <v>734.07600000000002</v>
      </c>
      <c r="P491" s="10">
        <v>43500</v>
      </c>
      <c r="Q491" s="10" t="str">
        <f>TEXT(Table2[[#This Row],[Date]],"mmm")</f>
        <v>Feb</v>
      </c>
      <c r="R491" s="11">
        <v>0.55625000000000002</v>
      </c>
      <c r="S491" s="6" t="s">
        <v>27</v>
      </c>
      <c r="T491" s="7">
        <v>9.8000000000000007</v>
      </c>
      <c r="U491" s="6">
        <f>IF(_xlfn.XLOOKUP(A491,[1]Data2!$A:$A,[1]Data2!$B:$B,"no")="yes",1,0)</f>
        <v>0</v>
      </c>
    </row>
    <row r="492" spans="1:21" s="6" customFormat="1" x14ac:dyDescent="0.3">
      <c r="A492" s="6" t="s">
        <v>530</v>
      </c>
      <c r="B492" s="6" t="s">
        <v>46</v>
      </c>
      <c r="C492" s="6" t="s">
        <v>47</v>
      </c>
      <c r="D492" s="6" t="s">
        <v>31</v>
      </c>
      <c r="E492" s="6" t="s">
        <v>25</v>
      </c>
      <c r="F492" s="6" t="s">
        <v>50</v>
      </c>
      <c r="G492" s="7">
        <f>Table2[[#This Row],[Unit price]]-10</f>
        <v>24.700000000000003</v>
      </c>
      <c r="H492" s="7">
        <v>34.700000000000003</v>
      </c>
      <c r="I492" s="8">
        <v>2</v>
      </c>
      <c r="J492" s="8">
        <f>Table2[[#This Row],[Unit price]]*Table2[[#This Row],[Quantity]]</f>
        <v>69.400000000000006</v>
      </c>
      <c r="K492" s="8">
        <f>Table2[[#This Row],[Unit Cost]]*Table2[[#This Row],[Quantity]]</f>
        <v>49.400000000000006</v>
      </c>
      <c r="L492" s="8">
        <f>Table2[[#This Row],[Gross Sales]]-Table2[[#This Row],[COGS]]</f>
        <v>20</v>
      </c>
      <c r="M492" s="9">
        <f t="shared" si="7"/>
        <v>0.28818443804034583</v>
      </c>
      <c r="N492" s="7">
        <v>3.47</v>
      </c>
      <c r="O492" s="7">
        <v>72.87</v>
      </c>
      <c r="P492" s="10">
        <v>43537</v>
      </c>
      <c r="Q492" s="10" t="str">
        <f>TEXT(Table2[[#This Row],[Date]],"mmm")</f>
        <v>Mar</v>
      </c>
      <c r="R492" s="11">
        <v>0.82500000000000007</v>
      </c>
      <c r="S492" s="6" t="s">
        <v>27</v>
      </c>
      <c r="T492" s="7">
        <v>8.1999999999999993</v>
      </c>
      <c r="U492" s="6">
        <f>IF(_xlfn.XLOOKUP(A492,[1]Data2!$A:$A,[1]Data2!$B:$B,"no")="yes",1,0)</f>
        <v>0</v>
      </c>
    </row>
    <row r="493" spans="1:21" s="6" customFormat="1" x14ac:dyDescent="0.3">
      <c r="A493" s="6" t="s">
        <v>531</v>
      </c>
      <c r="B493" s="6" t="s">
        <v>22</v>
      </c>
      <c r="C493" s="6" t="s">
        <v>23</v>
      </c>
      <c r="D493" s="6" t="s">
        <v>24</v>
      </c>
      <c r="E493" s="6" t="s">
        <v>25</v>
      </c>
      <c r="F493" s="6" t="s">
        <v>50</v>
      </c>
      <c r="G493" s="7">
        <f>Table2[[#This Row],[Unit price]]-10</f>
        <v>9.66</v>
      </c>
      <c r="H493" s="7">
        <v>19.66</v>
      </c>
      <c r="I493" s="8">
        <v>10</v>
      </c>
      <c r="J493" s="8">
        <f>Table2[[#This Row],[Unit price]]*Table2[[#This Row],[Quantity]]</f>
        <v>196.6</v>
      </c>
      <c r="K493" s="8">
        <f>Table2[[#This Row],[Unit Cost]]*Table2[[#This Row],[Quantity]]</f>
        <v>96.6</v>
      </c>
      <c r="L493" s="8">
        <f>Table2[[#This Row],[Gross Sales]]-Table2[[#This Row],[COGS]]</f>
        <v>100</v>
      </c>
      <c r="M493" s="9">
        <f t="shared" si="7"/>
        <v>0.50864699898270604</v>
      </c>
      <c r="N493" s="7">
        <v>9.83</v>
      </c>
      <c r="O493" s="7">
        <v>206.43</v>
      </c>
      <c r="P493" s="10">
        <v>43539</v>
      </c>
      <c r="Q493" s="10" t="str">
        <f>TEXT(Table2[[#This Row],[Date]],"mmm")</f>
        <v>Mar</v>
      </c>
      <c r="R493" s="11">
        <v>0.76388888888888884</v>
      </c>
      <c r="S493" s="6" t="s">
        <v>37</v>
      </c>
      <c r="T493" s="7">
        <v>7.2</v>
      </c>
      <c r="U493" s="6">
        <f>IF(_xlfn.XLOOKUP(A493,[1]Data2!$A:$A,[1]Data2!$B:$B,"no")="yes",1,0)</f>
        <v>0</v>
      </c>
    </row>
    <row r="494" spans="1:21" s="6" customFormat="1" x14ac:dyDescent="0.3">
      <c r="A494" s="6" t="s">
        <v>532</v>
      </c>
      <c r="B494" s="6" t="s">
        <v>46</v>
      </c>
      <c r="C494" s="6" t="s">
        <v>47</v>
      </c>
      <c r="D494" s="6" t="s">
        <v>24</v>
      </c>
      <c r="E494" s="6" t="s">
        <v>25</v>
      </c>
      <c r="F494" s="6" t="s">
        <v>26</v>
      </c>
      <c r="G494" s="7">
        <f>Table2[[#This Row],[Unit price]]-10</f>
        <v>15.32</v>
      </c>
      <c r="H494" s="7">
        <v>25.32</v>
      </c>
      <c r="I494" s="8">
        <v>8</v>
      </c>
      <c r="J494" s="8">
        <f>Table2[[#This Row],[Unit price]]*Table2[[#This Row],[Quantity]]</f>
        <v>202.56</v>
      </c>
      <c r="K494" s="8">
        <f>Table2[[#This Row],[Unit Cost]]*Table2[[#This Row],[Quantity]]</f>
        <v>122.56</v>
      </c>
      <c r="L494" s="8">
        <f>Table2[[#This Row],[Gross Sales]]-Table2[[#This Row],[COGS]]</f>
        <v>80</v>
      </c>
      <c r="M494" s="9">
        <f t="shared" si="7"/>
        <v>0.39494470774091628</v>
      </c>
      <c r="N494" s="7">
        <v>10.128</v>
      </c>
      <c r="O494" s="7">
        <v>212.68799999999999</v>
      </c>
      <c r="P494" s="10">
        <v>43529</v>
      </c>
      <c r="Q494" s="10" t="str">
        <f>TEXT(Table2[[#This Row],[Date]],"mmm")</f>
        <v>Mar</v>
      </c>
      <c r="R494" s="11">
        <v>0.85</v>
      </c>
      <c r="S494" s="6" t="s">
        <v>27</v>
      </c>
      <c r="T494" s="7">
        <v>8.6999999999999993</v>
      </c>
      <c r="U494" s="6">
        <f>IF(_xlfn.XLOOKUP(A494,[1]Data2!$A:$A,[1]Data2!$B:$B,"no")="yes",1,0)</f>
        <v>1</v>
      </c>
    </row>
    <row r="495" spans="1:21" s="6" customFormat="1" x14ac:dyDescent="0.3">
      <c r="A495" s="6" t="s">
        <v>533</v>
      </c>
      <c r="B495" s="6" t="s">
        <v>29</v>
      </c>
      <c r="C495" s="6" t="s">
        <v>30</v>
      </c>
      <c r="D495" s="6" t="s">
        <v>24</v>
      </c>
      <c r="E495" s="6" t="s">
        <v>25</v>
      </c>
      <c r="F495" s="6" t="s">
        <v>36</v>
      </c>
      <c r="G495" s="7">
        <f>Table2[[#This Row],[Unit price]]-10</f>
        <v>2.1199999999999992</v>
      </c>
      <c r="H495" s="7">
        <v>12.12</v>
      </c>
      <c r="I495" s="8">
        <v>10</v>
      </c>
      <c r="J495" s="8">
        <f>Table2[[#This Row],[Unit price]]*Table2[[#This Row],[Quantity]]</f>
        <v>121.19999999999999</v>
      </c>
      <c r="K495" s="8">
        <f>Table2[[#This Row],[Unit Cost]]*Table2[[#This Row],[Quantity]]</f>
        <v>21.199999999999992</v>
      </c>
      <c r="L495" s="8">
        <f>Table2[[#This Row],[Gross Sales]]-Table2[[#This Row],[COGS]]</f>
        <v>100</v>
      </c>
      <c r="M495" s="9">
        <f t="shared" si="7"/>
        <v>0.82508250825082519</v>
      </c>
      <c r="N495" s="7">
        <v>6.06</v>
      </c>
      <c r="O495" s="7">
        <v>127.26</v>
      </c>
      <c r="P495" s="10">
        <v>43529</v>
      </c>
      <c r="Q495" s="10" t="str">
        <f>TEXT(Table2[[#This Row],[Date]],"mmm")</f>
        <v>Mar</v>
      </c>
      <c r="R495" s="11">
        <v>0.57222222222222219</v>
      </c>
      <c r="S495" s="6" t="s">
        <v>37</v>
      </c>
      <c r="T495" s="7">
        <v>8.4</v>
      </c>
      <c r="U495" s="6">
        <f>IF(_xlfn.XLOOKUP(A495,[1]Data2!$A:$A,[1]Data2!$B:$B,"no")="yes",1,0)</f>
        <v>0</v>
      </c>
    </row>
    <row r="496" spans="1:21" s="6" customFormat="1" x14ac:dyDescent="0.3">
      <c r="A496" s="6" t="s">
        <v>534</v>
      </c>
      <c r="B496" s="6" t="s">
        <v>46</v>
      </c>
      <c r="C496" s="6" t="s">
        <v>47</v>
      </c>
      <c r="D496" s="6" t="s">
        <v>31</v>
      </c>
      <c r="E496" s="6" t="s">
        <v>35</v>
      </c>
      <c r="F496" s="6" t="s">
        <v>50</v>
      </c>
      <c r="G496" s="7">
        <f>Table2[[#This Row],[Unit price]]-10</f>
        <v>89.89</v>
      </c>
      <c r="H496" s="7">
        <v>99.89</v>
      </c>
      <c r="I496" s="8">
        <v>2</v>
      </c>
      <c r="J496" s="8">
        <f>Table2[[#This Row],[Unit price]]*Table2[[#This Row],[Quantity]]</f>
        <v>199.78</v>
      </c>
      <c r="K496" s="8">
        <f>Table2[[#This Row],[Unit Cost]]*Table2[[#This Row],[Quantity]]</f>
        <v>179.78</v>
      </c>
      <c r="L496" s="8">
        <f>Table2[[#This Row],[Gross Sales]]-Table2[[#This Row],[COGS]]</f>
        <v>20</v>
      </c>
      <c r="M496" s="9">
        <f t="shared" si="7"/>
        <v>0.10011012113324658</v>
      </c>
      <c r="N496" s="7">
        <v>9.9890000000000008</v>
      </c>
      <c r="O496" s="7">
        <v>209.76900000000001</v>
      </c>
      <c r="P496" s="10">
        <v>43522</v>
      </c>
      <c r="Q496" s="10" t="str">
        <f>TEXT(Table2[[#This Row],[Date]],"mmm")</f>
        <v>Feb</v>
      </c>
      <c r="R496" s="11">
        <v>0.4916666666666667</v>
      </c>
      <c r="S496" s="6" t="s">
        <v>27</v>
      </c>
      <c r="T496" s="7">
        <v>7.1</v>
      </c>
      <c r="U496" s="6">
        <f>IF(_xlfn.XLOOKUP(A496,[1]Data2!$A:$A,[1]Data2!$B:$B,"no")="yes",1,0)</f>
        <v>0</v>
      </c>
    </row>
    <row r="497" spans="1:21" s="6" customFormat="1" x14ac:dyDescent="0.3">
      <c r="A497" s="6" t="s">
        <v>535</v>
      </c>
      <c r="B497" s="6" t="s">
        <v>46</v>
      </c>
      <c r="C497" s="6" t="s">
        <v>47</v>
      </c>
      <c r="D497" s="6" t="s">
        <v>31</v>
      </c>
      <c r="E497" s="6" t="s">
        <v>35</v>
      </c>
      <c r="F497" s="6" t="s">
        <v>40</v>
      </c>
      <c r="G497" s="7">
        <f>Table2[[#This Row],[Unit price]]-10</f>
        <v>65.92</v>
      </c>
      <c r="H497" s="7">
        <v>75.92</v>
      </c>
      <c r="I497" s="8">
        <v>8</v>
      </c>
      <c r="J497" s="8">
        <f>Table2[[#This Row],[Unit price]]*Table2[[#This Row],[Quantity]]</f>
        <v>607.36</v>
      </c>
      <c r="K497" s="8">
        <f>Table2[[#This Row],[Unit Cost]]*Table2[[#This Row],[Quantity]]</f>
        <v>527.36</v>
      </c>
      <c r="L497" s="8">
        <f>Table2[[#This Row],[Gross Sales]]-Table2[[#This Row],[COGS]]</f>
        <v>80</v>
      </c>
      <c r="M497" s="9">
        <f t="shared" si="7"/>
        <v>0.13171759747102213</v>
      </c>
      <c r="N497" s="7">
        <v>30.367999999999999</v>
      </c>
      <c r="O497" s="7">
        <v>637.72799999999995</v>
      </c>
      <c r="P497" s="10">
        <v>43544</v>
      </c>
      <c r="Q497" s="10" t="str">
        <f>TEXT(Table2[[#This Row],[Date]],"mmm")</f>
        <v>Mar</v>
      </c>
      <c r="R497" s="11">
        <v>0.59305555555555556</v>
      </c>
      <c r="S497" s="6" t="s">
        <v>33</v>
      </c>
      <c r="T497" s="7">
        <v>5.5</v>
      </c>
      <c r="U497" s="6">
        <f>IF(_xlfn.XLOOKUP(A497,[1]Data2!$A:$A,[1]Data2!$B:$B,"no")="yes",1,0)</f>
        <v>0</v>
      </c>
    </row>
    <row r="498" spans="1:21" s="6" customFormat="1" x14ac:dyDescent="0.3">
      <c r="A498" s="6" t="s">
        <v>536</v>
      </c>
      <c r="B498" s="6" t="s">
        <v>29</v>
      </c>
      <c r="C498" s="6" t="s">
        <v>30</v>
      </c>
      <c r="D498" s="6" t="s">
        <v>31</v>
      </c>
      <c r="E498" s="6" t="s">
        <v>25</v>
      </c>
      <c r="F498" s="6" t="s">
        <v>32</v>
      </c>
      <c r="G498" s="7">
        <f>Table2[[#This Row],[Unit price]]-10</f>
        <v>53.22</v>
      </c>
      <c r="H498" s="7">
        <v>63.22</v>
      </c>
      <c r="I498" s="8">
        <v>2</v>
      </c>
      <c r="J498" s="8">
        <f>Table2[[#This Row],[Unit price]]*Table2[[#This Row],[Quantity]]</f>
        <v>126.44</v>
      </c>
      <c r="K498" s="8">
        <f>Table2[[#This Row],[Unit Cost]]*Table2[[#This Row],[Quantity]]</f>
        <v>106.44</v>
      </c>
      <c r="L498" s="8">
        <f>Table2[[#This Row],[Gross Sales]]-Table2[[#This Row],[COGS]]</f>
        <v>20</v>
      </c>
      <c r="M498" s="9">
        <f t="shared" si="7"/>
        <v>0.15817779183802594</v>
      </c>
      <c r="N498" s="7">
        <v>6.3220000000000001</v>
      </c>
      <c r="O498" s="7">
        <v>132.762</v>
      </c>
      <c r="P498" s="10">
        <v>43466</v>
      </c>
      <c r="Q498" s="10" t="str">
        <f>TEXT(Table2[[#This Row],[Date]],"mmm")</f>
        <v>Jan</v>
      </c>
      <c r="R498" s="11">
        <v>0.66041666666666665</v>
      </c>
      <c r="S498" s="6" t="s">
        <v>33</v>
      </c>
      <c r="T498" s="7">
        <v>8.5</v>
      </c>
      <c r="U498" s="6">
        <f>IF(_xlfn.XLOOKUP(A498,[1]Data2!$A:$A,[1]Data2!$B:$B,"no")="yes",1,0)</f>
        <v>1</v>
      </c>
    </row>
    <row r="499" spans="1:21" s="6" customFormat="1" x14ac:dyDescent="0.3">
      <c r="A499" s="6" t="s">
        <v>537</v>
      </c>
      <c r="B499" s="6" t="s">
        <v>29</v>
      </c>
      <c r="C499" s="6" t="s">
        <v>30</v>
      </c>
      <c r="D499" s="6" t="s">
        <v>31</v>
      </c>
      <c r="E499" s="6" t="s">
        <v>25</v>
      </c>
      <c r="F499" s="6" t="s">
        <v>48</v>
      </c>
      <c r="G499" s="7">
        <f>Table2[[#This Row],[Unit price]]-10</f>
        <v>80.239999999999995</v>
      </c>
      <c r="H499" s="7">
        <v>90.24</v>
      </c>
      <c r="I499" s="8">
        <v>6</v>
      </c>
      <c r="J499" s="8">
        <f>Table2[[#This Row],[Unit price]]*Table2[[#This Row],[Quantity]]</f>
        <v>541.43999999999994</v>
      </c>
      <c r="K499" s="8">
        <f>Table2[[#This Row],[Unit Cost]]*Table2[[#This Row],[Quantity]]</f>
        <v>481.43999999999994</v>
      </c>
      <c r="L499" s="8">
        <f>Table2[[#This Row],[Gross Sales]]-Table2[[#This Row],[COGS]]</f>
        <v>60</v>
      </c>
      <c r="M499" s="9">
        <f t="shared" si="7"/>
        <v>0.11081560283687944</v>
      </c>
      <c r="N499" s="7">
        <v>27.071999999999999</v>
      </c>
      <c r="O499" s="7">
        <v>568.51199999999994</v>
      </c>
      <c r="P499" s="10">
        <v>43492</v>
      </c>
      <c r="Q499" s="10" t="str">
        <f>TEXT(Table2[[#This Row],[Date]],"mmm")</f>
        <v>Jan</v>
      </c>
      <c r="R499" s="11">
        <v>0.47013888888888888</v>
      </c>
      <c r="S499" s="6" t="s">
        <v>33</v>
      </c>
      <c r="T499" s="7">
        <v>6.2</v>
      </c>
      <c r="U499" s="6">
        <f>IF(_xlfn.XLOOKUP(A499,[1]Data2!$A:$A,[1]Data2!$B:$B,"no")="yes",1,0)</f>
        <v>0</v>
      </c>
    </row>
    <row r="500" spans="1:21" s="6" customFormat="1" x14ac:dyDescent="0.3">
      <c r="A500" s="6" t="s">
        <v>538</v>
      </c>
      <c r="B500" s="6" t="s">
        <v>46</v>
      </c>
      <c r="C500" s="6" t="s">
        <v>47</v>
      </c>
      <c r="D500" s="6" t="s">
        <v>24</v>
      </c>
      <c r="E500" s="6" t="s">
        <v>25</v>
      </c>
      <c r="F500" s="6" t="s">
        <v>40</v>
      </c>
      <c r="G500" s="7">
        <f>Table2[[#This Row],[Unit price]]-10</f>
        <v>88.13</v>
      </c>
      <c r="H500" s="7">
        <v>98.13</v>
      </c>
      <c r="I500" s="8">
        <v>1</v>
      </c>
      <c r="J500" s="8">
        <f>Table2[[#This Row],[Unit price]]*Table2[[#This Row],[Quantity]]</f>
        <v>98.13</v>
      </c>
      <c r="K500" s="8">
        <f>Table2[[#This Row],[Unit Cost]]*Table2[[#This Row],[Quantity]]</f>
        <v>88.13</v>
      </c>
      <c r="L500" s="8">
        <f>Table2[[#This Row],[Gross Sales]]-Table2[[#This Row],[COGS]]</f>
        <v>10</v>
      </c>
      <c r="M500" s="9">
        <f t="shared" si="7"/>
        <v>0.10190563538163661</v>
      </c>
      <c r="N500" s="7">
        <v>4.9065000000000003</v>
      </c>
      <c r="O500" s="7">
        <v>103.0365</v>
      </c>
      <c r="P500" s="10">
        <v>43486</v>
      </c>
      <c r="Q500" s="10" t="str">
        <f>TEXT(Table2[[#This Row],[Date]],"mmm")</f>
        <v>Jan</v>
      </c>
      <c r="R500" s="11">
        <v>0.73333333333333339</v>
      </c>
      <c r="S500" s="6" t="s">
        <v>33</v>
      </c>
      <c r="T500" s="7">
        <v>8.9</v>
      </c>
      <c r="U500" s="6">
        <f>IF(_xlfn.XLOOKUP(A500,[1]Data2!$A:$A,[1]Data2!$B:$B,"no")="yes",1,0)</f>
        <v>0</v>
      </c>
    </row>
    <row r="501" spans="1:21" s="6" customFormat="1" x14ac:dyDescent="0.3">
      <c r="A501" s="6" t="s">
        <v>539</v>
      </c>
      <c r="B501" s="6" t="s">
        <v>22</v>
      </c>
      <c r="C501" s="6" t="s">
        <v>23</v>
      </c>
      <c r="D501" s="6" t="s">
        <v>24</v>
      </c>
      <c r="E501" s="6" t="s">
        <v>25</v>
      </c>
      <c r="F501" s="6" t="s">
        <v>40</v>
      </c>
      <c r="G501" s="7">
        <f>Table2[[#This Row],[Unit price]]-10</f>
        <v>41.52</v>
      </c>
      <c r="H501" s="7">
        <v>51.52</v>
      </c>
      <c r="I501" s="8">
        <v>8</v>
      </c>
      <c r="J501" s="8">
        <f>Table2[[#This Row],[Unit price]]*Table2[[#This Row],[Quantity]]</f>
        <v>412.16</v>
      </c>
      <c r="K501" s="8">
        <f>Table2[[#This Row],[Unit Cost]]*Table2[[#This Row],[Quantity]]</f>
        <v>332.16</v>
      </c>
      <c r="L501" s="8">
        <f>Table2[[#This Row],[Gross Sales]]-Table2[[#This Row],[COGS]]</f>
        <v>80</v>
      </c>
      <c r="M501" s="9">
        <f t="shared" si="7"/>
        <v>0.19409937888198756</v>
      </c>
      <c r="N501" s="7">
        <v>20.608000000000001</v>
      </c>
      <c r="O501" s="7">
        <v>432.76799999999997</v>
      </c>
      <c r="P501" s="10">
        <v>43498</v>
      </c>
      <c r="Q501" s="10" t="str">
        <f>TEXT(Table2[[#This Row],[Date]],"mmm")</f>
        <v>Feb</v>
      </c>
      <c r="R501" s="11">
        <v>0.65763888888888888</v>
      </c>
      <c r="S501" s="6" t="s">
        <v>33</v>
      </c>
      <c r="T501" s="7">
        <v>9.6</v>
      </c>
      <c r="U501" s="6">
        <f>IF(_xlfn.XLOOKUP(A501,[1]Data2!$A:$A,[1]Data2!$B:$B,"no")="yes",1,0)</f>
        <v>0</v>
      </c>
    </row>
    <row r="502" spans="1:21" s="6" customFormat="1" x14ac:dyDescent="0.3">
      <c r="A502" s="6" t="s">
        <v>540</v>
      </c>
      <c r="B502" s="6" t="s">
        <v>46</v>
      </c>
      <c r="C502" s="6" t="s">
        <v>47</v>
      </c>
      <c r="D502" s="6" t="s">
        <v>24</v>
      </c>
      <c r="E502" s="6" t="s">
        <v>35</v>
      </c>
      <c r="F502" s="6" t="s">
        <v>40</v>
      </c>
      <c r="G502" s="7">
        <f>Table2[[#This Row],[Unit price]]-10</f>
        <v>63.97</v>
      </c>
      <c r="H502" s="7">
        <v>73.97</v>
      </c>
      <c r="I502" s="8">
        <v>1</v>
      </c>
      <c r="J502" s="8">
        <f>Table2[[#This Row],[Unit price]]*Table2[[#This Row],[Quantity]]</f>
        <v>73.97</v>
      </c>
      <c r="K502" s="8">
        <f>Table2[[#This Row],[Unit Cost]]*Table2[[#This Row],[Quantity]]</f>
        <v>63.97</v>
      </c>
      <c r="L502" s="8">
        <f>Table2[[#This Row],[Gross Sales]]-Table2[[#This Row],[COGS]]</f>
        <v>10</v>
      </c>
      <c r="M502" s="9">
        <f t="shared" si="7"/>
        <v>0.135189941868325</v>
      </c>
      <c r="N502" s="7">
        <v>3.6985000000000001</v>
      </c>
      <c r="O502" s="7">
        <v>77.668499999999995</v>
      </c>
      <c r="P502" s="10">
        <v>43499</v>
      </c>
      <c r="Q502" s="10" t="str">
        <f>TEXT(Table2[[#This Row],[Date]],"mmm")</f>
        <v>Feb</v>
      </c>
      <c r="R502" s="11">
        <v>0.66180555555555554</v>
      </c>
      <c r="S502" s="6" t="s">
        <v>37</v>
      </c>
      <c r="T502" s="7">
        <v>5.4</v>
      </c>
      <c r="U502" s="6">
        <f>IF(_xlfn.XLOOKUP(A502,[1]Data2!$A:$A,[1]Data2!$B:$B,"no")="yes",1,0)</f>
        <v>1</v>
      </c>
    </row>
    <row r="503" spans="1:21" s="6" customFormat="1" x14ac:dyDescent="0.3">
      <c r="A503" s="6" t="s">
        <v>541</v>
      </c>
      <c r="B503" s="6" t="s">
        <v>29</v>
      </c>
      <c r="C503" s="6" t="s">
        <v>30</v>
      </c>
      <c r="D503" s="6" t="s">
        <v>24</v>
      </c>
      <c r="E503" s="6" t="s">
        <v>25</v>
      </c>
      <c r="F503" s="6" t="s">
        <v>50</v>
      </c>
      <c r="G503" s="7">
        <f>Table2[[#This Row],[Unit price]]-10</f>
        <v>21.9</v>
      </c>
      <c r="H503" s="7">
        <v>31.9</v>
      </c>
      <c r="I503" s="8">
        <v>1</v>
      </c>
      <c r="J503" s="8">
        <f>Table2[[#This Row],[Unit price]]*Table2[[#This Row],[Quantity]]</f>
        <v>31.9</v>
      </c>
      <c r="K503" s="8">
        <f>Table2[[#This Row],[Unit Cost]]*Table2[[#This Row],[Quantity]]</f>
        <v>21.9</v>
      </c>
      <c r="L503" s="8">
        <f>Table2[[#This Row],[Gross Sales]]-Table2[[#This Row],[COGS]]</f>
        <v>10</v>
      </c>
      <c r="M503" s="9">
        <f t="shared" si="7"/>
        <v>0.31347962382445144</v>
      </c>
      <c r="N503" s="7">
        <v>1.595</v>
      </c>
      <c r="O503" s="7">
        <v>33.494999999999997</v>
      </c>
      <c r="P503" s="10">
        <v>43470</v>
      </c>
      <c r="Q503" s="10" t="str">
        <f>TEXT(Table2[[#This Row],[Date]],"mmm")</f>
        <v>Jan</v>
      </c>
      <c r="R503" s="11">
        <v>0.52777777777777779</v>
      </c>
      <c r="S503" s="6" t="s">
        <v>27</v>
      </c>
      <c r="T503" s="7">
        <v>9.1</v>
      </c>
      <c r="U503" s="6">
        <f>IF(_xlfn.XLOOKUP(A503,[1]Data2!$A:$A,[1]Data2!$B:$B,"no")="yes",1,0)</f>
        <v>0</v>
      </c>
    </row>
    <row r="504" spans="1:21" s="6" customFormat="1" x14ac:dyDescent="0.3">
      <c r="A504" s="6" t="s">
        <v>542</v>
      </c>
      <c r="B504" s="6" t="s">
        <v>29</v>
      </c>
      <c r="C504" s="6" t="s">
        <v>30</v>
      </c>
      <c r="D504" s="6" t="s">
        <v>31</v>
      </c>
      <c r="E504" s="6" t="s">
        <v>35</v>
      </c>
      <c r="F504" s="6" t="s">
        <v>36</v>
      </c>
      <c r="G504" s="7">
        <f>Table2[[#This Row],[Unit price]]-10</f>
        <v>59.400000000000006</v>
      </c>
      <c r="H504" s="7">
        <v>69.400000000000006</v>
      </c>
      <c r="I504" s="8">
        <v>2</v>
      </c>
      <c r="J504" s="8">
        <f>Table2[[#This Row],[Unit price]]*Table2[[#This Row],[Quantity]]</f>
        <v>138.80000000000001</v>
      </c>
      <c r="K504" s="8">
        <f>Table2[[#This Row],[Unit Cost]]*Table2[[#This Row],[Quantity]]</f>
        <v>118.80000000000001</v>
      </c>
      <c r="L504" s="8">
        <f>Table2[[#This Row],[Gross Sales]]-Table2[[#This Row],[COGS]]</f>
        <v>20</v>
      </c>
      <c r="M504" s="9">
        <f t="shared" si="7"/>
        <v>0.14409221902017291</v>
      </c>
      <c r="N504" s="7">
        <v>6.94</v>
      </c>
      <c r="O504" s="7">
        <v>145.74</v>
      </c>
      <c r="P504" s="10">
        <v>43492</v>
      </c>
      <c r="Q504" s="10" t="str">
        <f>TEXT(Table2[[#This Row],[Date]],"mmm")</f>
        <v>Jan</v>
      </c>
      <c r="R504" s="11">
        <v>0.82500000000000007</v>
      </c>
      <c r="S504" s="6" t="s">
        <v>27</v>
      </c>
      <c r="T504" s="7">
        <v>9</v>
      </c>
      <c r="U504" s="6">
        <f>IF(_xlfn.XLOOKUP(A504,[1]Data2!$A:$A,[1]Data2!$B:$B,"no")="yes",1,0)</f>
        <v>0</v>
      </c>
    </row>
    <row r="505" spans="1:21" s="6" customFormat="1" x14ac:dyDescent="0.3">
      <c r="A505" s="6" t="s">
        <v>543</v>
      </c>
      <c r="B505" s="6" t="s">
        <v>46</v>
      </c>
      <c r="C505" s="6" t="s">
        <v>47</v>
      </c>
      <c r="D505" s="6" t="s">
        <v>31</v>
      </c>
      <c r="E505" s="6" t="s">
        <v>25</v>
      </c>
      <c r="F505" s="6" t="s">
        <v>40</v>
      </c>
      <c r="G505" s="7">
        <f>Table2[[#This Row],[Unit price]]-10</f>
        <v>83.31</v>
      </c>
      <c r="H505" s="7">
        <v>93.31</v>
      </c>
      <c r="I505" s="8">
        <v>2</v>
      </c>
      <c r="J505" s="8">
        <f>Table2[[#This Row],[Unit price]]*Table2[[#This Row],[Quantity]]</f>
        <v>186.62</v>
      </c>
      <c r="K505" s="8">
        <f>Table2[[#This Row],[Unit Cost]]*Table2[[#This Row],[Quantity]]</f>
        <v>166.62</v>
      </c>
      <c r="L505" s="8">
        <f>Table2[[#This Row],[Gross Sales]]-Table2[[#This Row],[COGS]]</f>
        <v>20</v>
      </c>
      <c r="M505" s="9">
        <f t="shared" si="7"/>
        <v>0.10716964955524595</v>
      </c>
      <c r="N505" s="7">
        <v>9.3309999999999995</v>
      </c>
      <c r="O505" s="7">
        <v>195.95099999999999</v>
      </c>
      <c r="P505" s="10">
        <v>43549</v>
      </c>
      <c r="Q505" s="10" t="str">
        <f>TEXT(Table2[[#This Row],[Date]],"mmm")</f>
        <v>Mar</v>
      </c>
      <c r="R505" s="11">
        <v>0.74513888888888891</v>
      </c>
      <c r="S505" s="6" t="s">
        <v>33</v>
      </c>
      <c r="T505" s="7">
        <v>6.3</v>
      </c>
      <c r="U505" s="6">
        <f>IF(_xlfn.XLOOKUP(A505,[1]Data2!$A:$A,[1]Data2!$B:$B,"no")="yes",1,0)</f>
        <v>0</v>
      </c>
    </row>
    <row r="506" spans="1:21" s="6" customFormat="1" x14ac:dyDescent="0.3">
      <c r="A506" s="6" t="s">
        <v>544</v>
      </c>
      <c r="B506" s="6" t="s">
        <v>46</v>
      </c>
      <c r="C506" s="6" t="s">
        <v>47</v>
      </c>
      <c r="D506" s="6" t="s">
        <v>31</v>
      </c>
      <c r="E506" s="6" t="s">
        <v>35</v>
      </c>
      <c r="F506" s="6" t="s">
        <v>40</v>
      </c>
      <c r="G506" s="7">
        <f>Table2[[#This Row],[Unit price]]-10</f>
        <v>78.45</v>
      </c>
      <c r="H506" s="7">
        <v>88.45</v>
      </c>
      <c r="I506" s="8">
        <v>1</v>
      </c>
      <c r="J506" s="8">
        <f>Table2[[#This Row],[Unit price]]*Table2[[#This Row],[Quantity]]</f>
        <v>88.45</v>
      </c>
      <c r="K506" s="8">
        <f>Table2[[#This Row],[Unit Cost]]*Table2[[#This Row],[Quantity]]</f>
        <v>78.45</v>
      </c>
      <c r="L506" s="8">
        <f>Table2[[#This Row],[Gross Sales]]-Table2[[#This Row],[COGS]]</f>
        <v>10</v>
      </c>
      <c r="M506" s="9">
        <f t="shared" si="7"/>
        <v>0.11305822498586772</v>
      </c>
      <c r="N506" s="7">
        <v>4.4225000000000003</v>
      </c>
      <c r="O506" s="7">
        <v>92.872500000000002</v>
      </c>
      <c r="P506" s="10">
        <v>43521</v>
      </c>
      <c r="Q506" s="10" t="str">
        <f>TEXT(Table2[[#This Row],[Date]],"mmm")</f>
        <v>Feb</v>
      </c>
      <c r="R506" s="11">
        <v>0.69166666666666676</v>
      </c>
      <c r="S506" s="6" t="s">
        <v>37</v>
      </c>
      <c r="T506" s="7">
        <v>9.5</v>
      </c>
      <c r="U506" s="6">
        <f>IF(_xlfn.XLOOKUP(A506,[1]Data2!$A:$A,[1]Data2!$B:$B,"no")="yes",1,0)</f>
        <v>1</v>
      </c>
    </row>
    <row r="507" spans="1:21" s="6" customFormat="1" x14ac:dyDescent="0.3">
      <c r="A507" s="6" t="s">
        <v>545</v>
      </c>
      <c r="B507" s="6" t="s">
        <v>22</v>
      </c>
      <c r="C507" s="6" t="s">
        <v>23</v>
      </c>
      <c r="D507" s="6" t="s">
        <v>24</v>
      </c>
      <c r="E507" s="6" t="s">
        <v>35</v>
      </c>
      <c r="F507" s="6" t="s">
        <v>32</v>
      </c>
      <c r="G507" s="7">
        <f>Table2[[#This Row],[Unit price]]-10</f>
        <v>14.18</v>
      </c>
      <c r="H507" s="7">
        <v>24.18</v>
      </c>
      <c r="I507" s="8">
        <v>8</v>
      </c>
      <c r="J507" s="8">
        <f>Table2[[#This Row],[Unit price]]*Table2[[#This Row],[Quantity]]</f>
        <v>193.44</v>
      </c>
      <c r="K507" s="8">
        <f>Table2[[#This Row],[Unit Cost]]*Table2[[#This Row],[Quantity]]</f>
        <v>113.44</v>
      </c>
      <c r="L507" s="8">
        <f>Table2[[#This Row],[Gross Sales]]-Table2[[#This Row],[COGS]]</f>
        <v>80</v>
      </c>
      <c r="M507" s="9">
        <f t="shared" si="7"/>
        <v>0.41356492969396197</v>
      </c>
      <c r="N507" s="7">
        <v>9.6720000000000006</v>
      </c>
      <c r="O507" s="7">
        <v>203.11199999999999</v>
      </c>
      <c r="P507" s="10">
        <v>43493</v>
      </c>
      <c r="Q507" s="10" t="str">
        <f>TEXT(Table2[[#This Row],[Date]],"mmm")</f>
        <v>Jan</v>
      </c>
      <c r="R507" s="11">
        <v>0.87083333333333324</v>
      </c>
      <c r="S507" s="6" t="s">
        <v>27</v>
      </c>
      <c r="T507" s="7">
        <v>9.8000000000000007</v>
      </c>
      <c r="U507" s="6">
        <f>IF(_xlfn.XLOOKUP(A507,[1]Data2!$A:$A,[1]Data2!$B:$B,"no")="yes",1,0)</f>
        <v>0</v>
      </c>
    </row>
    <row r="508" spans="1:21" s="6" customFormat="1" x14ac:dyDescent="0.3">
      <c r="A508" s="6" t="s">
        <v>546</v>
      </c>
      <c r="B508" s="6" t="s">
        <v>46</v>
      </c>
      <c r="C508" s="6" t="s">
        <v>47</v>
      </c>
      <c r="D508" s="6" t="s">
        <v>24</v>
      </c>
      <c r="E508" s="6" t="s">
        <v>25</v>
      </c>
      <c r="F508" s="6" t="s">
        <v>40</v>
      </c>
      <c r="G508" s="7">
        <f>Table2[[#This Row],[Unit price]]-10</f>
        <v>38.5</v>
      </c>
      <c r="H508" s="7">
        <v>48.5</v>
      </c>
      <c r="I508" s="8">
        <v>3</v>
      </c>
      <c r="J508" s="8">
        <f>Table2[[#This Row],[Unit price]]*Table2[[#This Row],[Quantity]]</f>
        <v>145.5</v>
      </c>
      <c r="K508" s="8">
        <f>Table2[[#This Row],[Unit Cost]]*Table2[[#This Row],[Quantity]]</f>
        <v>115.5</v>
      </c>
      <c r="L508" s="8">
        <f>Table2[[#This Row],[Gross Sales]]-Table2[[#This Row],[COGS]]</f>
        <v>30</v>
      </c>
      <c r="M508" s="9">
        <f t="shared" si="7"/>
        <v>0.20618556701030927</v>
      </c>
      <c r="N508" s="7">
        <v>7.2750000000000004</v>
      </c>
      <c r="O508" s="7">
        <v>152.77500000000001</v>
      </c>
      <c r="P508" s="10">
        <v>43473</v>
      </c>
      <c r="Q508" s="10" t="str">
        <f>TEXT(Table2[[#This Row],[Date]],"mmm")</f>
        <v>Jan</v>
      </c>
      <c r="R508" s="11">
        <v>0.53472222222222221</v>
      </c>
      <c r="S508" s="6" t="s">
        <v>33</v>
      </c>
      <c r="T508" s="7">
        <v>6.7</v>
      </c>
      <c r="U508" s="6">
        <f>IF(_xlfn.XLOOKUP(A508,[1]Data2!$A:$A,[1]Data2!$B:$B,"no")="yes",1,0)</f>
        <v>0</v>
      </c>
    </row>
    <row r="509" spans="1:21" s="6" customFormat="1" x14ac:dyDescent="0.3">
      <c r="A509" s="6" t="s">
        <v>547</v>
      </c>
      <c r="B509" s="6" t="s">
        <v>46</v>
      </c>
      <c r="C509" s="6" t="s">
        <v>47</v>
      </c>
      <c r="D509" s="6" t="s">
        <v>31</v>
      </c>
      <c r="E509" s="6" t="s">
        <v>25</v>
      </c>
      <c r="F509" s="6" t="s">
        <v>48</v>
      </c>
      <c r="G509" s="7">
        <f>Table2[[#This Row],[Unit price]]-10</f>
        <v>74.05</v>
      </c>
      <c r="H509" s="7">
        <v>84.05</v>
      </c>
      <c r="I509" s="8">
        <v>6</v>
      </c>
      <c r="J509" s="8">
        <f>Table2[[#This Row],[Unit price]]*Table2[[#This Row],[Quantity]]</f>
        <v>504.29999999999995</v>
      </c>
      <c r="K509" s="8">
        <f>Table2[[#This Row],[Unit Cost]]*Table2[[#This Row],[Quantity]]</f>
        <v>444.29999999999995</v>
      </c>
      <c r="L509" s="8">
        <f>Table2[[#This Row],[Gross Sales]]-Table2[[#This Row],[COGS]]</f>
        <v>60</v>
      </c>
      <c r="M509" s="9">
        <f t="shared" si="7"/>
        <v>0.11897679952409282</v>
      </c>
      <c r="N509" s="7">
        <v>25.215</v>
      </c>
      <c r="O509" s="7">
        <v>529.51499999999999</v>
      </c>
      <c r="P509" s="10">
        <v>43494</v>
      </c>
      <c r="Q509" s="10" t="str">
        <f>TEXT(Table2[[#This Row],[Date]],"mmm")</f>
        <v>Jan</v>
      </c>
      <c r="R509" s="11">
        <v>0.45</v>
      </c>
      <c r="S509" s="6" t="s">
        <v>37</v>
      </c>
      <c r="T509" s="7">
        <v>7.7</v>
      </c>
      <c r="U509" s="6">
        <f>IF(_xlfn.XLOOKUP(A509,[1]Data2!$A:$A,[1]Data2!$B:$B,"no")="yes",1,0)</f>
        <v>0</v>
      </c>
    </row>
    <row r="510" spans="1:21" s="6" customFormat="1" x14ac:dyDescent="0.3">
      <c r="A510" s="6" t="s">
        <v>548</v>
      </c>
      <c r="B510" s="6" t="s">
        <v>46</v>
      </c>
      <c r="C510" s="6" t="s">
        <v>47</v>
      </c>
      <c r="D510" s="6" t="s">
        <v>24</v>
      </c>
      <c r="E510" s="6" t="s">
        <v>35</v>
      </c>
      <c r="F510" s="6" t="s">
        <v>26</v>
      </c>
      <c r="G510" s="7">
        <f>Table2[[#This Row],[Unit price]]-10</f>
        <v>51.29</v>
      </c>
      <c r="H510" s="7">
        <v>61.29</v>
      </c>
      <c r="I510" s="8">
        <v>5</v>
      </c>
      <c r="J510" s="8">
        <f>Table2[[#This Row],[Unit price]]*Table2[[#This Row],[Quantity]]</f>
        <v>306.45</v>
      </c>
      <c r="K510" s="8">
        <f>Table2[[#This Row],[Unit Cost]]*Table2[[#This Row],[Quantity]]</f>
        <v>256.45</v>
      </c>
      <c r="L510" s="8">
        <f>Table2[[#This Row],[Gross Sales]]-Table2[[#This Row],[COGS]]</f>
        <v>50</v>
      </c>
      <c r="M510" s="9">
        <f t="shared" si="7"/>
        <v>0.16315875346712352</v>
      </c>
      <c r="N510" s="7">
        <v>15.3225</v>
      </c>
      <c r="O510" s="7">
        <v>321.77249999999998</v>
      </c>
      <c r="P510" s="10">
        <v>43553</v>
      </c>
      <c r="Q510" s="10" t="str">
        <f>TEXT(Table2[[#This Row],[Date]],"mmm")</f>
        <v>Mar</v>
      </c>
      <c r="R510" s="11">
        <v>0.60277777777777775</v>
      </c>
      <c r="S510" s="6" t="s">
        <v>33</v>
      </c>
      <c r="T510" s="7">
        <v>7</v>
      </c>
      <c r="U510" s="6">
        <f>IF(_xlfn.XLOOKUP(A510,[1]Data2!$A:$A,[1]Data2!$B:$B,"no")="yes",1,0)</f>
        <v>1</v>
      </c>
    </row>
    <row r="511" spans="1:21" s="6" customFormat="1" x14ac:dyDescent="0.3">
      <c r="A511" s="6" t="s">
        <v>549</v>
      </c>
      <c r="B511" s="6" t="s">
        <v>29</v>
      </c>
      <c r="C511" s="6" t="s">
        <v>30</v>
      </c>
      <c r="D511" s="6" t="s">
        <v>24</v>
      </c>
      <c r="E511" s="6" t="s">
        <v>25</v>
      </c>
      <c r="F511" s="6" t="s">
        <v>36</v>
      </c>
      <c r="G511" s="7">
        <f>Table2[[#This Row],[Unit price]]-10</f>
        <v>5.9499999999999993</v>
      </c>
      <c r="H511" s="7">
        <v>15.95</v>
      </c>
      <c r="I511" s="8">
        <v>6</v>
      </c>
      <c r="J511" s="8">
        <f>Table2[[#This Row],[Unit price]]*Table2[[#This Row],[Quantity]]</f>
        <v>95.699999999999989</v>
      </c>
      <c r="K511" s="8">
        <f>Table2[[#This Row],[Unit Cost]]*Table2[[#This Row],[Quantity]]</f>
        <v>35.699999999999996</v>
      </c>
      <c r="L511" s="8">
        <f>Table2[[#This Row],[Gross Sales]]-Table2[[#This Row],[COGS]]</f>
        <v>59.999999999999993</v>
      </c>
      <c r="M511" s="9">
        <f t="shared" si="7"/>
        <v>0.62695924764890287</v>
      </c>
      <c r="N511" s="7">
        <v>4.7850000000000001</v>
      </c>
      <c r="O511" s="7">
        <v>100.485</v>
      </c>
      <c r="P511" s="10">
        <v>43505</v>
      </c>
      <c r="Q511" s="10" t="str">
        <f>TEXT(Table2[[#This Row],[Date]],"mmm")</f>
        <v>Feb</v>
      </c>
      <c r="R511" s="11">
        <v>0.71875</v>
      </c>
      <c r="S511" s="6" t="s">
        <v>37</v>
      </c>
      <c r="T511" s="7">
        <v>5.0999999999999996</v>
      </c>
      <c r="U511" s="6">
        <f>IF(_xlfn.XLOOKUP(A511,[1]Data2!$A:$A,[1]Data2!$B:$B,"no")="yes",1,0)</f>
        <v>0</v>
      </c>
    </row>
    <row r="512" spans="1:21" s="6" customFormat="1" x14ac:dyDescent="0.3">
      <c r="A512" s="6" t="s">
        <v>550</v>
      </c>
      <c r="B512" s="6" t="s">
        <v>46</v>
      </c>
      <c r="C512" s="6" t="s">
        <v>47</v>
      </c>
      <c r="D512" s="6" t="s">
        <v>24</v>
      </c>
      <c r="E512" s="6" t="s">
        <v>25</v>
      </c>
      <c r="F512" s="6" t="s">
        <v>40</v>
      </c>
      <c r="G512" s="7">
        <f>Table2[[#This Row],[Unit price]]-10</f>
        <v>80.739999999999995</v>
      </c>
      <c r="H512" s="7">
        <v>90.74</v>
      </c>
      <c r="I512" s="8">
        <v>7</v>
      </c>
      <c r="J512" s="8">
        <f>Table2[[#This Row],[Unit price]]*Table2[[#This Row],[Quantity]]</f>
        <v>635.17999999999995</v>
      </c>
      <c r="K512" s="8">
        <f>Table2[[#This Row],[Unit Cost]]*Table2[[#This Row],[Quantity]]</f>
        <v>565.17999999999995</v>
      </c>
      <c r="L512" s="8">
        <f>Table2[[#This Row],[Gross Sales]]-Table2[[#This Row],[COGS]]</f>
        <v>70</v>
      </c>
      <c r="M512" s="9">
        <f t="shared" si="7"/>
        <v>0.1102049812651532</v>
      </c>
      <c r="N512" s="7">
        <v>31.759</v>
      </c>
      <c r="O512" s="7">
        <v>666.93899999999996</v>
      </c>
      <c r="P512" s="10">
        <v>43481</v>
      </c>
      <c r="Q512" s="10" t="str">
        <f>TEXT(Table2[[#This Row],[Date]],"mmm")</f>
        <v>Jan</v>
      </c>
      <c r="R512" s="11">
        <v>0.75208333333333333</v>
      </c>
      <c r="S512" s="6" t="s">
        <v>37</v>
      </c>
      <c r="T512" s="7">
        <v>6.2</v>
      </c>
      <c r="U512" s="6">
        <f>IF(_xlfn.XLOOKUP(A512,[1]Data2!$A:$A,[1]Data2!$B:$B,"no")="yes",1,0)</f>
        <v>0</v>
      </c>
    </row>
    <row r="513" spans="1:21" s="6" customFormat="1" x14ac:dyDescent="0.3">
      <c r="A513" s="6" t="s">
        <v>551</v>
      </c>
      <c r="B513" s="6" t="s">
        <v>22</v>
      </c>
      <c r="C513" s="6" t="s">
        <v>23</v>
      </c>
      <c r="D513" s="6" t="s">
        <v>31</v>
      </c>
      <c r="E513" s="6" t="s">
        <v>25</v>
      </c>
      <c r="F513" s="6" t="s">
        <v>36</v>
      </c>
      <c r="G513" s="7">
        <f>Table2[[#This Row],[Unit price]]-10</f>
        <v>32.909999999999997</v>
      </c>
      <c r="H513" s="7">
        <v>42.91</v>
      </c>
      <c r="I513" s="8">
        <v>5</v>
      </c>
      <c r="J513" s="8">
        <f>Table2[[#This Row],[Unit price]]*Table2[[#This Row],[Quantity]]</f>
        <v>214.54999999999998</v>
      </c>
      <c r="K513" s="8">
        <f>Table2[[#This Row],[Unit Cost]]*Table2[[#This Row],[Quantity]]</f>
        <v>164.54999999999998</v>
      </c>
      <c r="L513" s="8">
        <f>Table2[[#This Row],[Gross Sales]]-Table2[[#This Row],[COGS]]</f>
        <v>50</v>
      </c>
      <c r="M513" s="9">
        <f t="shared" si="7"/>
        <v>0.23304591004427874</v>
      </c>
      <c r="N513" s="7">
        <v>10.727499999999999</v>
      </c>
      <c r="O513" s="7">
        <v>225.2775</v>
      </c>
      <c r="P513" s="10">
        <v>43470</v>
      </c>
      <c r="Q513" s="10" t="str">
        <f>TEXT(Table2[[#This Row],[Date]],"mmm")</f>
        <v>Jan</v>
      </c>
      <c r="R513" s="11">
        <v>0.7284722222222223</v>
      </c>
      <c r="S513" s="6" t="s">
        <v>27</v>
      </c>
      <c r="T513" s="7">
        <v>6.1</v>
      </c>
      <c r="U513" s="6">
        <f>IF(_xlfn.XLOOKUP(A513,[1]Data2!$A:$A,[1]Data2!$B:$B,"no")="yes",1,0)</f>
        <v>0</v>
      </c>
    </row>
    <row r="514" spans="1:21" s="6" customFormat="1" x14ac:dyDescent="0.3">
      <c r="A514" s="6" t="s">
        <v>552</v>
      </c>
      <c r="B514" s="6" t="s">
        <v>22</v>
      </c>
      <c r="C514" s="6" t="s">
        <v>23</v>
      </c>
      <c r="D514" s="6" t="s">
        <v>31</v>
      </c>
      <c r="E514" s="6" t="s">
        <v>25</v>
      </c>
      <c r="F514" s="6" t="s">
        <v>50</v>
      </c>
      <c r="G514" s="7">
        <f>Table2[[#This Row],[Unit price]]-10</f>
        <v>44.28</v>
      </c>
      <c r="H514" s="7">
        <v>54.28</v>
      </c>
      <c r="I514" s="8">
        <v>7</v>
      </c>
      <c r="J514" s="8">
        <f>Table2[[#This Row],[Unit price]]*Table2[[#This Row],[Quantity]]</f>
        <v>379.96000000000004</v>
      </c>
      <c r="K514" s="8">
        <f>Table2[[#This Row],[Unit Cost]]*Table2[[#This Row],[Quantity]]</f>
        <v>309.96000000000004</v>
      </c>
      <c r="L514" s="8">
        <f>Table2[[#This Row],[Gross Sales]]-Table2[[#This Row],[COGS]]</f>
        <v>70</v>
      </c>
      <c r="M514" s="9">
        <f t="shared" si="7"/>
        <v>0.18422991893883564</v>
      </c>
      <c r="N514" s="7">
        <v>18.998000000000001</v>
      </c>
      <c r="O514" s="7">
        <v>398.95800000000003</v>
      </c>
      <c r="P514" s="10">
        <v>43492</v>
      </c>
      <c r="Q514" s="10" t="str">
        <f>TEXT(Table2[[#This Row],[Date]],"mmm")</f>
        <v>Jan</v>
      </c>
      <c r="R514" s="11">
        <v>0.75347222222222221</v>
      </c>
      <c r="S514" s="6" t="s">
        <v>27</v>
      </c>
      <c r="T514" s="7">
        <v>9.3000000000000007</v>
      </c>
      <c r="U514" s="6">
        <f>IF(_xlfn.XLOOKUP(A514,[1]Data2!$A:$A,[1]Data2!$B:$B,"no")="yes",1,0)</f>
        <v>1</v>
      </c>
    </row>
    <row r="515" spans="1:21" s="6" customFormat="1" x14ac:dyDescent="0.3">
      <c r="A515" s="6" t="s">
        <v>553</v>
      </c>
      <c r="B515" s="6" t="s">
        <v>22</v>
      </c>
      <c r="C515" s="6" t="s">
        <v>23</v>
      </c>
      <c r="D515" s="6" t="s">
        <v>31</v>
      </c>
      <c r="E515" s="6" t="s">
        <v>35</v>
      </c>
      <c r="F515" s="6" t="s">
        <v>32</v>
      </c>
      <c r="G515" s="7">
        <f>Table2[[#This Row],[Unit price]]-10</f>
        <v>89.55</v>
      </c>
      <c r="H515" s="7">
        <v>99.55</v>
      </c>
      <c r="I515" s="8">
        <v>7</v>
      </c>
      <c r="J515" s="8">
        <f>Table2[[#This Row],[Unit price]]*Table2[[#This Row],[Quantity]]</f>
        <v>696.85</v>
      </c>
      <c r="K515" s="8">
        <f>Table2[[#This Row],[Unit Cost]]*Table2[[#This Row],[Quantity]]</f>
        <v>626.85</v>
      </c>
      <c r="L515" s="8">
        <f>Table2[[#This Row],[Gross Sales]]-Table2[[#This Row],[COGS]]</f>
        <v>70</v>
      </c>
      <c r="M515" s="9">
        <f t="shared" ref="M515:M578" si="8">IFERROR(L515/J515,0)</f>
        <v>0.10045203415369161</v>
      </c>
      <c r="N515" s="7">
        <v>34.842500000000001</v>
      </c>
      <c r="O515" s="7">
        <v>731.6925</v>
      </c>
      <c r="P515" s="10">
        <v>43538</v>
      </c>
      <c r="Q515" s="10" t="str">
        <f>TEXT(Table2[[#This Row],[Date]],"mmm")</f>
        <v>Mar</v>
      </c>
      <c r="R515" s="11">
        <v>0.50486111111111109</v>
      </c>
      <c r="S515" s="6" t="s">
        <v>33</v>
      </c>
      <c r="T515" s="7">
        <v>7.6</v>
      </c>
      <c r="U515" s="6">
        <f>IF(_xlfn.XLOOKUP(A515,[1]Data2!$A:$A,[1]Data2!$B:$B,"no")="yes",1,0)</f>
        <v>0</v>
      </c>
    </row>
    <row r="516" spans="1:21" s="6" customFormat="1" x14ac:dyDescent="0.3">
      <c r="A516" s="6" t="s">
        <v>554</v>
      </c>
      <c r="B516" s="6" t="s">
        <v>29</v>
      </c>
      <c r="C516" s="6" t="s">
        <v>30</v>
      </c>
      <c r="D516" s="6" t="s">
        <v>24</v>
      </c>
      <c r="E516" s="6" t="s">
        <v>35</v>
      </c>
      <c r="F516" s="6" t="s">
        <v>40</v>
      </c>
      <c r="G516" s="7">
        <f>Table2[[#This Row],[Unit price]]-10</f>
        <v>48.39</v>
      </c>
      <c r="H516" s="7">
        <v>58.39</v>
      </c>
      <c r="I516" s="8">
        <v>7</v>
      </c>
      <c r="J516" s="8">
        <f>Table2[[#This Row],[Unit price]]*Table2[[#This Row],[Quantity]]</f>
        <v>408.73</v>
      </c>
      <c r="K516" s="8">
        <f>Table2[[#This Row],[Unit Cost]]*Table2[[#This Row],[Quantity]]</f>
        <v>338.73</v>
      </c>
      <c r="L516" s="8">
        <f>Table2[[#This Row],[Gross Sales]]-Table2[[#This Row],[COGS]]</f>
        <v>70</v>
      </c>
      <c r="M516" s="9">
        <f t="shared" si="8"/>
        <v>0.17126220243192328</v>
      </c>
      <c r="N516" s="7">
        <v>20.436499999999999</v>
      </c>
      <c r="O516" s="7">
        <v>429.16649999999998</v>
      </c>
      <c r="P516" s="10">
        <v>43519</v>
      </c>
      <c r="Q516" s="10" t="str">
        <f>TEXT(Table2[[#This Row],[Date]],"mmm")</f>
        <v>Feb</v>
      </c>
      <c r="R516" s="11">
        <v>0.8256944444444444</v>
      </c>
      <c r="S516" s="6" t="s">
        <v>37</v>
      </c>
      <c r="T516" s="7">
        <v>8.1999999999999993</v>
      </c>
      <c r="U516" s="6">
        <f>IF(_xlfn.XLOOKUP(A516,[1]Data2!$A:$A,[1]Data2!$B:$B,"no")="yes",1,0)</f>
        <v>0</v>
      </c>
    </row>
    <row r="517" spans="1:21" s="6" customFormat="1" x14ac:dyDescent="0.3">
      <c r="A517" s="6" t="s">
        <v>555</v>
      </c>
      <c r="B517" s="6" t="s">
        <v>29</v>
      </c>
      <c r="C517" s="6" t="s">
        <v>30</v>
      </c>
      <c r="D517" s="6" t="s">
        <v>24</v>
      </c>
      <c r="E517" s="6" t="s">
        <v>25</v>
      </c>
      <c r="F517" s="6" t="s">
        <v>50</v>
      </c>
      <c r="G517" s="7">
        <f>Table2[[#This Row],[Unit price]]-10</f>
        <v>41.47</v>
      </c>
      <c r="H517" s="7">
        <v>51.47</v>
      </c>
      <c r="I517" s="8">
        <v>1</v>
      </c>
      <c r="J517" s="8">
        <f>Table2[[#This Row],[Unit price]]*Table2[[#This Row],[Quantity]]</f>
        <v>51.47</v>
      </c>
      <c r="K517" s="8">
        <f>Table2[[#This Row],[Unit Cost]]*Table2[[#This Row],[Quantity]]</f>
        <v>41.47</v>
      </c>
      <c r="L517" s="8">
        <f>Table2[[#This Row],[Gross Sales]]-Table2[[#This Row],[COGS]]</f>
        <v>10</v>
      </c>
      <c r="M517" s="9">
        <f t="shared" si="8"/>
        <v>0.19428793471925393</v>
      </c>
      <c r="N517" s="7">
        <v>2.5735000000000001</v>
      </c>
      <c r="O517" s="7">
        <v>54.043500000000002</v>
      </c>
      <c r="P517" s="10">
        <v>43542</v>
      </c>
      <c r="Q517" s="10" t="str">
        <f>TEXT(Table2[[#This Row],[Date]],"mmm")</f>
        <v>Mar</v>
      </c>
      <c r="R517" s="11">
        <v>0.66111111111111109</v>
      </c>
      <c r="S517" s="6" t="s">
        <v>27</v>
      </c>
      <c r="T517" s="7">
        <v>8.5</v>
      </c>
      <c r="U517" s="6">
        <f>IF(_xlfn.XLOOKUP(A517,[1]Data2!$A:$A,[1]Data2!$B:$B,"no")="yes",1,0)</f>
        <v>0</v>
      </c>
    </row>
    <row r="518" spans="1:21" s="6" customFormat="1" x14ac:dyDescent="0.3">
      <c r="A518" s="6" t="s">
        <v>556</v>
      </c>
      <c r="B518" s="6" t="s">
        <v>46</v>
      </c>
      <c r="C518" s="6" t="s">
        <v>47</v>
      </c>
      <c r="D518" s="6" t="s">
        <v>24</v>
      </c>
      <c r="E518" s="6" t="s">
        <v>35</v>
      </c>
      <c r="F518" s="6" t="s">
        <v>26</v>
      </c>
      <c r="G518" s="7">
        <f>Table2[[#This Row],[Unit price]]-10</f>
        <v>44.86</v>
      </c>
      <c r="H518" s="7">
        <v>54.86</v>
      </c>
      <c r="I518" s="8">
        <v>5</v>
      </c>
      <c r="J518" s="8">
        <f>Table2[[#This Row],[Unit price]]*Table2[[#This Row],[Quantity]]</f>
        <v>274.3</v>
      </c>
      <c r="K518" s="8">
        <f>Table2[[#This Row],[Unit Cost]]*Table2[[#This Row],[Quantity]]</f>
        <v>224.3</v>
      </c>
      <c r="L518" s="8">
        <f>Table2[[#This Row],[Gross Sales]]-Table2[[#This Row],[COGS]]</f>
        <v>50</v>
      </c>
      <c r="M518" s="9">
        <f t="shared" si="8"/>
        <v>0.18228217280349981</v>
      </c>
      <c r="N518" s="7">
        <v>13.715</v>
      </c>
      <c r="O518" s="7">
        <v>288.01499999999999</v>
      </c>
      <c r="P518" s="10">
        <v>43553</v>
      </c>
      <c r="Q518" s="10" t="str">
        <f>TEXT(Table2[[#This Row],[Date]],"mmm")</f>
        <v>Mar</v>
      </c>
      <c r="R518" s="11">
        <v>0.70000000000000007</v>
      </c>
      <c r="S518" s="6" t="s">
        <v>27</v>
      </c>
      <c r="T518" s="7">
        <v>9.8000000000000007</v>
      </c>
      <c r="U518" s="6">
        <f>IF(_xlfn.XLOOKUP(A518,[1]Data2!$A:$A,[1]Data2!$B:$B,"no")="yes",1,0)</f>
        <v>1</v>
      </c>
    </row>
    <row r="519" spans="1:21" s="6" customFormat="1" x14ac:dyDescent="0.3">
      <c r="A519" s="6" t="s">
        <v>557</v>
      </c>
      <c r="B519" s="6" t="s">
        <v>29</v>
      </c>
      <c r="C519" s="6" t="s">
        <v>30</v>
      </c>
      <c r="D519" s="6" t="s">
        <v>24</v>
      </c>
      <c r="E519" s="6" t="s">
        <v>35</v>
      </c>
      <c r="F519" s="6" t="s">
        <v>36</v>
      </c>
      <c r="G519" s="7">
        <f>Table2[[#This Row],[Unit price]]-10</f>
        <v>29.39</v>
      </c>
      <c r="H519" s="7">
        <v>39.39</v>
      </c>
      <c r="I519" s="8">
        <v>5</v>
      </c>
      <c r="J519" s="8">
        <f>Table2[[#This Row],[Unit price]]*Table2[[#This Row],[Quantity]]</f>
        <v>196.95</v>
      </c>
      <c r="K519" s="8">
        <f>Table2[[#This Row],[Unit Cost]]*Table2[[#This Row],[Quantity]]</f>
        <v>146.94999999999999</v>
      </c>
      <c r="L519" s="8">
        <f>Table2[[#This Row],[Gross Sales]]-Table2[[#This Row],[COGS]]</f>
        <v>50</v>
      </c>
      <c r="M519" s="9">
        <f t="shared" si="8"/>
        <v>0.25387154100025389</v>
      </c>
      <c r="N519" s="7">
        <v>9.8475000000000001</v>
      </c>
      <c r="O519" s="7">
        <v>206.79750000000001</v>
      </c>
      <c r="P519" s="10">
        <v>43487</v>
      </c>
      <c r="Q519" s="10" t="str">
        <f>TEXT(Table2[[#This Row],[Date]],"mmm")</f>
        <v>Jan</v>
      </c>
      <c r="R519" s="11">
        <v>0.8652777777777777</v>
      </c>
      <c r="S519" s="6" t="s">
        <v>37</v>
      </c>
      <c r="T519" s="7">
        <v>8.6999999999999993</v>
      </c>
      <c r="U519" s="6">
        <f>IF(_xlfn.XLOOKUP(A519,[1]Data2!$A:$A,[1]Data2!$B:$B,"no")="yes",1,0)</f>
        <v>0</v>
      </c>
    </row>
    <row r="520" spans="1:21" s="6" customFormat="1" x14ac:dyDescent="0.3">
      <c r="A520" s="6" t="s">
        <v>558</v>
      </c>
      <c r="B520" s="6" t="s">
        <v>22</v>
      </c>
      <c r="C520" s="6" t="s">
        <v>23</v>
      </c>
      <c r="D520" s="6" t="s">
        <v>31</v>
      </c>
      <c r="E520" s="6" t="s">
        <v>35</v>
      </c>
      <c r="F520" s="6" t="s">
        <v>36</v>
      </c>
      <c r="G520" s="7">
        <f>Table2[[#This Row],[Unit price]]-10</f>
        <v>24.729999999999997</v>
      </c>
      <c r="H520" s="7">
        <v>34.729999999999997</v>
      </c>
      <c r="I520" s="8">
        <v>2</v>
      </c>
      <c r="J520" s="8">
        <f>Table2[[#This Row],[Unit price]]*Table2[[#This Row],[Quantity]]</f>
        <v>69.459999999999994</v>
      </c>
      <c r="K520" s="8">
        <f>Table2[[#This Row],[Unit Cost]]*Table2[[#This Row],[Quantity]]</f>
        <v>49.459999999999994</v>
      </c>
      <c r="L520" s="8">
        <f>Table2[[#This Row],[Gross Sales]]-Table2[[#This Row],[COGS]]</f>
        <v>20</v>
      </c>
      <c r="M520" s="9">
        <f t="shared" si="8"/>
        <v>0.28793550244745181</v>
      </c>
      <c r="N520" s="7">
        <v>3.4729999999999999</v>
      </c>
      <c r="O520" s="7">
        <v>72.933000000000007</v>
      </c>
      <c r="P520" s="10">
        <v>43525</v>
      </c>
      <c r="Q520" s="10" t="str">
        <f>TEXT(Table2[[#This Row],[Date]],"mmm")</f>
        <v>Mar</v>
      </c>
      <c r="R520" s="11">
        <v>0.7597222222222223</v>
      </c>
      <c r="S520" s="6" t="s">
        <v>27</v>
      </c>
      <c r="T520" s="7">
        <v>9.6999999999999993</v>
      </c>
      <c r="U520" s="6">
        <f>IF(_xlfn.XLOOKUP(A520,[1]Data2!$A:$A,[1]Data2!$B:$B,"no")="yes",1,0)</f>
        <v>0</v>
      </c>
    </row>
    <row r="521" spans="1:21" s="6" customFormat="1" x14ac:dyDescent="0.3">
      <c r="A521" s="6" t="s">
        <v>559</v>
      </c>
      <c r="B521" s="6" t="s">
        <v>29</v>
      </c>
      <c r="C521" s="6" t="s">
        <v>30</v>
      </c>
      <c r="D521" s="6" t="s">
        <v>24</v>
      </c>
      <c r="E521" s="6" t="s">
        <v>35</v>
      </c>
      <c r="F521" s="6" t="s">
        <v>40</v>
      </c>
      <c r="G521" s="7">
        <f>Table2[[#This Row],[Unit price]]-10</f>
        <v>61.92</v>
      </c>
      <c r="H521" s="7">
        <v>71.92</v>
      </c>
      <c r="I521" s="8">
        <v>5</v>
      </c>
      <c r="J521" s="8">
        <f>Table2[[#This Row],[Unit price]]*Table2[[#This Row],[Quantity]]</f>
        <v>359.6</v>
      </c>
      <c r="K521" s="8">
        <f>Table2[[#This Row],[Unit Cost]]*Table2[[#This Row],[Quantity]]</f>
        <v>309.60000000000002</v>
      </c>
      <c r="L521" s="8">
        <f>Table2[[#This Row],[Gross Sales]]-Table2[[#This Row],[COGS]]</f>
        <v>50</v>
      </c>
      <c r="M521" s="9">
        <f t="shared" si="8"/>
        <v>0.13904338153503892</v>
      </c>
      <c r="N521" s="7">
        <v>17.98</v>
      </c>
      <c r="O521" s="7">
        <v>377.58</v>
      </c>
      <c r="P521" s="10">
        <v>43482</v>
      </c>
      <c r="Q521" s="10" t="str">
        <f>TEXT(Table2[[#This Row],[Date]],"mmm")</f>
        <v>Jan</v>
      </c>
      <c r="R521" s="11">
        <v>0.62847222222222221</v>
      </c>
      <c r="S521" s="6" t="s">
        <v>37</v>
      </c>
      <c r="T521" s="7">
        <v>4.3</v>
      </c>
      <c r="U521" s="6">
        <f>IF(_xlfn.XLOOKUP(A521,[1]Data2!$A:$A,[1]Data2!$B:$B,"no")="yes",1,0)</f>
        <v>0</v>
      </c>
    </row>
    <row r="522" spans="1:21" s="6" customFormat="1" x14ac:dyDescent="0.3">
      <c r="A522" s="6" t="s">
        <v>560</v>
      </c>
      <c r="B522" s="6" t="s">
        <v>46</v>
      </c>
      <c r="C522" s="6" t="s">
        <v>47</v>
      </c>
      <c r="D522" s="6" t="s">
        <v>31</v>
      </c>
      <c r="E522" s="6" t="s">
        <v>25</v>
      </c>
      <c r="F522" s="6" t="s">
        <v>32</v>
      </c>
      <c r="G522" s="7">
        <f>Table2[[#This Row],[Unit price]]-10</f>
        <v>35.71</v>
      </c>
      <c r="H522" s="7">
        <v>45.71</v>
      </c>
      <c r="I522" s="8">
        <v>3</v>
      </c>
      <c r="J522" s="8">
        <f>Table2[[#This Row],[Unit price]]*Table2[[#This Row],[Quantity]]</f>
        <v>137.13</v>
      </c>
      <c r="K522" s="8">
        <f>Table2[[#This Row],[Unit Cost]]*Table2[[#This Row],[Quantity]]</f>
        <v>107.13</v>
      </c>
      <c r="L522" s="8">
        <f>Table2[[#This Row],[Gross Sales]]-Table2[[#This Row],[COGS]]</f>
        <v>30</v>
      </c>
      <c r="M522" s="9">
        <f t="shared" si="8"/>
        <v>0.21877050973528769</v>
      </c>
      <c r="N522" s="7">
        <v>6.8564999999999996</v>
      </c>
      <c r="O522" s="7">
        <v>143.98650000000001</v>
      </c>
      <c r="P522" s="10">
        <v>43550</v>
      </c>
      <c r="Q522" s="10" t="str">
        <f>TEXT(Table2[[#This Row],[Date]],"mmm")</f>
        <v>Mar</v>
      </c>
      <c r="R522" s="11">
        <v>0.44027777777777777</v>
      </c>
      <c r="S522" s="6" t="s">
        <v>37</v>
      </c>
      <c r="T522" s="7">
        <v>7.7</v>
      </c>
      <c r="U522" s="6">
        <f>IF(_xlfn.XLOOKUP(A522,[1]Data2!$A:$A,[1]Data2!$B:$B,"no")="yes",1,0)</f>
        <v>1</v>
      </c>
    </row>
    <row r="523" spans="1:21" s="6" customFormat="1" x14ac:dyDescent="0.3">
      <c r="A523" s="6" t="s">
        <v>561</v>
      </c>
      <c r="B523" s="6" t="s">
        <v>29</v>
      </c>
      <c r="C523" s="6" t="s">
        <v>30</v>
      </c>
      <c r="D523" s="6" t="s">
        <v>24</v>
      </c>
      <c r="E523" s="6" t="s">
        <v>25</v>
      </c>
      <c r="F523" s="6" t="s">
        <v>36</v>
      </c>
      <c r="G523" s="7">
        <f>Table2[[#This Row],[Unit price]]-10</f>
        <v>73.17</v>
      </c>
      <c r="H523" s="7">
        <v>83.17</v>
      </c>
      <c r="I523" s="8">
        <v>6</v>
      </c>
      <c r="J523" s="8">
        <f>Table2[[#This Row],[Unit price]]*Table2[[#This Row],[Quantity]]</f>
        <v>499.02</v>
      </c>
      <c r="K523" s="8">
        <f>Table2[[#This Row],[Unit Cost]]*Table2[[#This Row],[Quantity]]</f>
        <v>439.02</v>
      </c>
      <c r="L523" s="8">
        <f>Table2[[#This Row],[Gross Sales]]-Table2[[#This Row],[COGS]]</f>
        <v>60</v>
      </c>
      <c r="M523" s="9">
        <f t="shared" si="8"/>
        <v>0.12023566189731875</v>
      </c>
      <c r="N523" s="7">
        <v>24.951000000000001</v>
      </c>
      <c r="O523" s="7">
        <v>523.971</v>
      </c>
      <c r="P523" s="10">
        <v>43544</v>
      </c>
      <c r="Q523" s="10" t="str">
        <f>TEXT(Table2[[#This Row],[Date]],"mmm")</f>
        <v>Mar</v>
      </c>
      <c r="R523" s="11">
        <v>0.47430555555555554</v>
      </c>
      <c r="S523" s="6" t="s">
        <v>33</v>
      </c>
      <c r="T523" s="7">
        <v>7.3</v>
      </c>
      <c r="U523" s="6">
        <f>IF(_xlfn.XLOOKUP(A523,[1]Data2!$A:$A,[1]Data2!$B:$B,"no")="yes",1,0)</f>
        <v>0</v>
      </c>
    </row>
    <row r="524" spans="1:21" s="6" customFormat="1" x14ac:dyDescent="0.3">
      <c r="A524" s="6" t="s">
        <v>562</v>
      </c>
      <c r="B524" s="6" t="s">
        <v>22</v>
      </c>
      <c r="C524" s="6" t="s">
        <v>23</v>
      </c>
      <c r="D524" s="6" t="s">
        <v>24</v>
      </c>
      <c r="E524" s="6" t="s">
        <v>25</v>
      </c>
      <c r="F524" s="6" t="s">
        <v>36</v>
      </c>
      <c r="G524" s="7">
        <f>Table2[[#This Row],[Unit price]]-10</f>
        <v>27.439999999999998</v>
      </c>
      <c r="H524" s="7">
        <v>37.44</v>
      </c>
      <c r="I524" s="8">
        <v>6</v>
      </c>
      <c r="J524" s="8">
        <f>Table2[[#This Row],[Unit price]]*Table2[[#This Row],[Quantity]]</f>
        <v>224.64</v>
      </c>
      <c r="K524" s="8">
        <f>Table2[[#This Row],[Unit Cost]]*Table2[[#This Row],[Quantity]]</f>
        <v>164.64</v>
      </c>
      <c r="L524" s="8">
        <f>Table2[[#This Row],[Gross Sales]]-Table2[[#This Row],[COGS]]</f>
        <v>60</v>
      </c>
      <c r="M524" s="9">
        <f t="shared" si="8"/>
        <v>0.26709401709401709</v>
      </c>
      <c r="N524" s="7">
        <v>11.231999999999999</v>
      </c>
      <c r="O524" s="7">
        <v>235.87200000000001</v>
      </c>
      <c r="P524" s="10">
        <v>43502</v>
      </c>
      <c r="Q524" s="10" t="str">
        <f>TEXT(Table2[[#This Row],[Date]],"mmm")</f>
        <v>Feb</v>
      </c>
      <c r="R524" s="11">
        <v>0.57986111111111105</v>
      </c>
      <c r="S524" s="6" t="s">
        <v>37</v>
      </c>
      <c r="T524" s="7">
        <v>5.9</v>
      </c>
      <c r="U524" s="6">
        <f>IF(_xlfn.XLOOKUP(A524,[1]Data2!$A:$A,[1]Data2!$B:$B,"no")="yes",1,0)</f>
        <v>0</v>
      </c>
    </row>
    <row r="525" spans="1:21" s="6" customFormat="1" x14ac:dyDescent="0.3">
      <c r="A525" s="6" t="s">
        <v>563</v>
      </c>
      <c r="B525" s="6" t="s">
        <v>29</v>
      </c>
      <c r="C525" s="6" t="s">
        <v>30</v>
      </c>
      <c r="D525" s="6" t="s">
        <v>31</v>
      </c>
      <c r="E525" s="6" t="s">
        <v>35</v>
      </c>
      <c r="F525" s="6" t="s">
        <v>26</v>
      </c>
      <c r="G525" s="7">
        <f>Table2[[#This Row],[Unit price]]-10</f>
        <v>52.87</v>
      </c>
      <c r="H525" s="7">
        <v>62.87</v>
      </c>
      <c r="I525" s="8">
        <v>2</v>
      </c>
      <c r="J525" s="8">
        <f>Table2[[#This Row],[Unit price]]*Table2[[#This Row],[Quantity]]</f>
        <v>125.74</v>
      </c>
      <c r="K525" s="8">
        <f>Table2[[#This Row],[Unit Cost]]*Table2[[#This Row],[Quantity]]</f>
        <v>105.74</v>
      </c>
      <c r="L525" s="8">
        <f>Table2[[#This Row],[Gross Sales]]-Table2[[#This Row],[COGS]]</f>
        <v>20</v>
      </c>
      <c r="M525" s="9">
        <f t="shared" si="8"/>
        <v>0.15905837442341339</v>
      </c>
      <c r="N525" s="7">
        <v>6.2869999999999999</v>
      </c>
      <c r="O525" s="7">
        <v>132.02699999999999</v>
      </c>
      <c r="P525" s="10">
        <v>43466</v>
      </c>
      <c r="Q525" s="10" t="str">
        <f>TEXT(Table2[[#This Row],[Date]],"mmm")</f>
        <v>Jan</v>
      </c>
      <c r="R525" s="11">
        <v>0.48819444444444443</v>
      </c>
      <c r="S525" s="6" t="s">
        <v>33</v>
      </c>
      <c r="T525" s="7">
        <v>5</v>
      </c>
      <c r="U525" s="6">
        <f>IF(_xlfn.XLOOKUP(A525,[1]Data2!$A:$A,[1]Data2!$B:$B,"no")="yes",1,0)</f>
        <v>0</v>
      </c>
    </row>
    <row r="526" spans="1:21" s="6" customFormat="1" x14ac:dyDescent="0.3">
      <c r="A526" s="6" t="s">
        <v>564</v>
      </c>
      <c r="B526" s="6" t="s">
        <v>22</v>
      </c>
      <c r="C526" s="6" t="s">
        <v>23</v>
      </c>
      <c r="D526" s="6" t="s">
        <v>31</v>
      </c>
      <c r="E526" s="6" t="s">
        <v>35</v>
      </c>
      <c r="F526" s="6" t="s">
        <v>48</v>
      </c>
      <c r="G526" s="7">
        <f>Table2[[#This Row],[Unit price]]-10</f>
        <v>71.709999999999994</v>
      </c>
      <c r="H526" s="7">
        <v>81.709999999999994</v>
      </c>
      <c r="I526" s="8">
        <v>6</v>
      </c>
      <c r="J526" s="8">
        <f>Table2[[#This Row],[Unit price]]*Table2[[#This Row],[Quantity]]</f>
        <v>490.26</v>
      </c>
      <c r="K526" s="8">
        <f>Table2[[#This Row],[Unit Cost]]*Table2[[#This Row],[Quantity]]</f>
        <v>430.26</v>
      </c>
      <c r="L526" s="8">
        <f>Table2[[#This Row],[Gross Sales]]-Table2[[#This Row],[COGS]]</f>
        <v>60</v>
      </c>
      <c r="M526" s="9">
        <f t="shared" si="8"/>
        <v>0.12238404112103782</v>
      </c>
      <c r="N526" s="7">
        <v>24.513000000000002</v>
      </c>
      <c r="O526" s="7">
        <v>514.77300000000002</v>
      </c>
      <c r="P526" s="10">
        <v>43492</v>
      </c>
      <c r="Q526" s="10" t="str">
        <f>TEXT(Table2[[#This Row],[Date]],"mmm")</f>
        <v>Jan</v>
      </c>
      <c r="R526" s="11">
        <v>0.60833333333333328</v>
      </c>
      <c r="S526" s="6" t="s">
        <v>37</v>
      </c>
      <c r="T526" s="7">
        <v>8</v>
      </c>
      <c r="U526" s="6">
        <f>IF(_xlfn.XLOOKUP(A526,[1]Data2!$A:$A,[1]Data2!$B:$B,"no")="yes",1,0)</f>
        <v>1</v>
      </c>
    </row>
    <row r="527" spans="1:21" s="6" customFormat="1" x14ac:dyDescent="0.3">
      <c r="A527" s="6" t="s">
        <v>565</v>
      </c>
      <c r="B527" s="6" t="s">
        <v>22</v>
      </c>
      <c r="C527" s="6" t="s">
        <v>23</v>
      </c>
      <c r="D527" s="6" t="s">
        <v>24</v>
      </c>
      <c r="E527" s="6" t="s">
        <v>25</v>
      </c>
      <c r="F527" s="6" t="s">
        <v>40</v>
      </c>
      <c r="G527" s="7">
        <f>Table2[[#This Row],[Unit price]]-10</f>
        <v>81.41</v>
      </c>
      <c r="H527" s="7">
        <v>91.41</v>
      </c>
      <c r="I527" s="8">
        <v>5</v>
      </c>
      <c r="J527" s="8">
        <f>Table2[[#This Row],[Unit price]]*Table2[[#This Row],[Quantity]]</f>
        <v>457.04999999999995</v>
      </c>
      <c r="K527" s="8">
        <f>Table2[[#This Row],[Unit Cost]]*Table2[[#This Row],[Quantity]]</f>
        <v>407.04999999999995</v>
      </c>
      <c r="L527" s="8">
        <f>Table2[[#This Row],[Gross Sales]]-Table2[[#This Row],[COGS]]</f>
        <v>50</v>
      </c>
      <c r="M527" s="9">
        <f t="shared" si="8"/>
        <v>0.10939722131057872</v>
      </c>
      <c r="N527" s="7">
        <v>22.852499999999999</v>
      </c>
      <c r="O527" s="7">
        <v>479.90249999999997</v>
      </c>
      <c r="P527" s="10">
        <v>43521</v>
      </c>
      <c r="Q527" s="10" t="str">
        <f>TEXT(Table2[[#This Row],[Date]],"mmm")</f>
        <v>Feb</v>
      </c>
      <c r="R527" s="11">
        <v>0.66875000000000007</v>
      </c>
      <c r="S527" s="6" t="s">
        <v>27</v>
      </c>
      <c r="T527" s="7">
        <v>7.1</v>
      </c>
      <c r="U527" s="6">
        <f>IF(_xlfn.XLOOKUP(A527,[1]Data2!$A:$A,[1]Data2!$B:$B,"no")="yes",1,0)</f>
        <v>0</v>
      </c>
    </row>
    <row r="528" spans="1:21" s="6" customFormat="1" x14ac:dyDescent="0.3">
      <c r="A528" s="6" t="s">
        <v>566</v>
      </c>
      <c r="B528" s="6" t="s">
        <v>46</v>
      </c>
      <c r="C528" s="6" t="s">
        <v>47</v>
      </c>
      <c r="D528" s="6" t="s">
        <v>31</v>
      </c>
      <c r="E528" s="6" t="s">
        <v>35</v>
      </c>
      <c r="F528" s="6" t="s">
        <v>50</v>
      </c>
      <c r="G528" s="7">
        <f>Table2[[#This Row],[Unit price]]-10</f>
        <v>29.21</v>
      </c>
      <c r="H528" s="7">
        <v>39.21</v>
      </c>
      <c r="I528" s="8">
        <v>4</v>
      </c>
      <c r="J528" s="8">
        <f>Table2[[#This Row],[Unit price]]*Table2[[#This Row],[Quantity]]</f>
        <v>156.84</v>
      </c>
      <c r="K528" s="8">
        <f>Table2[[#This Row],[Unit Cost]]*Table2[[#This Row],[Quantity]]</f>
        <v>116.84</v>
      </c>
      <c r="L528" s="8">
        <f>Table2[[#This Row],[Gross Sales]]-Table2[[#This Row],[COGS]]</f>
        <v>40</v>
      </c>
      <c r="M528" s="9">
        <f t="shared" si="8"/>
        <v>0.2550369803621525</v>
      </c>
      <c r="N528" s="7">
        <v>7.8419999999999996</v>
      </c>
      <c r="O528" s="7">
        <v>164.68199999999999</v>
      </c>
      <c r="P528" s="10">
        <v>43481</v>
      </c>
      <c r="Q528" s="10" t="str">
        <f>TEXT(Table2[[#This Row],[Date]],"mmm")</f>
        <v>Jan</v>
      </c>
      <c r="R528" s="11">
        <v>0.8354166666666667</v>
      </c>
      <c r="S528" s="6" t="s">
        <v>37</v>
      </c>
      <c r="T528" s="7">
        <v>9</v>
      </c>
      <c r="U528" s="6">
        <f>IF(_xlfn.XLOOKUP(A528,[1]Data2!$A:$A,[1]Data2!$B:$B,"no")="yes",1,0)</f>
        <v>0</v>
      </c>
    </row>
    <row r="529" spans="1:21" s="6" customFormat="1" x14ac:dyDescent="0.3">
      <c r="A529" s="6" t="s">
        <v>567</v>
      </c>
      <c r="B529" s="6" t="s">
        <v>46</v>
      </c>
      <c r="C529" s="6" t="s">
        <v>47</v>
      </c>
      <c r="D529" s="6" t="s">
        <v>24</v>
      </c>
      <c r="E529" s="6" t="s">
        <v>35</v>
      </c>
      <c r="F529" s="6" t="s">
        <v>50</v>
      </c>
      <c r="G529" s="7">
        <f>Table2[[#This Row],[Unit price]]-10</f>
        <v>49.86</v>
      </c>
      <c r="H529" s="7">
        <v>59.86</v>
      </c>
      <c r="I529" s="8">
        <v>2</v>
      </c>
      <c r="J529" s="8">
        <f>Table2[[#This Row],[Unit price]]*Table2[[#This Row],[Quantity]]</f>
        <v>119.72</v>
      </c>
      <c r="K529" s="8">
        <f>Table2[[#This Row],[Unit Cost]]*Table2[[#This Row],[Quantity]]</f>
        <v>99.72</v>
      </c>
      <c r="L529" s="8">
        <f>Table2[[#This Row],[Gross Sales]]-Table2[[#This Row],[COGS]]</f>
        <v>20</v>
      </c>
      <c r="M529" s="9">
        <f t="shared" si="8"/>
        <v>0.16705646508519881</v>
      </c>
      <c r="N529" s="7">
        <v>5.9859999999999998</v>
      </c>
      <c r="O529" s="7">
        <v>125.706</v>
      </c>
      <c r="P529" s="10">
        <v>43478</v>
      </c>
      <c r="Q529" s="10" t="str">
        <f>TEXT(Table2[[#This Row],[Date]],"mmm")</f>
        <v>Jan</v>
      </c>
      <c r="R529" s="11">
        <v>0.62152777777777779</v>
      </c>
      <c r="S529" s="6" t="s">
        <v>27</v>
      </c>
      <c r="T529" s="7">
        <v>6.7</v>
      </c>
      <c r="U529" s="6">
        <f>IF(_xlfn.XLOOKUP(A529,[1]Data2!$A:$A,[1]Data2!$B:$B,"no")="yes",1,0)</f>
        <v>0</v>
      </c>
    </row>
    <row r="530" spans="1:21" s="6" customFormat="1" x14ac:dyDescent="0.3">
      <c r="A530" s="6" t="s">
        <v>568</v>
      </c>
      <c r="B530" s="6" t="s">
        <v>46</v>
      </c>
      <c r="C530" s="6" t="s">
        <v>47</v>
      </c>
      <c r="D530" s="6" t="s">
        <v>24</v>
      </c>
      <c r="E530" s="6" t="s">
        <v>25</v>
      </c>
      <c r="F530" s="6" t="s">
        <v>48</v>
      </c>
      <c r="G530" s="7">
        <f>Table2[[#This Row],[Unit price]]-10</f>
        <v>44.36</v>
      </c>
      <c r="H530" s="7">
        <v>54.36</v>
      </c>
      <c r="I530" s="8">
        <v>10</v>
      </c>
      <c r="J530" s="8">
        <f>Table2[[#This Row],[Unit price]]*Table2[[#This Row],[Quantity]]</f>
        <v>543.6</v>
      </c>
      <c r="K530" s="8">
        <f>Table2[[#This Row],[Unit Cost]]*Table2[[#This Row],[Quantity]]</f>
        <v>443.6</v>
      </c>
      <c r="L530" s="8">
        <f>Table2[[#This Row],[Gross Sales]]-Table2[[#This Row],[COGS]]</f>
        <v>100</v>
      </c>
      <c r="M530" s="9">
        <f t="shared" si="8"/>
        <v>0.18395879323031641</v>
      </c>
      <c r="N530" s="7">
        <v>27.18</v>
      </c>
      <c r="O530" s="7">
        <v>570.78</v>
      </c>
      <c r="P530" s="10">
        <v>43503</v>
      </c>
      <c r="Q530" s="10" t="str">
        <f>TEXT(Table2[[#This Row],[Date]],"mmm")</f>
        <v>Feb</v>
      </c>
      <c r="R530" s="11">
        <v>0.4777777777777778</v>
      </c>
      <c r="S530" s="6" t="s">
        <v>37</v>
      </c>
      <c r="T530" s="7">
        <v>6.1</v>
      </c>
      <c r="U530" s="6">
        <f>IF(_xlfn.XLOOKUP(A530,[1]Data2!$A:$A,[1]Data2!$B:$B,"no")="yes",1,0)</f>
        <v>1</v>
      </c>
    </row>
    <row r="531" spans="1:21" s="6" customFormat="1" x14ac:dyDescent="0.3">
      <c r="A531" s="6" t="s">
        <v>569</v>
      </c>
      <c r="B531" s="6" t="s">
        <v>22</v>
      </c>
      <c r="C531" s="6" t="s">
        <v>23</v>
      </c>
      <c r="D531" s="6" t="s">
        <v>31</v>
      </c>
      <c r="E531" s="6" t="s">
        <v>35</v>
      </c>
      <c r="F531" s="6" t="s">
        <v>40</v>
      </c>
      <c r="G531" s="7">
        <f>Table2[[#This Row],[Unit price]]-10</f>
        <v>88.09</v>
      </c>
      <c r="H531" s="7">
        <v>98.09</v>
      </c>
      <c r="I531" s="8">
        <v>9</v>
      </c>
      <c r="J531" s="8">
        <f>Table2[[#This Row],[Unit price]]*Table2[[#This Row],[Quantity]]</f>
        <v>882.81000000000006</v>
      </c>
      <c r="K531" s="8">
        <f>Table2[[#This Row],[Unit Cost]]*Table2[[#This Row],[Quantity]]</f>
        <v>792.81000000000006</v>
      </c>
      <c r="L531" s="8">
        <f>Table2[[#This Row],[Gross Sales]]-Table2[[#This Row],[COGS]]</f>
        <v>90</v>
      </c>
      <c r="M531" s="9">
        <f t="shared" si="8"/>
        <v>0.10194719135487816</v>
      </c>
      <c r="N531" s="7">
        <v>44.140500000000003</v>
      </c>
      <c r="O531" s="7">
        <v>926.95050000000003</v>
      </c>
      <c r="P531" s="10">
        <v>43513</v>
      </c>
      <c r="Q531" s="10" t="str">
        <f>TEXT(Table2[[#This Row],[Date]],"mmm")</f>
        <v>Feb</v>
      </c>
      <c r="R531" s="11">
        <v>0.82013888888888886</v>
      </c>
      <c r="S531" s="6" t="s">
        <v>33</v>
      </c>
      <c r="T531" s="7">
        <v>9.3000000000000007</v>
      </c>
      <c r="U531" s="6">
        <f>IF(_xlfn.XLOOKUP(A531,[1]Data2!$A:$A,[1]Data2!$B:$B,"no")="yes",1,0)</f>
        <v>0</v>
      </c>
    </row>
    <row r="532" spans="1:21" s="6" customFormat="1" x14ac:dyDescent="0.3">
      <c r="A532" s="6" t="s">
        <v>570</v>
      </c>
      <c r="B532" s="6" t="s">
        <v>22</v>
      </c>
      <c r="C532" s="6" t="s">
        <v>23</v>
      </c>
      <c r="D532" s="6" t="s">
        <v>31</v>
      </c>
      <c r="E532" s="6" t="s">
        <v>35</v>
      </c>
      <c r="F532" s="6" t="s">
        <v>26</v>
      </c>
      <c r="G532" s="7">
        <f>Table2[[#This Row],[Unit price]]-10</f>
        <v>15.43</v>
      </c>
      <c r="H532" s="7">
        <v>25.43</v>
      </c>
      <c r="I532" s="8">
        <v>6</v>
      </c>
      <c r="J532" s="8">
        <f>Table2[[#This Row],[Unit price]]*Table2[[#This Row],[Quantity]]</f>
        <v>152.57999999999998</v>
      </c>
      <c r="K532" s="8">
        <f>Table2[[#This Row],[Unit Cost]]*Table2[[#This Row],[Quantity]]</f>
        <v>92.58</v>
      </c>
      <c r="L532" s="8">
        <f>Table2[[#This Row],[Gross Sales]]-Table2[[#This Row],[COGS]]</f>
        <v>59.999999999999986</v>
      </c>
      <c r="M532" s="9">
        <f t="shared" si="8"/>
        <v>0.39323633503735739</v>
      </c>
      <c r="N532" s="7">
        <v>7.6289999999999996</v>
      </c>
      <c r="O532" s="7">
        <v>160.209</v>
      </c>
      <c r="P532" s="10">
        <v>43508</v>
      </c>
      <c r="Q532" s="10" t="str">
        <f>TEXT(Table2[[#This Row],[Date]],"mmm")</f>
        <v>Feb</v>
      </c>
      <c r="R532" s="11">
        <v>0.79236111111111107</v>
      </c>
      <c r="S532" s="6" t="s">
        <v>27</v>
      </c>
      <c r="T532" s="7">
        <v>7</v>
      </c>
      <c r="U532" s="6">
        <f>IF(_xlfn.XLOOKUP(A532,[1]Data2!$A:$A,[1]Data2!$B:$B,"no")="yes",1,0)</f>
        <v>0</v>
      </c>
    </row>
    <row r="533" spans="1:21" s="6" customFormat="1" x14ac:dyDescent="0.3">
      <c r="A533" s="6" t="s">
        <v>571</v>
      </c>
      <c r="B533" s="6" t="s">
        <v>22</v>
      </c>
      <c r="C533" s="6" t="s">
        <v>23</v>
      </c>
      <c r="D533" s="6" t="s">
        <v>24</v>
      </c>
      <c r="E533" s="6" t="s">
        <v>35</v>
      </c>
      <c r="F533" s="6" t="s">
        <v>50</v>
      </c>
      <c r="G533" s="7">
        <f>Table2[[#This Row],[Unit price]]-10</f>
        <v>76.680000000000007</v>
      </c>
      <c r="H533" s="7">
        <v>86.68</v>
      </c>
      <c r="I533" s="8">
        <v>8</v>
      </c>
      <c r="J533" s="8">
        <f>Table2[[#This Row],[Unit price]]*Table2[[#This Row],[Quantity]]</f>
        <v>693.44</v>
      </c>
      <c r="K533" s="8">
        <f>Table2[[#This Row],[Unit Cost]]*Table2[[#This Row],[Quantity]]</f>
        <v>613.44000000000005</v>
      </c>
      <c r="L533" s="8">
        <f>Table2[[#This Row],[Gross Sales]]-Table2[[#This Row],[COGS]]</f>
        <v>80</v>
      </c>
      <c r="M533" s="9">
        <f t="shared" si="8"/>
        <v>0.11536686663590216</v>
      </c>
      <c r="N533" s="7">
        <v>34.671999999999997</v>
      </c>
      <c r="O533" s="7">
        <v>728.11199999999997</v>
      </c>
      <c r="P533" s="10">
        <v>43489</v>
      </c>
      <c r="Q533" s="10" t="str">
        <f>TEXT(Table2[[#This Row],[Date]],"mmm")</f>
        <v>Jan</v>
      </c>
      <c r="R533" s="11">
        <v>0.75277777777777777</v>
      </c>
      <c r="S533" s="6" t="s">
        <v>37</v>
      </c>
      <c r="T533" s="7">
        <v>7.2</v>
      </c>
      <c r="U533" s="6">
        <f>IF(_xlfn.XLOOKUP(A533,[1]Data2!$A:$A,[1]Data2!$B:$B,"no")="yes",1,0)</f>
        <v>0</v>
      </c>
    </row>
    <row r="534" spans="1:21" s="6" customFormat="1" x14ac:dyDescent="0.3">
      <c r="A534" s="6" t="s">
        <v>572</v>
      </c>
      <c r="B534" s="6" t="s">
        <v>46</v>
      </c>
      <c r="C534" s="6" t="s">
        <v>47</v>
      </c>
      <c r="D534" s="6" t="s">
        <v>31</v>
      </c>
      <c r="E534" s="6" t="s">
        <v>35</v>
      </c>
      <c r="F534" s="6" t="s">
        <v>32</v>
      </c>
      <c r="G534" s="7">
        <f>Table2[[#This Row],[Unit price]]-10</f>
        <v>12.95</v>
      </c>
      <c r="H534" s="7">
        <v>22.95</v>
      </c>
      <c r="I534" s="8">
        <v>10</v>
      </c>
      <c r="J534" s="8">
        <f>Table2[[#This Row],[Unit price]]*Table2[[#This Row],[Quantity]]</f>
        <v>229.5</v>
      </c>
      <c r="K534" s="8">
        <f>Table2[[#This Row],[Unit Cost]]*Table2[[#This Row],[Quantity]]</f>
        <v>129.5</v>
      </c>
      <c r="L534" s="8">
        <f>Table2[[#This Row],[Gross Sales]]-Table2[[#This Row],[COGS]]</f>
        <v>100</v>
      </c>
      <c r="M534" s="9">
        <f t="shared" si="8"/>
        <v>0.4357298474945534</v>
      </c>
      <c r="N534" s="7">
        <v>11.475</v>
      </c>
      <c r="O534" s="7">
        <v>240.97499999999999</v>
      </c>
      <c r="P534" s="10">
        <v>43502</v>
      </c>
      <c r="Q534" s="10" t="str">
        <f>TEXT(Table2[[#This Row],[Date]],"mmm")</f>
        <v>Feb</v>
      </c>
      <c r="R534" s="11">
        <v>0.80555555555555547</v>
      </c>
      <c r="S534" s="6" t="s">
        <v>27</v>
      </c>
      <c r="T534" s="7">
        <v>8.1999999999999993</v>
      </c>
      <c r="U534" s="6">
        <f>IF(_xlfn.XLOOKUP(A534,[1]Data2!$A:$A,[1]Data2!$B:$B,"no")="yes",1,0)</f>
        <v>1</v>
      </c>
    </row>
    <row r="535" spans="1:21" s="6" customFormat="1" x14ac:dyDescent="0.3">
      <c r="A535" s="6" t="s">
        <v>573</v>
      </c>
      <c r="B535" s="6" t="s">
        <v>29</v>
      </c>
      <c r="C535" s="6" t="s">
        <v>30</v>
      </c>
      <c r="D535" s="6" t="s">
        <v>31</v>
      </c>
      <c r="E535" s="6" t="s">
        <v>25</v>
      </c>
      <c r="F535" s="6" t="s">
        <v>48</v>
      </c>
      <c r="G535" s="7">
        <f>Table2[[#This Row],[Unit price]]-10</f>
        <v>6.3099999999999987</v>
      </c>
      <c r="H535" s="7">
        <v>16.309999999999999</v>
      </c>
      <c r="I535" s="8">
        <v>9</v>
      </c>
      <c r="J535" s="8">
        <f>Table2[[#This Row],[Unit price]]*Table2[[#This Row],[Quantity]]</f>
        <v>146.79</v>
      </c>
      <c r="K535" s="8">
        <f>Table2[[#This Row],[Unit Cost]]*Table2[[#This Row],[Quantity]]</f>
        <v>56.789999999999992</v>
      </c>
      <c r="L535" s="8">
        <f>Table2[[#This Row],[Gross Sales]]-Table2[[#This Row],[COGS]]</f>
        <v>90</v>
      </c>
      <c r="M535" s="9">
        <f t="shared" si="8"/>
        <v>0.61312078479460452</v>
      </c>
      <c r="N535" s="7">
        <v>7.3395000000000001</v>
      </c>
      <c r="O535" s="7">
        <v>154.12950000000001</v>
      </c>
      <c r="P535" s="10">
        <v>43550</v>
      </c>
      <c r="Q535" s="10" t="str">
        <f>TEXT(Table2[[#This Row],[Date]],"mmm")</f>
        <v>Mar</v>
      </c>
      <c r="R535" s="11">
        <v>0.4381944444444445</v>
      </c>
      <c r="S535" s="6" t="s">
        <v>27</v>
      </c>
      <c r="T535" s="7">
        <v>8.4</v>
      </c>
      <c r="U535" s="6">
        <f>IF(_xlfn.XLOOKUP(A535,[1]Data2!$A:$A,[1]Data2!$B:$B,"no")="yes",1,0)</f>
        <v>0</v>
      </c>
    </row>
    <row r="536" spans="1:21" s="6" customFormat="1" x14ac:dyDescent="0.3">
      <c r="A536" s="6" t="s">
        <v>574</v>
      </c>
      <c r="B536" s="6" t="s">
        <v>22</v>
      </c>
      <c r="C536" s="6" t="s">
        <v>23</v>
      </c>
      <c r="D536" s="6" t="s">
        <v>31</v>
      </c>
      <c r="E536" s="6" t="s">
        <v>25</v>
      </c>
      <c r="F536" s="6" t="s">
        <v>36</v>
      </c>
      <c r="G536" s="7">
        <f>Table2[[#This Row],[Unit price]]-10</f>
        <v>18.32</v>
      </c>
      <c r="H536" s="7">
        <v>28.32</v>
      </c>
      <c r="I536" s="8">
        <v>5</v>
      </c>
      <c r="J536" s="8">
        <f>Table2[[#This Row],[Unit price]]*Table2[[#This Row],[Quantity]]</f>
        <v>141.6</v>
      </c>
      <c r="K536" s="8">
        <f>Table2[[#This Row],[Unit Cost]]*Table2[[#This Row],[Quantity]]</f>
        <v>91.6</v>
      </c>
      <c r="L536" s="8">
        <f>Table2[[#This Row],[Gross Sales]]-Table2[[#This Row],[COGS]]</f>
        <v>50</v>
      </c>
      <c r="M536" s="9">
        <f t="shared" si="8"/>
        <v>0.35310734463276838</v>
      </c>
      <c r="N536" s="7">
        <v>7.08</v>
      </c>
      <c r="O536" s="7">
        <v>148.68</v>
      </c>
      <c r="P536" s="10">
        <v>43535</v>
      </c>
      <c r="Q536" s="10" t="str">
        <f>TEXT(Table2[[#This Row],[Date]],"mmm")</f>
        <v>Mar</v>
      </c>
      <c r="R536" s="11">
        <v>0.56111111111111112</v>
      </c>
      <c r="S536" s="6" t="s">
        <v>27</v>
      </c>
      <c r="T536" s="7">
        <v>6.2</v>
      </c>
      <c r="U536" s="6">
        <f>IF(_xlfn.XLOOKUP(A536,[1]Data2!$A:$A,[1]Data2!$B:$B,"no")="yes",1,0)</f>
        <v>0</v>
      </c>
    </row>
    <row r="537" spans="1:21" s="6" customFormat="1" x14ac:dyDescent="0.3">
      <c r="A537" s="6" t="s">
        <v>575</v>
      </c>
      <c r="B537" s="6" t="s">
        <v>29</v>
      </c>
      <c r="C537" s="6" t="s">
        <v>30</v>
      </c>
      <c r="D537" s="6" t="s">
        <v>31</v>
      </c>
      <c r="E537" s="6" t="s">
        <v>35</v>
      </c>
      <c r="F537" s="6" t="s">
        <v>36</v>
      </c>
      <c r="G537" s="7">
        <f>Table2[[#This Row],[Unit price]]-10</f>
        <v>6.6700000000000017</v>
      </c>
      <c r="H537" s="7">
        <v>16.670000000000002</v>
      </c>
      <c r="I537" s="8">
        <v>7</v>
      </c>
      <c r="J537" s="8">
        <f>Table2[[#This Row],[Unit price]]*Table2[[#This Row],[Quantity]]</f>
        <v>116.69000000000001</v>
      </c>
      <c r="K537" s="8">
        <f>Table2[[#This Row],[Unit Cost]]*Table2[[#This Row],[Quantity]]</f>
        <v>46.690000000000012</v>
      </c>
      <c r="L537" s="8">
        <f>Table2[[#This Row],[Gross Sales]]-Table2[[#This Row],[COGS]]</f>
        <v>70</v>
      </c>
      <c r="M537" s="9">
        <f t="shared" si="8"/>
        <v>0.59988002399520091</v>
      </c>
      <c r="N537" s="7">
        <v>5.8345000000000002</v>
      </c>
      <c r="O537" s="7">
        <v>122.5245</v>
      </c>
      <c r="P537" s="10">
        <v>43503</v>
      </c>
      <c r="Q537" s="10" t="str">
        <f>TEXT(Table2[[#This Row],[Date]],"mmm")</f>
        <v>Feb</v>
      </c>
      <c r="R537" s="11">
        <v>0.48333333333333334</v>
      </c>
      <c r="S537" s="6" t="s">
        <v>27</v>
      </c>
      <c r="T537" s="7">
        <v>7.4</v>
      </c>
      <c r="U537" s="6">
        <f>IF(_xlfn.XLOOKUP(A537,[1]Data2!$A:$A,[1]Data2!$B:$B,"no")="yes",1,0)</f>
        <v>0</v>
      </c>
    </row>
    <row r="538" spans="1:21" s="6" customFormat="1" x14ac:dyDescent="0.3">
      <c r="A538" s="6" t="s">
        <v>576</v>
      </c>
      <c r="B538" s="6" t="s">
        <v>46</v>
      </c>
      <c r="C538" s="6" t="s">
        <v>47</v>
      </c>
      <c r="D538" s="6" t="s">
        <v>24</v>
      </c>
      <c r="E538" s="6" t="s">
        <v>25</v>
      </c>
      <c r="F538" s="6" t="s">
        <v>50</v>
      </c>
      <c r="G538" s="7">
        <f>Table2[[#This Row],[Unit price]]-10</f>
        <v>63.959999999999994</v>
      </c>
      <c r="H538" s="7">
        <v>73.959999999999994</v>
      </c>
      <c r="I538" s="8">
        <v>1</v>
      </c>
      <c r="J538" s="8">
        <f>Table2[[#This Row],[Unit price]]*Table2[[#This Row],[Quantity]]</f>
        <v>73.959999999999994</v>
      </c>
      <c r="K538" s="8">
        <f>Table2[[#This Row],[Unit Cost]]*Table2[[#This Row],[Quantity]]</f>
        <v>63.959999999999994</v>
      </c>
      <c r="L538" s="8">
        <f>Table2[[#This Row],[Gross Sales]]-Table2[[#This Row],[COGS]]</f>
        <v>10</v>
      </c>
      <c r="M538" s="9">
        <f t="shared" si="8"/>
        <v>0.13520822065981614</v>
      </c>
      <c r="N538" s="7">
        <v>3.698</v>
      </c>
      <c r="O538" s="7">
        <v>77.658000000000001</v>
      </c>
      <c r="P538" s="10">
        <v>43470</v>
      </c>
      <c r="Q538" s="10" t="str">
        <f>TEXT(Table2[[#This Row],[Date]],"mmm")</f>
        <v>Jan</v>
      </c>
      <c r="R538" s="11">
        <v>0.48055555555555557</v>
      </c>
      <c r="S538" s="6" t="s">
        <v>37</v>
      </c>
      <c r="T538" s="7">
        <v>5</v>
      </c>
      <c r="U538" s="6">
        <f>IF(_xlfn.XLOOKUP(A538,[1]Data2!$A:$A,[1]Data2!$B:$B,"no")="yes",1,0)</f>
        <v>1</v>
      </c>
    </row>
    <row r="539" spans="1:21" s="6" customFormat="1" x14ac:dyDescent="0.3">
      <c r="A539" s="6" t="s">
        <v>577</v>
      </c>
      <c r="B539" s="6" t="s">
        <v>22</v>
      </c>
      <c r="C539" s="6" t="s">
        <v>23</v>
      </c>
      <c r="D539" s="6" t="s">
        <v>31</v>
      </c>
      <c r="E539" s="6" t="s">
        <v>35</v>
      </c>
      <c r="F539" s="6" t="s">
        <v>36</v>
      </c>
      <c r="G539" s="7">
        <f>Table2[[#This Row],[Unit price]]-10</f>
        <v>87.94</v>
      </c>
      <c r="H539" s="7">
        <v>97.94</v>
      </c>
      <c r="I539" s="8">
        <v>1</v>
      </c>
      <c r="J539" s="8">
        <f>Table2[[#This Row],[Unit price]]*Table2[[#This Row],[Quantity]]</f>
        <v>97.94</v>
      </c>
      <c r="K539" s="8">
        <f>Table2[[#This Row],[Unit Cost]]*Table2[[#This Row],[Quantity]]</f>
        <v>87.94</v>
      </c>
      <c r="L539" s="8">
        <f>Table2[[#This Row],[Gross Sales]]-Table2[[#This Row],[COGS]]</f>
        <v>10</v>
      </c>
      <c r="M539" s="9">
        <f t="shared" si="8"/>
        <v>0.10210332856851134</v>
      </c>
      <c r="N539" s="7">
        <v>4.8970000000000002</v>
      </c>
      <c r="O539" s="7">
        <v>102.837</v>
      </c>
      <c r="P539" s="10">
        <v>43531</v>
      </c>
      <c r="Q539" s="10" t="str">
        <f>TEXT(Table2[[#This Row],[Date]],"mmm")</f>
        <v>Mar</v>
      </c>
      <c r="R539" s="11">
        <v>0.48888888888888887</v>
      </c>
      <c r="S539" s="6" t="s">
        <v>27</v>
      </c>
      <c r="T539" s="7">
        <v>6.9</v>
      </c>
      <c r="U539" s="6">
        <f>IF(_xlfn.XLOOKUP(A539,[1]Data2!$A:$A,[1]Data2!$B:$B,"no")="yes",1,0)</f>
        <v>0</v>
      </c>
    </row>
    <row r="540" spans="1:21" s="6" customFormat="1" x14ac:dyDescent="0.3">
      <c r="A540" s="6" t="s">
        <v>578</v>
      </c>
      <c r="B540" s="6" t="s">
        <v>22</v>
      </c>
      <c r="C540" s="6" t="s">
        <v>23</v>
      </c>
      <c r="D540" s="6" t="s">
        <v>31</v>
      </c>
      <c r="E540" s="6" t="s">
        <v>25</v>
      </c>
      <c r="F540" s="6" t="s">
        <v>50</v>
      </c>
      <c r="G540" s="7">
        <f>Table2[[#This Row],[Unit price]]-10</f>
        <v>63.05</v>
      </c>
      <c r="H540" s="7">
        <v>73.05</v>
      </c>
      <c r="I540" s="8">
        <v>4</v>
      </c>
      <c r="J540" s="8">
        <f>Table2[[#This Row],[Unit price]]*Table2[[#This Row],[Quantity]]</f>
        <v>292.2</v>
      </c>
      <c r="K540" s="8">
        <f>Table2[[#This Row],[Unit Cost]]*Table2[[#This Row],[Quantity]]</f>
        <v>252.2</v>
      </c>
      <c r="L540" s="8">
        <f>Table2[[#This Row],[Gross Sales]]-Table2[[#This Row],[COGS]]</f>
        <v>40</v>
      </c>
      <c r="M540" s="9">
        <f t="shared" si="8"/>
        <v>0.13689253935660506</v>
      </c>
      <c r="N540" s="7">
        <v>14.61</v>
      </c>
      <c r="O540" s="7">
        <v>306.81</v>
      </c>
      <c r="P540" s="10">
        <v>43521</v>
      </c>
      <c r="Q540" s="10" t="str">
        <f>TEXT(Table2[[#This Row],[Date]],"mmm")</f>
        <v>Feb</v>
      </c>
      <c r="R540" s="11">
        <v>0.71944444444444444</v>
      </c>
      <c r="S540" s="6" t="s">
        <v>37</v>
      </c>
      <c r="T540" s="7">
        <v>4.9000000000000004</v>
      </c>
      <c r="U540" s="6">
        <f>IF(_xlfn.XLOOKUP(A540,[1]Data2!$A:$A,[1]Data2!$B:$B,"no")="yes",1,0)</f>
        <v>0</v>
      </c>
    </row>
    <row r="541" spans="1:21" s="6" customFormat="1" x14ac:dyDescent="0.3">
      <c r="A541" s="6" t="s">
        <v>579</v>
      </c>
      <c r="B541" s="6" t="s">
        <v>29</v>
      </c>
      <c r="C541" s="6" t="s">
        <v>30</v>
      </c>
      <c r="D541" s="6" t="s">
        <v>24</v>
      </c>
      <c r="E541" s="6" t="s">
        <v>25</v>
      </c>
      <c r="F541" s="6" t="s">
        <v>48</v>
      </c>
      <c r="G541" s="7">
        <f>Table2[[#This Row],[Unit price]]-10</f>
        <v>77.48</v>
      </c>
      <c r="H541" s="7">
        <v>87.48</v>
      </c>
      <c r="I541" s="8">
        <v>6</v>
      </c>
      <c r="J541" s="8">
        <f>Table2[[#This Row],[Unit price]]*Table2[[#This Row],[Quantity]]</f>
        <v>524.88</v>
      </c>
      <c r="K541" s="8">
        <f>Table2[[#This Row],[Unit Cost]]*Table2[[#This Row],[Quantity]]</f>
        <v>464.88</v>
      </c>
      <c r="L541" s="8">
        <f>Table2[[#This Row],[Gross Sales]]-Table2[[#This Row],[COGS]]</f>
        <v>60</v>
      </c>
      <c r="M541" s="9">
        <f t="shared" si="8"/>
        <v>0.11431184270690443</v>
      </c>
      <c r="N541" s="7">
        <v>26.244</v>
      </c>
      <c r="O541" s="7">
        <v>551.12400000000002</v>
      </c>
      <c r="P541" s="10">
        <v>43497</v>
      </c>
      <c r="Q541" s="10" t="str">
        <f>TEXT(Table2[[#This Row],[Date]],"mmm")</f>
        <v>Feb</v>
      </c>
      <c r="R541" s="11">
        <v>0.77986111111111101</v>
      </c>
      <c r="S541" s="6" t="s">
        <v>27</v>
      </c>
      <c r="T541" s="7">
        <v>5.0999999999999996</v>
      </c>
      <c r="U541" s="6">
        <f>IF(_xlfn.XLOOKUP(A541,[1]Data2!$A:$A,[1]Data2!$B:$B,"no")="yes",1,0)</f>
        <v>0</v>
      </c>
    </row>
    <row r="542" spans="1:21" s="6" customFormat="1" x14ac:dyDescent="0.3">
      <c r="A542" s="6" t="s">
        <v>580</v>
      </c>
      <c r="B542" s="6" t="s">
        <v>22</v>
      </c>
      <c r="C542" s="6" t="s">
        <v>23</v>
      </c>
      <c r="D542" s="6" t="s">
        <v>31</v>
      </c>
      <c r="E542" s="6" t="s">
        <v>35</v>
      </c>
      <c r="F542" s="6" t="s">
        <v>36</v>
      </c>
      <c r="G542" s="7">
        <f>Table2[[#This Row],[Unit price]]-10</f>
        <v>20.68</v>
      </c>
      <c r="H542" s="7">
        <v>30.68</v>
      </c>
      <c r="I542" s="8">
        <v>3</v>
      </c>
      <c r="J542" s="8">
        <f>Table2[[#This Row],[Unit price]]*Table2[[#This Row],[Quantity]]</f>
        <v>92.039999999999992</v>
      </c>
      <c r="K542" s="8">
        <f>Table2[[#This Row],[Unit Cost]]*Table2[[#This Row],[Quantity]]</f>
        <v>62.04</v>
      </c>
      <c r="L542" s="8">
        <f>Table2[[#This Row],[Gross Sales]]-Table2[[#This Row],[COGS]]</f>
        <v>29.999999999999993</v>
      </c>
      <c r="M542" s="9">
        <f t="shared" si="8"/>
        <v>0.32594524119947843</v>
      </c>
      <c r="N542" s="7">
        <v>4.6020000000000003</v>
      </c>
      <c r="O542" s="7">
        <v>96.641999999999996</v>
      </c>
      <c r="P542" s="10">
        <v>43487</v>
      </c>
      <c r="Q542" s="10" t="str">
        <f>TEXT(Table2[[#This Row],[Date]],"mmm")</f>
        <v>Jan</v>
      </c>
      <c r="R542" s="11">
        <v>0.45833333333333331</v>
      </c>
      <c r="S542" s="6" t="s">
        <v>27</v>
      </c>
      <c r="T542" s="7">
        <v>9.1</v>
      </c>
      <c r="U542" s="6">
        <f>IF(_xlfn.XLOOKUP(A542,[1]Data2!$A:$A,[1]Data2!$B:$B,"no")="yes",1,0)</f>
        <v>1</v>
      </c>
    </row>
    <row r="543" spans="1:21" s="6" customFormat="1" x14ac:dyDescent="0.3">
      <c r="A543" s="6" t="s">
        <v>581</v>
      </c>
      <c r="B543" s="6" t="s">
        <v>29</v>
      </c>
      <c r="C543" s="6" t="s">
        <v>30</v>
      </c>
      <c r="D543" s="6" t="s">
        <v>24</v>
      </c>
      <c r="E543" s="6" t="s">
        <v>35</v>
      </c>
      <c r="F543" s="6" t="s">
        <v>26</v>
      </c>
      <c r="G543" s="7">
        <f>Table2[[#This Row],[Unit price]]-10</f>
        <v>65.88</v>
      </c>
      <c r="H543" s="7">
        <v>75.88</v>
      </c>
      <c r="I543" s="8">
        <v>1</v>
      </c>
      <c r="J543" s="8">
        <f>Table2[[#This Row],[Unit price]]*Table2[[#This Row],[Quantity]]</f>
        <v>75.88</v>
      </c>
      <c r="K543" s="8">
        <f>Table2[[#This Row],[Unit Cost]]*Table2[[#This Row],[Quantity]]</f>
        <v>65.88</v>
      </c>
      <c r="L543" s="8">
        <f>Table2[[#This Row],[Gross Sales]]-Table2[[#This Row],[COGS]]</f>
        <v>10</v>
      </c>
      <c r="M543" s="9">
        <f t="shared" si="8"/>
        <v>0.13178703215603585</v>
      </c>
      <c r="N543" s="7">
        <v>3.794</v>
      </c>
      <c r="O543" s="7">
        <v>79.674000000000007</v>
      </c>
      <c r="P543" s="10">
        <v>43468</v>
      </c>
      <c r="Q543" s="10" t="str">
        <f>TEXT(Table2[[#This Row],[Date]],"mmm")</f>
        <v>Jan</v>
      </c>
      <c r="R543" s="11">
        <v>0.4375</v>
      </c>
      <c r="S543" s="6" t="s">
        <v>37</v>
      </c>
      <c r="T543" s="7">
        <v>7.1</v>
      </c>
      <c r="U543" s="6">
        <f>IF(_xlfn.XLOOKUP(A543,[1]Data2!$A:$A,[1]Data2!$B:$B,"no")="yes",1,0)</f>
        <v>0</v>
      </c>
    </row>
    <row r="544" spans="1:21" s="6" customFormat="1" x14ac:dyDescent="0.3">
      <c r="A544" s="6" t="s">
        <v>582</v>
      </c>
      <c r="B544" s="6" t="s">
        <v>46</v>
      </c>
      <c r="C544" s="6" t="s">
        <v>47</v>
      </c>
      <c r="D544" s="6" t="s">
        <v>24</v>
      </c>
      <c r="E544" s="6" t="s">
        <v>25</v>
      </c>
      <c r="F544" s="6" t="s">
        <v>40</v>
      </c>
      <c r="G544" s="7">
        <f>Table2[[#This Row],[Unit price]]-10</f>
        <v>10.18</v>
      </c>
      <c r="H544" s="7">
        <v>20.18</v>
      </c>
      <c r="I544" s="8">
        <v>4</v>
      </c>
      <c r="J544" s="8">
        <f>Table2[[#This Row],[Unit price]]*Table2[[#This Row],[Quantity]]</f>
        <v>80.72</v>
      </c>
      <c r="K544" s="8">
        <f>Table2[[#This Row],[Unit Cost]]*Table2[[#This Row],[Quantity]]</f>
        <v>40.72</v>
      </c>
      <c r="L544" s="8">
        <f>Table2[[#This Row],[Gross Sales]]-Table2[[#This Row],[COGS]]</f>
        <v>40</v>
      </c>
      <c r="M544" s="9">
        <f t="shared" si="8"/>
        <v>0.49554013875123887</v>
      </c>
      <c r="N544" s="7">
        <v>4.0359999999999996</v>
      </c>
      <c r="O544" s="7">
        <v>84.756</v>
      </c>
      <c r="P544" s="10">
        <v>43509</v>
      </c>
      <c r="Q544" s="10" t="str">
        <f>TEXT(Table2[[#This Row],[Date]],"mmm")</f>
        <v>Feb</v>
      </c>
      <c r="R544" s="11">
        <v>0.50972222222222219</v>
      </c>
      <c r="S544" s="6" t="s">
        <v>37</v>
      </c>
      <c r="T544" s="7">
        <v>5</v>
      </c>
      <c r="U544" s="6">
        <f>IF(_xlfn.XLOOKUP(A544,[1]Data2!$A:$A,[1]Data2!$B:$B,"no")="yes",1,0)</f>
        <v>0</v>
      </c>
    </row>
    <row r="545" spans="1:21" s="6" customFormat="1" x14ac:dyDescent="0.3">
      <c r="A545" s="6" t="s">
        <v>583</v>
      </c>
      <c r="B545" s="6" t="s">
        <v>29</v>
      </c>
      <c r="C545" s="6" t="s">
        <v>30</v>
      </c>
      <c r="D545" s="6" t="s">
        <v>24</v>
      </c>
      <c r="E545" s="6" t="s">
        <v>35</v>
      </c>
      <c r="F545" s="6" t="s">
        <v>32</v>
      </c>
      <c r="G545" s="7">
        <f>Table2[[#This Row],[Unit price]]-10</f>
        <v>8.77</v>
      </c>
      <c r="H545" s="7">
        <v>18.77</v>
      </c>
      <c r="I545" s="8">
        <v>6</v>
      </c>
      <c r="J545" s="8">
        <f>Table2[[#This Row],[Unit price]]*Table2[[#This Row],[Quantity]]</f>
        <v>112.62</v>
      </c>
      <c r="K545" s="8">
        <f>Table2[[#This Row],[Unit Cost]]*Table2[[#This Row],[Quantity]]</f>
        <v>52.62</v>
      </c>
      <c r="L545" s="8">
        <f>Table2[[#This Row],[Gross Sales]]-Table2[[#This Row],[COGS]]</f>
        <v>60.000000000000007</v>
      </c>
      <c r="M545" s="9">
        <f t="shared" si="8"/>
        <v>0.53276505061267987</v>
      </c>
      <c r="N545" s="7">
        <v>5.6310000000000002</v>
      </c>
      <c r="O545" s="7">
        <v>118.251</v>
      </c>
      <c r="P545" s="10">
        <v>43493</v>
      </c>
      <c r="Q545" s="10" t="str">
        <f>TEXT(Table2[[#This Row],[Date]],"mmm")</f>
        <v>Jan</v>
      </c>
      <c r="R545" s="11">
        <v>0.69652777777777775</v>
      </c>
      <c r="S545" s="6" t="s">
        <v>37</v>
      </c>
      <c r="T545" s="7">
        <v>5.5</v>
      </c>
      <c r="U545" s="6">
        <f>IF(_xlfn.XLOOKUP(A545,[1]Data2!$A:$A,[1]Data2!$B:$B,"no")="yes",1,0)</f>
        <v>0</v>
      </c>
    </row>
    <row r="546" spans="1:21" s="6" customFormat="1" x14ac:dyDescent="0.3">
      <c r="A546" s="6" t="s">
        <v>584</v>
      </c>
      <c r="B546" s="6" t="s">
        <v>46</v>
      </c>
      <c r="C546" s="6" t="s">
        <v>47</v>
      </c>
      <c r="D546" s="6" t="s">
        <v>31</v>
      </c>
      <c r="E546" s="6" t="s">
        <v>25</v>
      </c>
      <c r="F546" s="6" t="s">
        <v>48</v>
      </c>
      <c r="G546" s="7">
        <f>Table2[[#This Row],[Unit price]]-10</f>
        <v>61.2</v>
      </c>
      <c r="H546" s="7">
        <v>71.2</v>
      </c>
      <c r="I546" s="8">
        <v>1</v>
      </c>
      <c r="J546" s="8">
        <f>Table2[[#This Row],[Unit price]]*Table2[[#This Row],[Quantity]]</f>
        <v>71.2</v>
      </c>
      <c r="K546" s="8">
        <f>Table2[[#This Row],[Unit Cost]]*Table2[[#This Row],[Quantity]]</f>
        <v>61.2</v>
      </c>
      <c r="L546" s="8">
        <f>Table2[[#This Row],[Gross Sales]]-Table2[[#This Row],[COGS]]</f>
        <v>10</v>
      </c>
      <c r="M546" s="9">
        <f t="shared" si="8"/>
        <v>0.14044943820224717</v>
      </c>
      <c r="N546" s="7">
        <v>3.56</v>
      </c>
      <c r="O546" s="7">
        <v>74.760000000000005</v>
      </c>
      <c r="P546" s="10">
        <v>43470</v>
      </c>
      <c r="Q546" s="10" t="str">
        <f>TEXT(Table2[[#This Row],[Date]],"mmm")</f>
        <v>Jan</v>
      </c>
      <c r="R546" s="11">
        <v>0.86111111111111116</v>
      </c>
      <c r="S546" s="6" t="s">
        <v>37</v>
      </c>
      <c r="T546" s="7">
        <v>9.1999999999999993</v>
      </c>
      <c r="U546" s="6">
        <f>IF(_xlfn.XLOOKUP(A546,[1]Data2!$A:$A,[1]Data2!$B:$B,"no")="yes",1,0)</f>
        <v>1</v>
      </c>
    </row>
    <row r="547" spans="1:21" s="6" customFormat="1" x14ac:dyDescent="0.3">
      <c r="A547" s="6" t="s">
        <v>585</v>
      </c>
      <c r="B547" s="6" t="s">
        <v>46</v>
      </c>
      <c r="C547" s="6" t="s">
        <v>47</v>
      </c>
      <c r="D547" s="6" t="s">
        <v>24</v>
      </c>
      <c r="E547" s="6" t="s">
        <v>35</v>
      </c>
      <c r="F547" s="6" t="s">
        <v>36</v>
      </c>
      <c r="G547" s="7">
        <f>Table2[[#This Row],[Unit price]]-10</f>
        <v>28.810000000000002</v>
      </c>
      <c r="H547" s="7">
        <v>38.81</v>
      </c>
      <c r="I547" s="8">
        <v>4</v>
      </c>
      <c r="J547" s="8">
        <f>Table2[[#This Row],[Unit price]]*Table2[[#This Row],[Quantity]]</f>
        <v>155.24</v>
      </c>
      <c r="K547" s="8">
        <f>Table2[[#This Row],[Unit Cost]]*Table2[[#This Row],[Quantity]]</f>
        <v>115.24000000000001</v>
      </c>
      <c r="L547" s="8">
        <f>Table2[[#This Row],[Gross Sales]]-Table2[[#This Row],[COGS]]</f>
        <v>40</v>
      </c>
      <c r="M547" s="9">
        <f t="shared" si="8"/>
        <v>0.25766555011594949</v>
      </c>
      <c r="N547" s="7">
        <v>7.7619999999999996</v>
      </c>
      <c r="O547" s="7">
        <v>163.00200000000001</v>
      </c>
      <c r="P547" s="10">
        <v>43543</v>
      </c>
      <c r="Q547" s="10" t="str">
        <f>TEXT(Table2[[#This Row],[Date]],"mmm")</f>
        <v>Mar</v>
      </c>
      <c r="R547" s="11">
        <v>0.56944444444444442</v>
      </c>
      <c r="S547" s="6" t="s">
        <v>27</v>
      </c>
      <c r="T547" s="7">
        <v>4.9000000000000004</v>
      </c>
      <c r="U547" s="6">
        <f>IF(_xlfn.XLOOKUP(A547,[1]Data2!$A:$A,[1]Data2!$B:$B,"no")="yes",1,0)</f>
        <v>0</v>
      </c>
    </row>
    <row r="548" spans="1:21" s="6" customFormat="1" x14ac:dyDescent="0.3">
      <c r="A548" s="6" t="s">
        <v>586</v>
      </c>
      <c r="B548" s="6" t="s">
        <v>22</v>
      </c>
      <c r="C548" s="6" t="s">
        <v>23</v>
      </c>
      <c r="D548" s="6" t="s">
        <v>31</v>
      </c>
      <c r="E548" s="6" t="s">
        <v>25</v>
      </c>
      <c r="F548" s="6" t="s">
        <v>50</v>
      </c>
      <c r="G548" s="7">
        <f>Table2[[#This Row],[Unit price]]-10</f>
        <v>19.420000000000002</v>
      </c>
      <c r="H548" s="7">
        <v>29.42</v>
      </c>
      <c r="I548" s="8">
        <v>10</v>
      </c>
      <c r="J548" s="8">
        <f>Table2[[#This Row],[Unit price]]*Table2[[#This Row],[Quantity]]</f>
        <v>294.20000000000005</v>
      </c>
      <c r="K548" s="8">
        <f>Table2[[#This Row],[Unit Cost]]*Table2[[#This Row],[Quantity]]</f>
        <v>194.20000000000002</v>
      </c>
      <c r="L548" s="8">
        <f>Table2[[#This Row],[Gross Sales]]-Table2[[#This Row],[COGS]]</f>
        <v>100.00000000000003</v>
      </c>
      <c r="M548" s="9">
        <f t="shared" si="8"/>
        <v>0.33990482664853844</v>
      </c>
      <c r="N548" s="7">
        <v>14.71</v>
      </c>
      <c r="O548" s="7">
        <v>308.91000000000003</v>
      </c>
      <c r="P548" s="10">
        <v>43477</v>
      </c>
      <c r="Q548" s="10" t="str">
        <f>TEXT(Table2[[#This Row],[Date]],"mmm")</f>
        <v>Jan</v>
      </c>
      <c r="R548" s="11">
        <v>0.68263888888888891</v>
      </c>
      <c r="S548" s="6" t="s">
        <v>27</v>
      </c>
      <c r="T548" s="7">
        <v>8.9</v>
      </c>
      <c r="U548" s="6">
        <f>IF(_xlfn.XLOOKUP(A548,[1]Data2!$A:$A,[1]Data2!$B:$B,"no")="yes",1,0)</f>
        <v>0</v>
      </c>
    </row>
    <row r="549" spans="1:21" s="6" customFormat="1" x14ac:dyDescent="0.3">
      <c r="A549" s="6" t="s">
        <v>587</v>
      </c>
      <c r="B549" s="6" t="s">
        <v>22</v>
      </c>
      <c r="C549" s="6" t="s">
        <v>23</v>
      </c>
      <c r="D549" s="6" t="s">
        <v>31</v>
      </c>
      <c r="E549" s="6" t="s">
        <v>35</v>
      </c>
      <c r="F549" s="6" t="s">
        <v>40</v>
      </c>
      <c r="G549" s="7">
        <f>Table2[[#This Row],[Unit price]]-10</f>
        <v>50.95</v>
      </c>
      <c r="H549" s="7">
        <v>60.95</v>
      </c>
      <c r="I549" s="8">
        <v>9</v>
      </c>
      <c r="J549" s="8">
        <f>Table2[[#This Row],[Unit price]]*Table2[[#This Row],[Quantity]]</f>
        <v>548.55000000000007</v>
      </c>
      <c r="K549" s="8">
        <f>Table2[[#This Row],[Unit Cost]]*Table2[[#This Row],[Quantity]]</f>
        <v>458.55</v>
      </c>
      <c r="L549" s="8">
        <f>Table2[[#This Row],[Gross Sales]]-Table2[[#This Row],[COGS]]</f>
        <v>90.000000000000057</v>
      </c>
      <c r="M549" s="9">
        <f t="shared" si="8"/>
        <v>0.16406890894175563</v>
      </c>
      <c r="N549" s="7">
        <v>27.427499999999998</v>
      </c>
      <c r="O549" s="7">
        <v>575.97749999999996</v>
      </c>
      <c r="P549" s="10">
        <v>43472</v>
      </c>
      <c r="Q549" s="10" t="str">
        <f>TEXT(Table2[[#This Row],[Date]],"mmm")</f>
        <v>Jan</v>
      </c>
      <c r="R549" s="11">
        <v>0.50555555555555554</v>
      </c>
      <c r="S549" s="6" t="s">
        <v>37</v>
      </c>
      <c r="T549" s="7">
        <v>6</v>
      </c>
      <c r="U549" s="6">
        <f>IF(_xlfn.XLOOKUP(A549,[1]Data2!$A:$A,[1]Data2!$B:$B,"no")="yes",1,0)</f>
        <v>0</v>
      </c>
    </row>
    <row r="550" spans="1:21" s="6" customFormat="1" x14ac:dyDescent="0.3">
      <c r="A550" s="6" t="s">
        <v>588</v>
      </c>
      <c r="B550" s="6" t="s">
        <v>46</v>
      </c>
      <c r="C550" s="6" t="s">
        <v>47</v>
      </c>
      <c r="D550" s="6" t="s">
        <v>31</v>
      </c>
      <c r="E550" s="6" t="s">
        <v>25</v>
      </c>
      <c r="F550" s="6" t="s">
        <v>40</v>
      </c>
      <c r="G550" s="7">
        <f>Table2[[#This Row],[Unit price]]-10</f>
        <v>41.54</v>
      </c>
      <c r="H550" s="7">
        <v>51.54</v>
      </c>
      <c r="I550" s="8">
        <v>5</v>
      </c>
      <c r="J550" s="8">
        <f>Table2[[#This Row],[Unit price]]*Table2[[#This Row],[Quantity]]</f>
        <v>257.7</v>
      </c>
      <c r="K550" s="8">
        <f>Table2[[#This Row],[Unit Cost]]*Table2[[#This Row],[Quantity]]</f>
        <v>207.7</v>
      </c>
      <c r="L550" s="8">
        <f>Table2[[#This Row],[Gross Sales]]-Table2[[#This Row],[COGS]]</f>
        <v>50</v>
      </c>
      <c r="M550" s="9">
        <f t="shared" si="8"/>
        <v>0.19402405898331393</v>
      </c>
      <c r="N550" s="7">
        <v>12.885</v>
      </c>
      <c r="O550" s="7">
        <v>270.58499999999998</v>
      </c>
      <c r="P550" s="10">
        <v>43491</v>
      </c>
      <c r="Q550" s="10" t="str">
        <f>TEXT(Table2[[#This Row],[Date]],"mmm")</f>
        <v>Jan</v>
      </c>
      <c r="R550" s="11">
        <v>0.73958333333333337</v>
      </c>
      <c r="S550" s="6" t="s">
        <v>33</v>
      </c>
      <c r="T550" s="7">
        <v>4.2</v>
      </c>
      <c r="U550" s="6">
        <f>IF(_xlfn.XLOOKUP(A550,[1]Data2!$A:$A,[1]Data2!$B:$B,"no")="yes",1,0)</f>
        <v>1</v>
      </c>
    </row>
    <row r="551" spans="1:21" s="6" customFormat="1" x14ac:dyDescent="0.3">
      <c r="A551" s="6" t="s">
        <v>589</v>
      </c>
      <c r="B551" s="6" t="s">
        <v>22</v>
      </c>
      <c r="C551" s="6" t="s">
        <v>23</v>
      </c>
      <c r="D551" s="6" t="s">
        <v>31</v>
      </c>
      <c r="E551" s="6" t="s">
        <v>25</v>
      </c>
      <c r="F551" s="6" t="s">
        <v>32</v>
      </c>
      <c r="G551" s="7">
        <f>Table2[[#This Row],[Unit price]]-10</f>
        <v>56.06</v>
      </c>
      <c r="H551" s="7">
        <v>66.06</v>
      </c>
      <c r="I551" s="8">
        <v>6</v>
      </c>
      <c r="J551" s="8">
        <f>Table2[[#This Row],[Unit price]]*Table2[[#This Row],[Quantity]]</f>
        <v>396.36</v>
      </c>
      <c r="K551" s="8">
        <f>Table2[[#This Row],[Unit Cost]]*Table2[[#This Row],[Quantity]]</f>
        <v>336.36</v>
      </c>
      <c r="L551" s="8">
        <f>Table2[[#This Row],[Gross Sales]]-Table2[[#This Row],[COGS]]</f>
        <v>60</v>
      </c>
      <c r="M551" s="9">
        <f t="shared" si="8"/>
        <v>0.15137753557372086</v>
      </c>
      <c r="N551" s="7">
        <v>19.818000000000001</v>
      </c>
      <c r="O551" s="7">
        <v>416.178</v>
      </c>
      <c r="P551" s="10">
        <v>43488</v>
      </c>
      <c r="Q551" s="10" t="str">
        <f>TEXT(Table2[[#This Row],[Date]],"mmm")</f>
        <v>Jan</v>
      </c>
      <c r="R551" s="11">
        <v>0.43611111111111112</v>
      </c>
      <c r="S551" s="6" t="s">
        <v>33</v>
      </c>
      <c r="T551" s="7">
        <v>7.3</v>
      </c>
      <c r="U551" s="6">
        <f>IF(_xlfn.XLOOKUP(A551,[1]Data2!$A:$A,[1]Data2!$B:$B,"no")="yes",1,0)</f>
        <v>0</v>
      </c>
    </row>
    <row r="552" spans="1:21" s="6" customFormat="1" x14ac:dyDescent="0.3">
      <c r="A552" s="6" t="s">
        <v>590</v>
      </c>
      <c r="B552" s="6" t="s">
        <v>46</v>
      </c>
      <c r="C552" s="6" t="s">
        <v>47</v>
      </c>
      <c r="D552" s="6" t="s">
        <v>31</v>
      </c>
      <c r="E552" s="6" t="s">
        <v>35</v>
      </c>
      <c r="F552" s="6" t="s">
        <v>50</v>
      </c>
      <c r="G552" s="7">
        <f>Table2[[#This Row],[Unit price]]-10</f>
        <v>47.27</v>
      </c>
      <c r="H552" s="7">
        <v>57.27</v>
      </c>
      <c r="I552" s="8">
        <v>3</v>
      </c>
      <c r="J552" s="8">
        <f>Table2[[#This Row],[Unit price]]*Table2[[#This Row],[Quantity]]</f>
        <v>171.81</v>
      </c>
      <c r="K552" s="8">
        <f>Table2[[#This Row],[Unit Cost]]*Table2[[#This Row],[Quantity]]</f>
        <v>141.81</v>
      </c>
      <c r="L552" s="8">
        <f>Table2[[#This Row],[Gross Sales]]-Table2[[#This Row],[COGS]]</f>
        <v>30</v>
      </c>
      <c r="M552" s="9">
        <f t="shared" si="8"/>
        <v>0.17461148943600488</v>
      </c>
      <c r="N552" s="7">
        <v>8.5905000000000005</v>
      </c>
      <c r="O552" s="7">
        <v>180.40049999999999</v>
      </c>
      <c r="P552" s="10">
        <v>43505</v>
      </c>
      <c r="Q552" s="10" t="str">
        <f>TEXT(Table2[[#This Row],[Date]],"mmm")</f>
        <v>Feb</v>
      </c>
      <c r="R552" s="11">
        <v>0.85486111111111107</v>
      </c>
      <c r="S552" s="6" t="s">
        <v>27</v>
      </c>
      <c r="T552" s="7">
        <v>6.5</v>
      </c>
      <c r="U552" s="6">
        <f>IF(_xlfn.XLOOKUP(A552,[1]Data2!$A:$A,[1]Data2!$B:$B,"no")="yes",1,0)</f>
        <v>0</v>
      </c>
    </row>
    <row r="553" spans="1:21" s="6" customFormat="1" x14ac:dyDescent="0.3">
      <c r="A553" s="6" t="s">
        <v>591</v>
      </c>
      <c r="B553" s="6" t="s">
        <v>46</v>
      </c>
      <c r="C553" s="6" t="s">
        <v>47</v>
      </c>
      <c r="D553" s="6" t="s">
        <v>31</v>
      </c>
      <c r="E553" s="6" t="s">
        <v>25</v>
      </c>
      <c r="F553" s="6" t="s">
        <v>50</v>
      </c>
      <c r="G553" s="7">
        <f>Table2[[#This Row],[Unit price]]-10</f>
        <v>44.31</v>
      </c>
      <c r="H553" s="7">
        <v>54.31</v>
      </c>
      <c r="I553" s="8">
        <v>9</v>
      </c>
      <c r="J553" s="8">
        <f>Table2[[#This Row],[Unit price]]*Table2[[#This Row],[Quantity]]</f>
        <v>488.79</v>
      </c>
      <c r="K553" s="8">
        <f>Table2[[#This Row],[Unit Cost]]*Table2[[#This Row],[Quantity]]</f>
        <v>398.79</v>
      </c>
      <c r="L553" s="8">
        <f>Table2[[#This Row],[Gross Sales]]-Table2[[#This Row],[COGS]]</f>
        <v>90</v>
      </c>
      <c r="M553" s="9">
        <f t="shared" si="8"/>
        <v>0.18412815319462345</v>
      </c>
      <c r="N553" s="7">
        <v>24.439499999999999</v>
      </c>
      <c r="O553" s="7">
        <v>513.22950000000003</v>
      </c>
      <c r="P553" s="10">
        <v>43518</v>
      </c>
      <c r="Q553" s="10" t="str">
        <f>TEXT(Table2[[#This Row],[Date]],"mmm")</f>
        <v>Feb</v>
      </c>
      <c r="R553" s="11">
        <v>0.45069444444444445</v>
      </c>
      <c r="S553" s="6" t="s">
        <v>33</v>
      </c>
      <c r="T553" s="7">
        <v>8.9</v>
      </c>
      <c r="U553" s="6">
        <f>IF(_xlfn.XLOOKUP(A553,[1]Data2!$A:$A,[1]Data2!$B:$B,"no")="yes",1,0)</f>
        <v>0</v>
      </c>
    </row>
    <row r="554" spans="1:21" s="6" customFormat="1" x14ac:dyDescent="0.3">
      <c r="A554" s="6" t="s">
        <v>592</v>
      </c>
      <c r="B554" s="6" t="s">
        <v>46</v>
      </c>
      <c r="C554" s="6" t="s">
        <v>47</v>
      </c>
      <c r="D554" s="6" t="s">
        <v>31</v>
      </c>
      <c r="E554" s="6" t="s">
        <v>25</v>
      </c>
      <c r="F554" s="6" t="s">
        <v>26</v>
      </c>
      <c r="G554" s="7">
        <f>Table2[[#This Row],[Unit price]]-10</f>
        <v>48.24</v>
      </c>
      <c r="H554" s="7">
        <v>58.24</v>
      </c>
      <c r="I554" s="8">
        <v>9</v>
      </c>
      <c r="J554" s="8">
        <f>Table2[[#This Row],[Unit price]]*Table2[[#This Row],[Quantity]]</f>
        <v>524.16</v>
      </c>
      <c r="K554" s="8">
        <f>Table2[[#This Row],[Unit Cost]]*Table2[[#This Row],[Quantity]]</f>
        <v>434.16</v>
      </c>
      <c r="L554" s="8">
        <f>Table2[[#This Row],[Gross Sales]]-Table2[[#This Row],[COGS]]</f>
        <v>89.999999999999943</v>
      </c>
      <c r="M554" s="9">
        <f t="shared" si="8"/>
        <v>0.17170329670329659</v>
      </c>
      <c r="N554" s="7">
        <v>26.207999999999998</v>
      </c>
      <c r="O554" s="7">
        <v>550.36800000000005</v>
      </c>
      <c r="P554" s="10">
        <v>43501</v>
      </c>
      <c r="Q554" s="10" t="str">
        <f>TEXT(Table2[[#This Row],[Date]],"mmm")</f>
        <v>Feb</v>
      </c>
      <c r="R554" s="11">
        <v>0.52361111111111114</v>
      </c>
      <c r="S554" s="6" t="s">
        <v>33</v>
      </c>
      <c r="T554" s="7">
        <v>9.6999999999999993</v>
      </c>
      <c r="U554" s="6">
        <f>IF(_xlfn.XLOOKUP(A554,[1]Data2!$A:$A,[1]Data2!$B:$B,"no")="yes",1,0)</f>
        <v>1</v>
      </c>
    </row>
    <row r="555" spans="1:21" s="6" customFormat="1" x14ac:dyDescent="0.3">
      <c r="A555" s="6" t="s">
        <v>593</v>
      </c>
      <c r="B555" s="6" t="s">
        <v>29</v>
      </c>
      <c r="C555" s="6" t="s">
        <v>30</v>
      </c>
      <c r="D555" s="6" t="s">
        <v>31</v>
      </c>
      <c r="E555" s="6" t="s">
        <v>35</v>
      </c>
      <c r="F555" s="6" t="s">
        <v>32</v>
      </c>
      <c r="G555" s="7">
        <f>Table2[[#This Row],[Unit price]]-10</f>
        <v>12.21</v>
      </c>
      <c r="H555" s="7">
        <v>22.21</v>
      </c>
      <c r="I555" s="8">
        <v>6</v>
      </c>
      <c r="J555" s="8">
        <f>Table2[[#This Row],[Unit price]]*Table2[[#This Row],[Quantity]]</f>
        <v>133.26</v>
      </c>
      <c r="K555" s="8">
        <f>Table2[[#This Row],[Unit Cost]]*Table2[[#This Row],[Quantity]]</f>
        <v>73.260000000000005</v>
      </c>
      <c r="L555" s="8">
        <f>Table2[[#This Row],[Gross Sales]]-Table2[[#This Row],[COGS]]</f>
        <v>59.999999999999986</v>
      </c>
      <c r="M555" s="9">
        <f t="shared" si="8"/>
        <v>0.45024763619990987</v>
      </c>
      <c r="N555" s="7">
        <v>6.6630000000000003</v>
      </c>
      <c r="O555" s="7">
        <v>139.923</v>
      </c>
      <c r="P555" s="10">
        <v>43531</v>
      </c>
      <c r="Q555" s="10" t="str">
        <f>TEXT(Table2[[#This Row],[Date]],"mmm")</f>
        <v>Mar</v>
      </c>
      <c r="R555" s="11">
        <v>0.43263888888888885</v>
      </c>
      <c r="S555" s="6" t="s">
        <v>37</v>
      </c>
      <c r="T555" s="7">
        <v>8.6</v>
      </c>
      <c r="U555" s="6">
        <f>IF(_xlfn.XLOOKUP(A555,[1]Data2!$A:$A,[1]Data2!$B:$B,"no")="yes",1,0)</f>
        <v>0</v>
      </c>
    </row>
    <row r="556" spans="1:21" s="6" customFormat="1" x14ac:dyDescent="0.3">
      <c r="A556" s="6" t="s">
        <v>594</v>
      </c>
      <c r="B556" s="6" t="s">
        <v>22</v>
      </c>
      <c r="C556" s="6" t="s">
        <v>23</v>
      </c>
      <c r="D556" s="6" t="s">
        <v>24</v>
      </c>
      <c r="E556" s="6" t="s">
        <v>35</v>
      </c>
      <c r="F556" s="6" t="s">
        <v>32</v>
      </c>
      <c r="G556" s="7">
        <f>Table2[[#This Row],[Unit price]]-10</f>
        <v>9.32</v>
      </c>
      <c r="H556" s="7">
        <v>19.32</v>
      </c>
      <c r="I556" s="8">
        <v>7</v>
      </c>
      <c r="J556" s="8">
        <f>Table2[[#This Row],[Unit price]]*Table2[[#This Row],[Quantity]]</f>
        <v>135.24</v>
      </c>
      <c r="K556" s="8">
        <f>Table2[[#This Row],[Unit Cost]]*Table2[[#This Row],[Quantity]]</f>
        <v>65.240000000000009</v>
      </c>
      <c r="L556" s="8">
        <f>Table2[[#This Row],[Gross Sales]]-Table2[[#This Row],[COGS]]</f>
        <v>70</v>
      </c>
      <c r="M556" s="9">
        <f t="shared" si="8"/>
        <v>0.51759834368530022</v>
      </c>
      <c r="N556" s="7">
        <v>6.7619999999999996</v>
      </c>
      <c r="O556" s="7">
        <v>142.00200000000001</v>
      </c>
      <c r="P556" s="10">
        <v>43549</v>
      </c>
      <c r="Q556" s="10" t="str">
        <f>TEXT(Table2[[#This Row],[Date]],"mmm")</f>
        <v>Mar</v>
      </c>
      <c r="R556" s="11">
        <v>0.78541666666666676</v>
      </c>
      <c r="S556" s="6" t="s">
        <v>33</v>
      </c>
      <c r="T556" s="7">
        <v>6.9</v>
      </c>
      <c r="U556" s="6">
        <f>IF(_xlfn.XLOOKUP(A556,[1]Data2!$A:$A,[1]Data2!$B:$B,"no")="yes",1,0)</f>
        <v>0</v>
      </c>
    </row>
    <row r="557" spans="1:21" s="6" customFormat="1" x14ac:dyDescent="0.3">
      <c r="A557" s="6" t="s">
        <v>595</v>
      </c>
      <c r="B557" s="6" t="s">
        <v>46</v>
      </c>
      <c r="C557" s="6" t="s">
        <v>47</v>
      </c>
      <c r="D557" s="6" t="s">
        <v>31</v>
      </c>
      <c r="E557" s="6" t="s">
        <v>35</v>
      </c>
      <c r="F557" s="6" t="s">
        <v>36</v>
      </c>
      <c r="G557" s="7">
        <f>Table2[[#This Row],[Unit price]]-10</f>
        <v>27.479999999999997</v>
      </c>
      <c r="H557" s="7">
        <v>37.479999999999997</v>
      </c>
      <c r="I557" s="8">
        <v>3</v>
      </c>
      <c r="J557" s="8">
        <f>Table2[[#This Row],[Unit price]]*Table2[[#This Row],[Quantity]]</f>
        <v>112.44</v>
      </c>
      <c r="K557" s="8">
        <f>Table2[[#This Row],[Unit Cost]]*Table2[[#This Row],[Quantity]]</f>
        <v>82.44</v>
      </c>
      <c r="L557" s="8">
        <f>Table2[[#This Row],[Gross Sales]]-Table2[[#This Row],[COGS]]</f>
        <v>30</v>
      </c>
      <c r="M557" s="9">
        <f t="shared" si="8"/>
        <v>0.26680896478121663</v>
      </c>
      <c r="N557" s="7">
        <v>5.6219999999999999</v>
      </c>
      <c r="O557" s="7">
        <v>118.062</v>
      </c>
      <c r="P557" s="10">
        <v>43485</v>
      </c>
      <c r="Q557" s="10" t="str">
        <f>TEXT(Table2[[#This Row],[Date]],"mmm")</f>
        <v>Jan</v>
      </c>
      <c r="R557" s="11">
        <v>0.57291666666666663</v>
      </c>
      <c r="S557" s="6" t="s">
        <v>37</v>
      </c>
      <c r="T557" s="7">
        <v>7.7</v>
      </c>
      <c r="U557" s="6">
        <f>IF(_xlfn.XLOOKUP(A557,[1]Data2!$A:$A,[1]Data2!$B:$B,"no")="yes",1,0)</f>
        <v>0</v>
      </c>
    </row>
    <row r="558" spans="1:21" s="6" customFormat="1" x14ac:dyDescent="0.3">
      <c r="A558" s="6" t="s">
        <v>596</v>
      </c>
      <c r="B558" s="6" t="s">
        <v>46</v>
      </c>
      <c r="C558" s="6" t="s">
        <v>47</v>
      </c>
      <c r="D558" s="6" t="s">
        <v>24</v>
      </c>
      <c r="E558" s="6" t="s">
        <v>25</v>
      </c>
      <c r="F558" s="6" t="s">
        <v>50</v>
      </c>
      <c r="G558" s="7">
        <f>Table2[[#This Row],[Unit price]]-10</f>
        <v>62.040000000000006</v>
      </c>
      <c r="H558" s="7">
        <v>72.040000000000006</v>
      </c>
      <c r="I558" s="8">
        <v>2</v>
      </c>
      <c r="J558" s="8">
        <f>Table2[[#This Row],[Unit price]]*Table2[[#This Row],[Quantity]]</f>
        <v>144.08000000000001</v>
      </c>
      <c r="K558" s="8">
        <f>Table2[[#This Row],[Unit Cost]]*Table2[[#This Row],[Quantity]]</f>
        <v>124.08000000000001</v>
      </c>
      <c r="L558" s="8">
        <f>Table2[[#This Row],[Gross Sales]]-Table2[[#This Row],[COGS]]</f>
        <v>20</v>
      </c>
      <c r="M558" s="9">
        <f t="shared" si="8"/>
        <v>0.13881177123820099</v>
      </c>
      <c r="N558" s="7">
        <v>7.2039999999999997</v>
      </c>
      <c r="O558" s="7">
        <v>151.28399999999999</v>
      </c>
      <c r="P558" s="10">
        <v>43500</v>
      </c>
      <c r="Q558" s="10" t="str">
        <f>TEXT(Table2[[#This Row],[Date]],"mmm")</f>
        <v>Feb</v>
      </c>
      <c r="R558" s="11">
        <v>0.81805555555555554</v>
      </c>
      <c r="S558" s="6" t="s">
        <v>33</v>
      </c>
      <c r="T558" s="7">
        <v>9.5</v>
      </c>
      <c r="U558" s="6">
        <f>IF(_xlfn.XLOOKUP(A558,[1]Data2!$A:$A,[1]Data2!$B:$B,"no")="yes",1,0)</f>
        <v>1</v>
      </c>
    </row>
    <row r="559" spans="1:21" s="6" customFormat="1" x14ac:dyDescent="0.3">
      <c r="A559" s="6" t="s">
        <v>597</v>
      </c>
      <c r="B559" s="6" t="s">
        <v>29</v>
      </c>
      <c r="C559" s="6" t="s">
        <v>30</v>
      </c>
      <c r="D559" s="6" t="s">
        <v>24</v>
      </c>
      <c r="E559" s="6" t="s">
        <v>25</v>
      </c>
      <c r="F559" s="6" t="s">
        <v>48</v>
      </c>
      <c r="G559" s="7">
        <f>Table2[[#This Row],[Unit price]]-10</f>
        <v>88.52</v>
      </c>
      <c r="H559" s="7">
        <v>98.52</v>
      </c>
      <c r="I559" s="8">
        <v>10</v>
      </c>
      <c r="J559" s="8">
        <f>Table2[[#This Row],[Unit price]]*Table2[[#This Row],[Quantity]]</f>
        <v>985.19999999999993</v>
      </c>
      <c r="K559" s="8">
        <f>Table2[[#This Row],[Unit Cost]]*Table2[[#This Row],[Quantity]]</f>
        <v>885.19999999999993</v>
      </c>
      <c r="L559" s="8">
        <f>Table2[[#This Row],[Gross Sales]]-Table2[[#This Row],[COGS]]</f>
        <v>100</v>
      </c>
      <c r="M559" s="9">
        <f t="shared" si="8"/>
        <v>0.10150223304912709</v>
      </c>
      <c r="N559" s="7">
        <v>49.26</v>
      </c>
      <c r="O559" s="7">
        <v>1034.46</v>
      </c>
      <c r="P559" s="10">
        <v>43495</v>
      </c>
      <c r="Q559" s="10" t="str">
        <f>TEXT(Table2[[#This Row],[Date]],"mmm")</f>
        <v>Jan</v>
      </c>
      <c r="R559" s="11">
        <v>0.84930555555555554</v>
      </c>
      <c r="S559" s="6" t="s">
        <v>27</v>
      </c>
      <c r="T559" s="7">
        <v>4.5</v>
      </c>
      <c r="U559" s="6">
        <f>IF(_xlfn.XLOOKUP(A559,[1]Data2!$A:$A,[1]Data2!$B:$B,"no")="yes",1,0)</f>
        <v>0</v>
      </c>
    </row>
    <row r="560" spans="1:21" s="6" customFormat="1" x14ac:dyDescent="0.3">
      <c r="A560" s="6" t="s">
        <v>598</v>
      </c>
      <c r="B560" s="6" t="s">
        <v>22</v>
      </c>
      <c r="C560" s="6" t="s">
        <v>23</v>
      </c>
      <c r="D560" s="6" t="s">
        <v>24</v>
      </c>
      <c r="E560" s="6" t="s">
        <v>35</v>
      </c>
      <c r="F560" s="6" t="s">
        <v>48</v>
      </c>
      <c r="G560" s="7">
        <f>Table2[[#This Row],[Unit price]]-10</f>
        <v>31.659999999999997</v>
      </c>
      <c r="H560" s="7">
        <v>41.66</v>
      </c>
      <c r="I560" s="8">
        <v>6</v>
      </c>
      <c r="J560" s="8">
        <f>Table2[[#This Row],[Unit price]]*Table2[[#This Row],[Quantity]]</f>
        <v>249.95999999999998</v>
      </c>
      <c r="K560" s="8">
        <f>Table2[[#This Row],[Unit Cost]]*Table2[[#This Row],[Quantity]]</f>
        <v>189.95999999999998</v>
      </c>
      <c r="L560" s="8">
        <f>Table2[[#This Row],[Gross Sales]]-Table2[[#This Row],[COGS]]</f>
        <v>60</v>
      </c>
      <c r="M560" s="9">
        <f t="shared" si="8"/>
        <v>0.24003840614498323</v>
      </c>
      <c r="N560" s="7">
        <v>12.497999999999999</v>
      </c>
      <c r="O560" s="7">
        <v>262.45800000000003</v>
      </c>
      <c r="P560" s="10">
        <v>43467</v>
      </c>
      <c r="Q560" s="10" t="str">
        <f>TEXT(Table2[[#This Row],[Date]],"mmm")</f>
        <v>Jan</v>
      </c>
      <c r="R560" s="11">
        <v>0.64166666666666672</v>
      </c>
      <c r="S560" s="6" t="s">
        <v>27</v>
      </c>
      <c r="T560" s="7">
        <v>5.6</v>
      </c>
      <c r="U560" s="6">
        <f>IF(_xlfn.XLOOKUP(A560,[1]Data2!$A:$A,[1]Data2!$B:$B,"no")="yes",1,0)</f>
        <v>0</v>
      </c>
    </row>
    <row r="561" spans="1:21" s="6" customFormat="1" x14ac:dyDescent="0.3">
      <c r="A561" s="6" t="s">
        <v>599</v>
      </c>
      <c r="B561" s="6" t="s">
        <v>22</v>
      </c>
      <c r="C561" s="6" t="s">
        <v>23</v>
      </c>
      <c r="D561" s="6" t="s">
        <v>24</v>
      </c>
      <c r="E561" s="6" t="s">
        <v>25</v>
      </c>
      <c r="F561" s="6" t="s">
        <v>36</v>
      </c>
      <c r="G561" s="7">
        <f>Table2[[#This Row],[Unit price]]-10</f>
        <v>62.42</v>
      </c>
      <c r="H561" s="7">
        <v>72.42</v>
      </c>
      <c r="I561" s="8">
        <v>3</v>
      </c>
      <c r="J561" s="8">
        <f>Table2[[#This Row],[Unit price]]*Table2[[#This Row],[Quantity]]</f>
        <v>217.26</v>
      </c>
      <c r="K561" s="8">
        <f>Table2[[#This Row],[Unit Cost]]*Table2[[#This Row],[Quantity]]</f>
        <v>187.26</v>
      </c>
      <c r="L561" s="8">
        <f>Table2[[#This Row],[Gross Sales]]-Table2[[#This Row],[COGS]]</f>
        <v>30</v>
      </c>
      <c r="M561" s="9">
        <f t="shared" si="8"/>
        <v>0.13808340237503453</v>
      </c>
      <c r="N561" s="7">
        <v>10.863</v>
      </c>
      <c r="O561" s="7">
        <v>228.12299999999999</v>
      </c>
      <c r="P561" s="10">
        <v>43553</v>
      </c>
      <c r="Q561" s="10" t="str">
        <f>TEXT(Table2[[#This Row],[Date]],"mmm")</f>
        <v>Mar</v>
      </c>
      <c r="R561" s="11">
        <v>0.70416666666666661</v>
      </c>
      <c r="S561" s="6" t="s">
        <v>27</v>
      </c>
      <c r="T561" s="7">
        <v>8.1999999999999993</v>
      </c>
      <c r="U561" s="6">
        <f>IF(_xlfn.XLOOKUP(A561,[1]Data2!$A:$A,[1]Data2!$B:$B,"no")="yes",1,0)</f>
        <v>0</v>
      </c>
    </row>
    <row r="562" spans="1:21" s="6" customFormat="1" x14ac:dyDescent="0.3">
      <c r="A562" s="6" t="s">
        <v>600</v>
      </c>
      <c r="B562" s="6" t="s">
        <v>46</v>
      </c>
      <c r="C562" s="6" t="s">
        <v>47</v>
      </c>
      <c r="D562" s="6" t="s">
        <v>31</v>
      </c>
      <c r="E562" s="6" t="s">
        <v>35</v>
      </c>
      <c r="F562" s="6" t="s">
        <v>32</v>
      </c>
      <c r="G562" s="7">
        <f>Table2[[#This Row],[Unit price]]-10</f>
        <v>11.579999999999998</v>
      </c>
      <c r="H562" s="7">
        <v>21.58</v>
      </c>
      <c r="I562" s="8">
        <v>9</v>
      </c>
      <c r="J562" s="8">
        <f>Table2[[#This Row],[Unit price]]*Table2[[#This Row],[Quantity]]</f>
        <v>194.21999999999997</v>
      </c>
      <c r="K562" s="8">
        <f>Table2[[#This Row],[Unit Cost]]*Table2[[#This Row],[Quantity]]</f>
        <v>104.21999999999998</v>
      </c>
      <c r="L562" s="8">
        <f>Table2[[#This Row],[Gross Sales]]-Table2[[#This Row],[COGS]]</f>
        <v>89.999999999999986</v>
      </c>
      <c r="M562" s="9">
        <f t="shared" si="8"/>
        <v>0.46339202965708992</v>
      </c>
      <c r="N562" s="7">
        <v>9.7110000000000003</v>
      </c>
      <c r="O562" s="7">
        <v>203.93100000000001</v>
      </c>
      <c r="P562" s="10">
        <v>43538</v>
      </c>
      <c r="Q562" s="10" t="str">
        <f>TEXT(Table2[[#This Row],[Date]],"mmm")</f>
        <v>Mar</v>
      </c>
      <c r="R562" s="11">
        <v>0.52222222222222225</v>
      </c>
      <c r="S562" s="6" t="s">
        <v>33</v>
      </c>
      <c r="T562" s="7">
        <v>7.3</v>
      </c>
      <c r="U562" s="6">
        <f>IF(_xlfn.XLOOKUP(A562,[1]Data2!$A:$A,[1]Data2!$B:$B,"no")="yes",1,0)</f>
        <v>1</v>
      </c>
    </row>
    <row r="563" spans="1:21" s="6" customFormat="1" x14ac:dyDescent="0.3">
      <c r="A563" s="6" t="s">
        <v>601</v>
      </c>
      <c r="B563" s="6" t="s">
        <v>29</v>
      </c>
      <c r="C563" s="6" t="s">
        <v>30</v>
      </c>
      <c r="D563" s="6" t="s">
        <v>31</v>
      </c>
      <c r="E563" s="6" t="s">
        <v>35</v>
      </c>
      <c r="F563" s="6" t="s">
        <v>48</v>
      </c>
      <c r="G563" s="7">
        <f>Table2[[#This Row],[Unit price]]-10</f>
        <v>79.2</v>
      </c>
      <c r="H563" s="7">
        <v>89.2</v>
      </c>
      <c r="I563" s="8">
        <v>10</v>
      </c>
      <c r="J563" s="8">
        <f>Table2[[#This Row],[Unit price]]*Table2[[#This Row],[Quantity]]</f>
        <v>892</v>
      </c>
      <c r="K563" s="8">
        <f>Table2[[#This Row],[Unit Cost]]*Table2[[#This Row],[Quantity]]</f>
        <v>792</v>
      </c>
      <c r="L563" s="8">
        <f>Table2[[#This Row],[Gross Sales]]-Table2[[#This Row],[COGS]]</f>
        <v>100</v>
      </c>
      <c r="M563" s="9">
        <f t="shared" si="8"/>
        <v>0.11210762331838565</v>
      </c>
      <c r="N563" s="7">
        <v>44.6</v>
      </c>
      <c r="O563" s="7">
        <v>936.6</v>
      </c>
      <c r="P563" s="10">
        <v>43507</v>
      </c>
      <c r="Q563" s="10" t="str">
        <f>TEXT(Table2[[#This Row],[Date]],"mmm")</f>
        <v>Feb</v>
      </c>
      <c r="R563" s="11">
        <v>0.65416666666666667</v>
      </c>
      <c r="S563" s="6" t="s">
        <v>37</v>
      </c>
      <c r="T563" s="7">
        <v>4.4000000000000004</v>
      </c>
      <c r="U563" s="6">
        <f>IF(_xlfn.XLOOKUP(A563,[1]Data2!$A:$A,[1]Data2!$B:$B,"no")="yes",1,0)</f>
        <v>0</v>
      </c>
    </row>
    <row r="564" spans="1:21" s="6" customFormat="1" x14ac:dyDescent="0.3">
      <c r="A564" s="6" t="s">
        <v>602</v>
      </c>
      <c r="B564" s="6" t="s">
        <v>46</v>
      </c>
      <c r="C564" s="6" t="s">
        <v>47</v>
      </c>
      <c r="D564" s="6" t="s">
        <v>31</v>
      </c>
      <c r="E564" s="6" t="s">
        <v>25</v>
      </c>
      <c r="F564" s="6" t="s">
        <v>32</v>
      </c>
      <c r="G564" s="7">
        <f>Table2[[#This Row],[Unit price]]-10</f>
        <v>32.42</v>
      </c>
      <c r="H564" s="7">
        <v>42.42</v>
      </c>
      <c r="I564" s="8">
        <v>8</v>
      </c>
      <c r="J564" s="8">
        <f>Table2[[#This Row],[Unit price]]*Table2[[#This Row],[Quantity]]</f>
        <v>339.36</v>
      </c>
      <c r="K564" s="8">
        <f>Table2[[#This Row],[Unit Cost]]*Table2[[#This Row],[Quantity]]</f>
        <v>259.36</v>
      </c>
      <c r="L564" s="8">
        <f>Table2[[#This Row],[Gross Sales]]-Table2[[#This Row],[COGS]]</f>
        <v>80</v>
      </c>
      <c r="M564" s="9">
        <f t="shared" si="8"/>
        <v>0.23573785950023574</v>
      </c>
      <c r="N564" s="7">
        <v>16.968</v>
      </c>
      <c r="O564" s="7">
        <v>356.32799999999997</v>
      </c>
      <c r="P564" s="10">
        <v>43495</v>
      </c>
      <c r="Q564" s="10" t="str">
        <f>TEXT(Table2[[#This Row],[Date]],"mmm")</f>
        <v>Jan</v>
      </c>
      <c r="R564" s="11">
        <v>0.58194444444444449</v>
      </c>
      <c r="S564" s="6" t="s">
        <v>27</v>
      </c>
      <c r="T564" s="7">
        <v>5.7</v>
      </c>
      <c r="U564" s="6">
        <f>IF(_xlfn.XLOOKUP(A564,[1]Data2!$A:$A,[1]Data2!$B:$B,"no")="yes",1,0)</f>
        <v>0</v>
      </c>
    </row>
    <row r="565" spans="1:21" s="6" customFormat="1" x14ac:dyDescent="0.3">
      <c r="A565" s="6" t="s">
        <v>603</v>
      </c>
      <c r="B565" s="6" t="s">
        <v>22</v>
      </c>
      <c r="C565" s="6" t="s">
        <v>23</v>
      </c>
      <c r="D565" s="6" t="s">
        <v>24</v>
      </c>
      <c r="E565" s="6" t="s">
        <v>35</v>
      </c>
      <c r="F565" s="6" t="s">
        <v>32</v>
      </c>
      <c r="G565" s="7">
        <f>Table2[[#This Row],[Unit price]]-10</f>
        <v>64.510000000000005</v>
      </c>
      <c r="H565" s="7">
        <v>74.510000000000005</v>
      </c>
      <c r="I565" s="8">
        <v>6</v>
      </c>
      <c r="J565" s="8">
        <f>Table2[[#This Row],[Unit price]]*Table2[[#This Row],[Quantity]]</f>
        <v>447.06000000000006</v>
      </c>
      <c r="K565" s="8">
        <f>Table2[[#This Row],[Unit Cost]]*Table2[[#This Row],[Quantity]]</f>
        <v>387.06000000000006</v>
      </c>
      <c r="L565" s="8">
        <f>Table2[[#This Row],[Gross Sales]]-Table2[[#This Row],[COGS]]</f>
        <v>60</v>
      </c>
      <c r="M565" s="9">
        <f t="shared" si="8"/>
        <v>0.13421017313112332</v>
      </c>
      <c r="N565" s="7">
        <v>22.353000000000002</v>
      </c>
      <c r="O565" s="7">
        <v>469.41300000000001</v>
      </c>
      <c r="P565" s="10">
        <v>43544</v>
      </c>
      <c r="Q565" s="10" t="str">
        <f>TEXT(Table2[[#This Row],[Date]],"mmm")</f>
        <v>Mar</v>
      </c>
      <c r="R565" s="11">
        <v>0.63055555555555554</v>
      </c>
      <c r="S565" s="6" t="s">
        <v>27</v>
      </c>
      <c r="T565" s="7">
        <v>5</v>
      </c>
      <c r="U565" s="6">
        <f>IF(_xlfn.XLOOKUP(A565,[1]Data2!$A:$A,[1]Data2!$B:$B,"no")="yes",1,0)</f>
        <v>0</v>
      </c>
    </row>
    <row r="566" spans="1:21" s="6" customFormat="1" x14ac:dyDescent="0.3">
      <c r="A566" s="6" t="s">
        <v>604</v>
      </c>
      <c r="B566" s="6" t="s">
        <v>46</v>
      </c>
      <c r="C566" s="6" t="s">
        <v>47</v>
      </c>
      <c r="D566" s="6" t="s">
        <v>31</v>
      </c>
      <c r="E566" s="6" t="s">
        <v>35</v>
      </c>
      <c r="F566" s="6" t="s">
        <v>50</v>
      </c>
      <c r="G566" s="7">
        <f>Table2[[#This Row],[Unit price]]-10</f>
        <v>89.25</v>
      </c>
      <c r="H566" s="7">
        <v>99.25</v>
      </c>
      <c r="I566" s="8">
        <v>2</v>
      </c>
      <c r="J566" s="8">
        <f>Table2[[#This Row],[Unit price]]*Table2[[#This Row],[Quantity]]</f>
        <v>198.5</v>
      </c>
      <c r="K566" s="8">
        <f>Table2[[#This Row],[Unit Cost]]*Table2[[#This Row],[Quantity]]</f>
        <v>178.5</v>
      </c>
      <c r="L566" s="8">
        <f>Table2[[#This Row],[Gross Sales]]-Table2[[#This Row],[COGS]]</f>
        <v>20</v>
      </c>
      <c r="M566" s="9">
        <f t="shared" si="8"/>
        <v>0.10075566750629723</v>
      </c>
      <c r="N566" s="7">
        <v>9.9250000000000007</v>
      </c>
      <c r="O566" s="7">
        <v>208.42500000000001</v>
      </c>
      <c r="P566" s="10">
        <v>43544</v>
      </c>
      <c r="Q566" s="10" t="str">
        <f>TEXT(Table2[[#This Row],[Date]],"mmm")</f>
        <v>Mar</v>
      </c>
      <c r="R566" s="11">
        <v>0.54305555555555551</v>
      </c>
      <c r="S566" s="6" t="s">
        <v>33</v>
      </c>
      <c r="T566" s="7">
        <v>9</v>
      </c>
      <c r="U566" s="6">
        <f>IF(_xlfn.XLOOKUP(A566,[1]Data2!$A:$A,[1]Data2!$B:$B,"no")="yes",1,0)</f>
        <v>1</v>
      </c>
    </row>
    <row r="567" spans="1:21" s="6" customFormat="1" x14ac:dyDescent="0.3">
      <c r="A567" s="6" t="s">
        <v>605</v>
      </c>
      <c r="B567" s="6" t="s">
        <v>22</v>
      </c>
      <c r="C567" s="6" t="s">
        <v>23</v>
      </c>
      <c r="D567" s="6" t="s">
        <v>31</v>
      </c>
      <c r="E567" s="6" t="s">
        <v>25</v>
      </c>
      <c r="F567" s="6" t="s">
        <v>48</v>
      </c>
      <c r="G567" s="7">
        <f>Table2[[#This Row],[Unit price]]-10</f>
        <v>71.209999999999994</v>
      </c>
      <c r="H567" s="7">
        <v>81.209999999999994</v>
      </c>
      <c r="I567" s="8">
        <v>10</v>
      </c>
      <c r="J567" s="8">
        <f>Table2[[#This Row],[Unit price]]*Table2[[#This Row],[Quantity]]</f>
        <v>812.09999999999991</v>
      </c>
      <c r="K567" s="8">
        <f>Table2[[#This Row],[Unit Cost]]*Table2[[#This Row],[Quantity]]</f>
        <v>712.09999999999991</v>
      </c>
      <c r="L567" s="8">
        <f>Table2[[#This Row],[Gross Sales]]-Table2[[#This Row],[COGS]]</f>
        <v>100</v>
      </c>
      <c r="M567" s="9">
        <f t="shared" si="8"/>
        <v>0.12313754463735994</v>
      </c>
      <c r="N567" s="7">
        <v>40.604999999999997</v>
      </c>
      <c r="O567" s="7">
        <v>852.70500000000004</v>
      </c>
      <c r="P567" s="10">
        <v>43482</v>
      </c>
      <c r="Q567" s="10" t="str">
        <f>TEXT(Table2[[#This Row],[Date]],"mmm")</f>
        <v>Jan</v>
      </c>
      <c r="R567" s="11">
        <v>0.54236111111111118</v>
      </c>
      <c r="S567" s="6" t="s">
        <v>37</v>
      </c>
      <c r="T567" s="7">
        <v>6.3</v>
      </c>
      <c r="U567" s="6">
        <f>IF(_xlfn.XLOOKUP(A567,[1]Data2!$A:$A,[1]Data2!$B:$B,"no")="yes",1,0)</f>
        <v>0</v>
      </c>
    </row>
    <row r="568" spans="1:21" s="6" customFormat="1" x14ac:dyDescent="0.3">
      <c r="A568" s="6" t="s">
        <v>606</v>
      </c>
      <c r="B568" s="6" t="s">
        <v>29</v>
      </c>
      <c r="C568" s="6" t="s">
        <v>30</v>
      </c>
      <c r="D568" s="6" t="s">
        <v>31</v>
      </c>
      <c r="E568" s="6" t="s">
        <v>25</v>
      </c>
      <c r="F568" s="6" t="s">
        <v>40</v>
      </c>
      <c r="G568" s="7">
        <f>Table2[[#This Row],[Unit price]]-10</f>
        <v>39.33</v>
      </c>
      <c r="H568" s="7">
        <v>49.33</v>
      </c>
      <c r="I568" s="8">
        <v>10</v>
      </c>
      <c r="J568" s="8">
        <f>Table2[[#This Row],[Unit price]]*Table2[[#This Row],[Quantity]]</f>
        <v>493.29999999999995</v>
      </c>
      <c r="K568" s="8">
        <f>Table2[[#This Row],[Unit Cost]]*Table2[[#This Row],[Quantity]]</f>
        <v>393.29999999999995</v>
      </c>
      <c r="L568" s="8">
        <f>Table2[[#This Row],[Gross Sales]]-Table2[[#This Row],[COGS]]</f>
        <v>100</v>
      </c>
      <c r="M568" s="9">
        <f t="shared" si="8"/>
        <v>0.20271639975674033</v>
      </c>
      <c r="N568" s="7">
        <v>24.664999999999999</v>
      </c>
      <c r="O568" s="7">
        <v>517.96500000000003</v>
      </c>
      <c r="P568" s="10">
        <v>43499</v>
      </c>
      <c r="Q568" s="10" t="str">
        <f>TEXT(Table2[[#This Row],[Date]],"mmm")</f>
        <v>Feb</v>
      </c>
      <c r="R568" s="11">
        <v>0.69444444444444453</v>
      </c>
      <c r="S568" s="6" t="s">
        <v>37</v>
      </c>
      <c r="T568" s="7">
        <v>9.4</v>
      </c>
      <c r="U568" s="6">
        <f>IF(_xlfn.XLOOKUP(A568,[1]Data2!$A:$A,[1]Data2!$B:$B,"no")="yes",1,0)</f>
        <v>0</v>
      </c>
    </row>
    <row r="569" spans="1:21" s="6" customFormat="1" x14ac:dyDescent="0.3">
      <c r="A569" s="6" t="s">
        <v>607</v>
      </c>
      <c r="B569" s="6" t="s">
        <v>22</v>
      </c>
      <c r="C569" s="6" t="s">
        <v>23</v>
      </c>
      <c r="D569" s="6" t="s">
        <v>31</v>
      </c>
      <c r="E569" s="6" t="s">
        <v>25</v>
      </c>
      <c r="F569" s="6" t="s">
        <v>50</v>
      </c>
      <c r="G569" s="7">
        <f>Table2[[#This Row],[Unit price]]-10</f>
        <v>55.739999999999995</v>
      </c>
      <c r="H569" s="7">
        <v>65.739999999999995</v>
      </c>
      <c r="I569" s="8">
        <v>9</v>
      </c>
      <c r="J569" s="8">
        <f>Table2[[#This Row],[Unit price]]*Table2[[#This Row],[Quantity]]</f>
        <v>591.66</v>
      </c>
      <c r="K569" s="8">
        <f>Table2[[#This Row],[Unit Cost]]*Table2[[#This Row],[Quantity]]</f>
        <v>501.65999999999997</v>
      </c>
      <c r="L569" s="8">
        <f>Table2[[#This Row],[Gross Sales]]-Table2[[#This Row],[COGS]]</f>
        <v>90</v>
      </c>
      <c r="M569" s="9">
        <f t="shared" si="8"/>
        <v>0.15211439002129604</v>
      </c>
      <c r="N569" s="7">
        <v>29.582999999999998</v>
      </c>
      <c r="O569" s="7">
        <v>621.24300000000005</v>
      </c>
      <c r="P569" s="10">
        <v>43466</v>
      </c>
      <c r="Q569" s="10" t="str">
        <f>TEXT(Table2[[#This Row],[Date]],"mmm")</f>
        <v>Jan</v>
      </c>
      <c r="R569" s="11">
        <v>0.57986111111111105</v>
      </c>
      <c r="S569" s="6" t="s">
        <v>33</v>
      </c>
      <c r="T569" s="7">
        <v>7.7</v>
      </c>
      <c r="U569" s="6">
        <f>IF(_xlfn.XLOOKUP(A569,[1]Data2!$A:$A,[1]Data2!$B:$B,"no")="yes",1,0)</f>
        <v>0</v>
      </c>
    </row>
    <row r="570" spans="1:21" s="6" customFormat="1" x14ac:dyDescent="0.3">
      <c r="A570" s="6" t="s">
        <v>608</v>
      </c>
      <c r="B570" s="6" t="s">
        <v>46</v>
      </c>
      <c r="C570" s="6" t="s">
        <v>47</v>
      </c>
      <c r="D570" s="6" t="s">
        <v>31</v>
      </c>
      <c r="E570" s="6" t="s">
        <v>25</v>
      </c>
      <c r="F570" s="6" t="s">
        <v>50</v>
      </c>
      <c r="G570" s="7">
        <f>Table2[[#This Row],[Unit price]]-10</f>
        <v>69.86</v>
      </c>
      <c r="H570" s="7">
        <v>79.86</v>
      </c>
      <c r="I570" s="8">
        <v>7</v>
      </c>
      <c r="J570" s="8">
        <f>Table2[[#This Row],[Unit price]]*Table2[[#This Row],[Quantity]]</f>
        <v>559.02</v>
      </c>
      <c r="K570" s="8">
        <f>Table2[[#This Row],[Unit Cost]]*Table2[[#This Row],[Quantity]]</f>
        <v>489.02</v>
      </c>
      <c r="L570" s="8">
        <f>Table2[[#This Row],[Gross Sales]]-Table2[[#This Row],[COGS]]</f>
        <v>70</v>
      </c>
      <c r="M570" s="9">
        <f t="shared" si="8"/>
        <v>0.12521913348359628</v>
      </c>
      <c r="N570" s="7">
        <v>27.951000000000001</v>
      </c>
      <c r="O570" s="7">
        <v>586.971</v>
      </c>
      <c r="P570" s="10">
        <v>43475</v>
      </c>
      <c r="Q570" s="10" t="str">
        <f>TEXT(Table2[[#This Row],[Date]],"mmm")</f>
        <v>Jan</v>
      </c>
      <c r="R570" s="11">
        <v>0.43958333333333338</v>
      </c>
      <c r="S570" s="6" t="s">
        <v>37</v>
      </c>
      <c r="T570" s="7">
        <v>5.5</v>
      </c>
      <c r="U570" s="6">
        <f>IF(_xlfn.XLOOKUP(A570,[1]Data2!$A:$A,[1]Data2!$B:$B,"no")="yes",1,0)</f>
        <v>1</v>
      </c>
    </row>
    <row r="571" spans="1:21" s="6" customFormat="1" x14ac:dyDescent="0.3">
      <c r="A571" s="6" t="s">
        <v>609</v>
      </c>
      <c r="B571" s="6" t="s">
        <v>29</v>
      </c>
      <c r="C571" s="6" t="s">
        <v>30</v>
      </c>
      <c r="D571" s="6" t="s">
        <v>31</v>
      </c>
      <c r="E571" s="6" t="s">
        <v>25</v>
      </c>
      <c r="F571" s="6" t="s">
        <v>40</v>
      </c>
      <c r="G571" s="7">
        <f>Table2[[#This Row],[Unit price]]-10</f>
        <v>63.980000000000004</v>
      </c>
      <c r="H571" s="7">
        <v>73.98</v>
      </c>
      <c r="I571" s="8">
        <v>7</v>
      </c>
      <c r="J571" s="8">
        <f>Table2[[#This Row],[Unit price]]*Table2[[#This Row],[Quantity]]</f>
        <v>517.86</v>
      </c>
      <c r="K571" s="8">
        <f>Table2[[#This Row],[Unit Cost]]*Table2[[#This Row],[Quantity]]</f>
        <v>447.86</v>
      </c>
      <c r="L571" s="8">
        <f>Table2[[#This Row],[Gross Sales]]-Table2[[#This Row],[COGS]]</f>
        <v>70</v>
      </c>
      <c r="M571" s="9">
        <f t="shared" si="8"/>
        <v>0.13517166801838335</v>
      </c>
      <c r="N571" s="7">
        <v>25.893000000000001</v>
      </c>
      <c r="O571" s="7">
        <v>543.75300000000004</v>
      </c>
      <c r="P571" s="10">
        <v>43526</v>
      </c>
      <c r="Q571" s="10" t="str">
        <f>TEXT(Table2[[#This Row],[Date]],"mmm")</f>
        <v>Mar</v>
      </c>
      <c r="R571" s="11">
        <v>0.6958333333333333</v>
      </c>
      <c r="S571" s="6" t="s">
        <v>27</v>
      </c>
      <c r="T571" s="7">
        <v>4.0999999999999996</v>
      </c>
      <c r="U571" s="6">
        <f>IF(_xlfn.XLOOKUP(A571,[1]Data2!$A:$A,[1]Data2!$B:$B,"no")="yes",1,0)</f>
        <v>0</v>
      </c>
    </row>
    <row r="572" spans="1:21" s="6" customFormat="1" x14ac:dyDescent="0.3">
      <c r="A572" s="6" t="s">
        <v>610</v>
      </c>
      <c r="B572" s="6" t="s">
        <v>46</v>
      </c>
      <c r="C572" s="6" t="s">
        <v>47</v>
      </c>
      <c r="D572" s="6" t="s">
        <v>24</v>
      </c>
      <c r="E572" s="6" t="s">
        <v>25</v>
      </c>
      <c r="F572" s="6" t="s">
        <v>36</v>
      </c>
      <c r="G572" s="7">
        <f>Table2[[#This Row],[Unit price]]-10</f>
        <v>72.040000000000006</v>
      </c>
      <c r="H572" s="7">
        <v>82.04</v>
      </c>
      <c r="I572" s="8">
        <v>5</v>
      </c>
      <c r="J572" s="8">
        <f>Table2[[#This Row],[Unit price]]*Table2[[#This Row],[Quantity]]</f>
        <v>410.20000000000005</v>
      </c>
      <c r="K572" s="8">
        <f>Table2[[#This Row],[Unit Cost]]*Table2[[#This Row],[Quantity]]</f>
        <v>360.20000000000005</v>
      </c>
      <c r="L572" s="8">
        <f>Table2[[#This Row],[Gross Sales]]-Table2[[#This Row],[COGS]]</f>
        <v>50</v>
      </c>
      <c r="M572" s="9">
        <f t="shared" si="8"/>
        <v>0.12189176011701608</v>
      </c>
      <c r="N572" s="7">
        <v>20.51</v>
      </c>
      <c r="O572" s="7">
        <v>430.71</v>
      </c>
      <c r="P572" s="10">
        <v>43521</v>
      </c>
      <c r="Q572" s="10" t="str">
        <f>TEXT(Table2[[#This Row],[Date]],"mmm")</f>
        <v>Feb</v>
      </c>
      <c r="R572" s="11">
        <v>0.71944444444444444</v>
      </c>
      <c r="S572" s="6" t="s">
        <v>37</v>
      </c>
      <c r="T572" s="7">
        <v>7.6</v>
      </c>
      <c r="U572" s="6">
        <f>IF(_xlfn.XLOOKUP(A572,[1]Data2!$A:$A,[1]Data2!$B:$B,"no")="yes",1,0)</f>
        <v>0</v>
      </c>
    </row>
    <row r="573" spans="1:21" s="6" customFormat="1" x14ac:dyDescent="0.3">
      <c r="A573" s="6" t="s">
        <v>611</v>
      </c>
      <c r="B573" s="6" t="s">
        <v>46</v>
      </c>
      <c r="C573" s="6" t="s">
        <v>47</v>
      </c>
      <c r="D573" s="6" t="s">
        <v>24</v>
      </c>
      <c r="E573" s="6" t="s">
        <v>35</v>
      </c>
      <c r="F573" s="6" t="s">
        <v>40</v>
      </c>
      <c r="G573" s="7">
        <f>Table2[[#This Row],[Unit price]]-10</f>
        <v>16.670000000000002</v>
      </c>
      <c r="H573" s="7">
        <v>26.67</v>
      </c>
      <c r="I573" s="8">
        <v>10</v>
      </c>
      <c r="J573" s="8">
        <f>Table2[[#This Row],[Unit price]]*Table2[[#This Row],[Quantity]]</f>
        <v>266.70000000000005</v>
      </c>
      <c r="K573" s="8">
        <f>Table2[[#This Row],[Unit Cost]]*Table2[[#This Row],[Quantity]]</f>
        <v>166.70000000000002</v>
      </c>
      <c r="L573" s="8">
        <f>Table2[[#This Row],[Gross Sales]]-Table2[[#This Row],[COGS]]</f>
        <v>100.00000000000003</v>
      </c>
      <c r="M573" s="9">
        <f t="shared" si="8"/>
        <v>0.37495313085864274</v>
      </c>
      <c r="N573" s="7">
        <v>13.335000000000001</v>
      </c>
      <c r="O573" s="7">
        <v>280.03500000000003</v>
      </c>
      <c r="P573" s="10">
        <v>43494</v>
      </c>
      <c r="Q573" s="10" t="str">
        <f>TEXT(Table2[[#This Row],[Date]],"mmm")</f>
        <v>Jan</v>
      </c>
      <c r="R573" s="11">
        <v>0.4916666666666667</v>
      </c>
      <c r="S573" s="6" t="s">
        <v>33</v>
      </c>
      <c r="T573" s="7">
        <v>8.6</v>
      </c>
      <c r="U573" s="6">
        <f>IF(_xlfn.XLOOKUP(A573,[1]Data2!$A:$A,[1]Data2!$B:$B,"no")="yes",1,0)</f>
        <v>0</v>
      </c>
    </row>
    <row r="574" spans="1:21" s="6" customFormat="1" x14ac:dyDescent="0.3">
      <c r="A574" s="6" t="s">
        <v>612</v>
      </c>
      <c r="B574" s="6" t="s">
        <v>22</v>
      </c>
      <c r="C574" s="6" t="s">
        <v>23</v>
      </c>
      <c r="D574" s="6" t="s">
        <v>24</v>
      </c>
      <c r="E574" s="6" t="s">
        <v>35</v>
      </c>
      <c r="F574" s="6" t="s">
        <v>48</v>
      </c>
      <c r="G574" s="7">
        <f>Table2[[#This Row],[Unit price]]-10</f>
        <v>0.13000000000000078</v>
      </c>
      <c r="H574" s="7">
        <v>10.130000000000001</v>
      </c>
      <c r="I574" s="8">
        <v>7</v>
      </c>
      <c r="J574" s="8">
        <f>Table2[[#This Row],[Unit price]]*Table2[[#This Row],[Quantity]]</f>
        <v>70.910000000000011</v>
      </c>
      <c r="K574" s="8">
        <f>Table2[[#This Row],[Unit Cost]]*Table2[[#This Row],[Quantity]]</f>
        <v>0.91000000000000547</v>
      </c>
      <c r="L574" s="8">
        <f>Table2[[#This Row],[Gross Sales]]-Table2[[#This Row],[COGS]]</f>
        <v>70</v>
      </c>
      <c r="M574" s="9">
        <f t="shared" si="8"/>
        <v>0.98716683119447168</v>
      </c>
      <c r="N574" s="7">
        <v>3.5455000000000001</v>
      </c>
      <c r="O574" s="7">
        <v>74.455500000000001</v>
      </c>
      <c r="P574" s="10">
        <v>43534</v>
      </c>
      <c r="Q574" s="10" t="str">
        <f>TEXT(Table2[[#This Row],[Date]],"mmm")</f>
        <v>Mar</v>
      </c>
      <c r="R574" s="11">
        <v>0.81597222222222221</v>
      </c>
      <c r="S574" s="6" t="s">
        <v>27</v>
      </c>
      <c r="T574" s="7">
        <v>8.3000000000000007</v>
      </c>
      <c r="U574" s="6">
        <f>IF(_xlfn.XLOOKUP(A574,[1]Data2!$A:$A,[1]Data2!$B:$B,"no")="yes",1,0)</f>
        <v>1</v>
      </c>
    </row>
    <row r="575" spans="1:21" s="6" customFormat="1" x14ac:dyDescent="0.3">
      <c r="A575" s="6" t="s">
        <v>613</v>
      </c>
      <c r="B575" s="6" t="s">
        <v>46</v>
      </c>
      <c r="C575" s="6" t="s">
        <v>47</v>
      </c>
      <c r="D575" s="6" t="s">
        <v>31</v>
      </c>
      <c r="E575" s="6" t="s">
        <v>35</v>
      </c>
      <c r="F575" s="6" t="s">
        <v>48</v>
      </c>
      <c r="G575" s="7">
        <f>Table2[[#This Row],[Unit price]]-10</f>
        <v>62.39</v>
      </c>
      <c r="H575" s="7">
        <v>72.39</v>
      </c>
      <c r="I575" s="8">
        <v>2</v>
      </c>
      <c r="J575" s="8">
        <f>Table2[[#This Row],[Unit price]]*Table2[[#This Row],[Quantity]]</f>
        <v>144.78</v>
      </c>
      <c r="K575" s="8">
        <f>Table2[[#This Row],[Unit Cost]]*Table2[[#This Row],[Quantity]]</f>
        <v>124.78</v>
      </c>
      <c r="L575" s="8">
        <f>Table2[[#This Row],[Gross Sales]]-Table2[[#This Row],[COGS]]</f>
        <v>20</v>
      </c>
      <c r="M575" s="9">
        <f t="shared" si="8"/>
        <v>0.1381406271584473</v>
      </c>
      <c r="N575" s="7">
        <v>7.2389999999999999</v>
      </c>
      <c r="O575" s="7">
        <v>152.01900000000001</v>
      </c>
      <c r="P575" s="10">
        <v>43478</v>
      </c>
      <c r="Q575" s="10" t="str">
        <f>TEXT(Table2[[#This Row],[Date]],"mmm")</f>
        <v>Jan</v>
      </c>
      <c r="R575" s="11">
        <v>0.82986111111111116</v>
      </c>
      <c r="S575" s="6" t="s">
        <v>37</v>
      </c>
      <c r="T575" s="7">
        <v>8.1</v>
      </c>
      <c r="U575" s="6">
        <f>IF(_xlfn.XLOOKUP(A575,[1]Data2!$A:$A,[1]Data2!$B:$B,"no")="yes",1,0)</f>
        <v>0</v>
      </c>
    </row>
    <row r="576" spans="1:21" s="6" customFormat="1" x14ac:dyDescent="0.3">
      <c r="A576" s="6" t="s">
        <v>614</v>
      </c>
      <c r="B576" s="6" t="s">
        <v>22</v>
      </c>
      <c r="C576" s="6" t="s">
        <v>23</v>
      </c>
      <c r="D576" s="6" t="s">
        <v>31</v>
      </c>
      <c r="E576" s="6" t="s">
        <v>35</v>
      </c>
      <c r="F576" s="6" t="s">
        <v>40</v>
      </c>
      <c r="G576" s="7">
        <f>Table2[[#This Row],[Unit price]]-10</f>
        <v>75.91</v>
      </c>
      <c r="H576" s="7">
        <v>85.91</v>
      </c>
      <c r="I576" s="8">
        <v>5</v>
      </c>
      <c r="J576" s="8">
        <f>Table2[[#This Row],[Unit price]]*Table2[[#This Row],[Quantity]]</f>
        <v>429.54999999999995</v>
      </c>
      <c r="K576" s="8">
        <f>Table2[[#This Row],[Unit Cost]]*Table2[[#This Row],[Quantity]]</f>
        <v>379.54999999999995</v>
      </c>
      <c r="L576" s="8">
        <f>Table2[[#This Row],[Gross Sales]]-Table2[[#This Row],[COGS]]</f>
        <v>50</v>
      </c>
      <c r="M576" s="9">
        <f t="shared" si="8"/>
        <v>0.11640088464672332</v>
      </c>
      <c r="N576" s="7">
        <v>21.477499999999999</v>
      </c>
      <c r="O576" s="7">
        <v>451.02749999999997</v>
      </c>
      <c r="P576" s="10">
        <v>43546</v>
      </c>
      <c r="Q576" s="10" t="str">
        <f>TEXT(Table2[[#This Row],[Date]],"mmm")</f>
        <v>Mar</v>
      </c>
      <c r="R576" s="11">
        <v>0.60625000000000007</v>
      </c>
      <c r="S576" s="6" t="s">
        <v>37</v>
      </c>
      <c r="T576" s="7">
        <v>8.6</v>
      </c>
      <c r="U576" s="6">
        <f>IF(_xlfn.XLOOKUP(A576,[1]Data2!$A:$A,[1]Data2!$B:$B,"no")="yes",1,0)</f>
        <v>0</v>
      </c>
    </row>
    <row r="577" spans="1:21" s="6" customFormat="1" x14ac:dyDescent="0.3">
      <c r="A577" s="6" t="s">
        <v>615</v>
      </c>
      <c r="B577" s="6" t="s">
        <v>46</v>
      </c>
      <c r="C577" s="6" t="s">
        <v>47</v>
      </c>
      <c r="D577" s="6" t="s">
        <v>24</v>
      </c>
      <c r="E577" s="6" t="s">
        <v>35</v>
      </c>
      <c r="F577" s="6" t="s">
        <v>50</v>
      </c>
      <c r="G577" s="7">
        <f>Table2[[#This Row],[Unit price]]-10</f>
        <v>71.31</v>
      </c>
      <c r="H577" s="7">
        <v>81.31</v>
      </c>
      <c r="I577" s="8">
        <v>7</v>
      </c>
      <c r="J577" s="8">
        <f>Table2[[#This Row],[Unit price]]*Table2[[#This Row],[Quantity]]</f>
        <v>569.17000000000007</v>
      </c>
      <c r="K577" s="8">
        <f>Table2[[#This Row],[Unit Cost]]*Table2[[#This Row],[Quantity]]</f>
        <v>499.17</v>
      </c>
      <c r="L577" s="8">
        <f>Table2[[#This Row],[Gross Sales]]-Table2[[#This Row],[COGS]]</f>
        <v>70.000000000000057</v>
      </c>
      <c r="M577" s="9">
        <f t="shared" si="8"/>
        <v>0.12298610257040962</v>
      </c>
      <c r="N577" s="7">
        <v>28.458500000000001</v>
      </c>
      <c r="O577" s="7">
        <v>597.62850000000003</v>
      </c>
      <c r="P577" s="10">
        <v>43525</v>
      </c>
      <c r="Q577" s="10" t="str">
        <f>TEXT(Table2[[#This Row],[Date]],"mmm")</f>
        <v>Mar</v>
      </c>
      <c r="R577" s="11">
        <v>0.8256944444444444</v>
      </c>
      <c r="S577" s="6" t="s">
        <v>27</v>
      </c>
      <c r="T577" s="7">
        <v>6.3</v>
      </c>
      <c r="U577" s="6">
        <f>IF(_xlfn.XLOOKUP(A577,[1]Data2!$A:$A,[1]Data2!$B:$B,"no")="yes",1,0)</f>
        <v>0</v>
      </c>
    </row>
    <row r="578" spans="1:21" s="6" customFormat="1" x14ac:dyDescent="0.3">
      <c r="A578" s="6" t="s">
        <v>616</v>
      </c>
      <c r="B578" s="6" t="s">
        <v>46</v>
      </c>
      <c r="C578" s="6" t="s">
        <v>47</v>
      </c>
      <c r="D578" s="6" t="s">
        <v>31</v>
      </c>
      <c r="E578" s="6" t="s">
        <v>35</v>
      </c>
      <c r="F578" s="6" t="s">
        <v>48</v>
      </c>
      <c r="G578" s="7">
        <f>Table2[[#This Row],[Unit price]]-10</f>
        <v>50.3</v>
      </c>
      <c r="H578" s="7">
        <v>60.3</v>
      </c>
      <c r="I578" s="8">
        <v>4</v>
      </c>
      <c r="J578" s="8">
        <f>Table2[[#This Row],[Unit price]]*Table2[[#This Row],[Quantity]]</f>
        <v>241.2</v>
      </c>
      <c r="K578" s="8">
        <f>Table2[[#This Row],[Unit Cost]]*Table2[[#This Row],[Quantity]]</f>
        <v>201.2</v>
      </c>
      <c r="L578" s="8">
        <f>Table2[[#This Row],[Gross Sales]]-Table2[[#This Row],[COGS]]</f>
        <v>40</v>
      </c>
      <c r="M578" s="9">
        <f t="shared" si="8"/>
        <v>0.16583747927031509</v>
      </c>
      <c r="N578" s="7">
        <v>12.06</v>
      </c>
      <c r="O578" s="7">
        <v>253.26</v>
      </c>
      <c r="P578" s="10">
        <v>43516</v>
      </c>
      <c r="Q578" s="10" t="str">
        <f>TEXT(Table2[[#This Row],[Date]],"mmm")</f>
        <v>Feb</v>
      </c>
      <c r="R578" s="11">
        <v>0.77986111111111101</v>
      </c>
      <c r="S578" s="6" t="s">
        <v>33</v>
      </c>
      <c r="T578" s="7">
        <v>5.8</v>
      </c>
      <c r="U578" s="6">
        <f>IF(_xlfn.XLOOKUP(A578,[1]Data2!$A:$A,[1]Data2!$B:$B,"no")="yes",1,0)</f>
        <v>1</v>
      </c>
    </row>
    <row r="579" spans="1:21" s="6" customFormat="1" x14ac:dyDescent="0.3">
      <c r="A579" s="6" t="s">
        <v>617</v>
      </c>
      <c r="B579" s="6" t="s">
        <v>29</v>
      </c>
      <c r="C579" s="6" t="s">
        <v>30</v>
      </c>
      <c r="D579" s="6" t="s">
        <v>31</v>
      </c>
      <c r="E579" s="6" t="s">
        <v>35</v>
      </c>
      <c r="F579" s="6" t="s">
        <v>48</v>
      </c>
      <c r="G579" s="7">
        <f>Table2[[#This Row],[Unit price]]-10</f>
        <v>21.77</v>
      </c>
      <c r="H579" s="7">
        <v>31.77</v>
      </c>
      <c r="I579" s="8">
        <v>4</v>
      </c>
      <c r="J579" s="8">
        <f>Table2[[#This Row],[Unit price]]*Table2[[#This Row],[Quantity]]</f>
        <v>127.08</v>
      </c>
      <c r="K579" s="8">
        <f>Table2[[#This Row],[Unit Cost]]*Table2[[#This Row],[Quantity]]</f>
        <v>87.08</v>
      </c>
      <c r="L579" s="8">
        <f>Table2[[#This Row],[Gross Sales]]-Table2[[#This Row],[COGS]]</f>
        <v>40</v>
      </c>
      <c r="M579" s="9">
        <f t="shared" ref="M579:M642" si="9">IFERROR(L579/J579,0)</f>
        <v>0.31476235442241107</v>
      </c>
      <c r="N579" s="7">
        <v>6.3540000000000001</v>
      </c>
      <c r="O579" s="7">
        <v>133.434</v>
      </c>
      <c r="P579" s="10">
        <v>43479</v>
      </c>
      <c r="Q579" s="10" t="str">
        <f>TEXT(Table2[[#This Row],[Date]],"mmm")</f>
        <v>Jan</v>
      </c>
      <c r="R579" s="11">
        <v>0.61319444444444449</v>
      </c>
      <c r="S579" s="6" t="s">
        <v>27</v>
      </c>
      <c r="T579" s="7">
        <v>6.2</v>
      </c>
      <c r="U579" s="6">
        <f>IF(_xlfn.XLOOKUP(A579,[1]Data2!$A:$A,[1]Data2!$B:$B,"no")="yes",1,0)</f>
        <v>0</v>
      </c>
    </row>
    <row r="580" spans="1:21" s="6" customFormat="1" x14ac:dyDescent="0.3">
      <c r="A580" s="6" t="s">
        <v>618</v>
      </c>
      <c r="B580" s="6" t="s">
        <v>22</v>
      </c>
      <c r="C580" s="6" t="s">
        <v>23</v>
      </c>
      <c r="D580" s="6" t="s">
        <v>31</v>
      </c>
      <c r="E580" s="6" t="s">
        <v>25</v>
      </c>
      <c r="F580" s="6" t="s">
        <v>26</v>
      </c>
      <c r="G580" s="7">
        <f>Table2[[#This Row],[Unit price]]-10</f>
        <v>54.269999999999996</v>
      </c>
      <c r="H580" s="7">
        <v>64.27</v>
      </c>
      <c r="I580" s="8">
        <v>4</v>
      </c>
      <c r="J580" s="8">
        <f>Table2[[#This Row],[Unit price]]*Table2[[#This Row],[Quantity]]</f>
        <v>257.08</v>
      </c>
      <c r="K580" s="8">
        <f>Table2[[#This Row],[Unit Cost]]*Table2[[#This Row],[Quantity]]</f>
        <v>217.07999999999998</v>
      </c>
      <c r="L580" s="8">
        <f>Table2[[#This Row],[Gross Sales]]-Table2[[#This Row],[COGS]]</f>
        <v>40</v>
      </c>
      <c r="M580" s="9">
        <f t="shared" si="9"/>
        <v>0.15559358954411079</v>
      </c>
      <c r="N580" s="7">
        <v>12.853999999999999</v>
      </c>
      <c r="O580" s="7">
        <v>269.93400000000003</v>
      </c>
      <c r="P580" s="10">
        <v>43550</v>
      </c>
      <c r="Q580" s="10" t="str">
        <f>TEXT(Table2[[#This Row],[Date]],"mmm")</f>
        <v>Mar</v>
      </c>
      <c r="R580" s="11">
        <v>0.57916666666666672</v>
      </c>
      <c r="S580" s="6" t="s">
        <v>33</v>
      </c>
      <c r="T580" s="7">
        <v>7.7</v>
      </c>
      <c r="U580" s="6">
        <f>IF(_xlfn.XLOOKUP(A580,[1]Data2!$A:$A,[1]Data2!$B:$B,"no")="yes",1,0)</f>
        <v>0</v>
      </c>
    </row>
    <row r="581" spans="1:21" s="6" customFormat="1" x14ac:dyDescent="0.3">
      <c r="A581" s="6" t="s">
        <v>619</v>
      </c>
      <c r="B581" s="6" t="s">
        <v>46</v>
      </c>
      <c r="C581" s="6" t="s">
        <v>47</v>
      </c>
      <c r="D581" s="6" t="s">
        <v>31</v>
      </c>
      <c r="E581" s="6" t="s">
        <v>35</v>
      </c>
      <c r="F581" s="6" t="s">
        <v>26</v>
      </c>
      <c r="G581" s="7">
        <f>Table2[[#This Row],[Unit price]]-10</f>
        <v>59.510000000000005</v>
      </c>
      <c r="H581" s="7">
        <v>69.510000000000005</v>
      </c>
      <c r="I581" s="8">
        <v>2</v>
      </c>
      <c r="J581" s="8">
        <f>Table2[[#This Row],[Unit price]]*Table2[[#This Row],[Quantity]]</f>
        <v>139.02000000000001</v>
      </c>
      <c r="K581" s="8">
        <f>Table2[[#This Row],[Unit Cost]]*Table2[[#This Row],[Quantity]]</f>
        <v>119.02000000000001</v>
      </c>
      <c r="L581" s="8">
        <f>Table2[[#This Row],[Gross Sales]]-Table2[[#This Row],[COGS]]</f>
        <v>20</v>
      </c>
      <c r="M581" s="9">
        <f t="shared" si="9"/>
        <v>0.14386419220256078</v>
      </c>
      <c r="N581" s="7">
        <v>6.9509999999999996</v>
      </c>
      <c r="O581" s="7">
        <v>145.971</v>
      </c>
      <c r="P581" s="10">
        <v>43525</v>
      </c>
      <c r="Q581" s="10" t="str">
        <f>TEXT(Table2[[#This Row],[Date]],"mmm")</f>
        <v>Mar</v>
      </c>
      <c r="R581" s="11">
        <v>0.51041666666666663</v>
      </c>
      <c r="S581" s="6" t="s">
        <v>27</v>
      </c>
      <c r="T581" s="7">
        <v>8.1</v>
      </c>
      <c r="U581" s="6">
        <f>IF(_xlfn.XLOOKUP(A581,[1]Data2!$A:$A,[1]Data2!$B:$B,"no")="yes",1,0)</f>
        <v>0</v>
      </c>
    </row>
    <row r="582" spans="1:21" s="6" customFormat="1" x14ac:dyDescent="0.3">
      <c r="A582" s="6" t="s">
        <v>620</v>
      </c>
      <c r="B582" s="6" t="s">
        <v>29</v>
      </c>
      <c r="C582" s="6" t="s">
        <v>30</v>
      </c>
      <c r="D582" s="6" t="s">
        <v>31</v>
      </c>
      <c r="E582" s="6" t="s">
        <v>35</v>
      </c>
      <c r="F582" s="6" t="s">
        <v>48</v>
      </c>
      <c r="G582" s="7">
        <f>Table2[[#This Row],[Unit price]]-10</f>
        <v>17.22</v>
      </c>
      <c r="H582" s="7">
        <v>27.22</v>
      </c>
      <c r="I582" s="8">
        <v>3</v>
      </c>
      <c r="J582" s="8">
        <f>Table2[[#This Row],[Unit price]]*Table2[[#This Row],[Quantity]]</f>
        <v>81.66</v>
      </c>
      <c r="K582" s="8">
        <f>Table2[[#This Row],[Unit Cost]]*Table2[[#This Row],[Quantity]]</f>
        <v>51.66</v>
      </c>
      <c r="L582" s="8">
        <f>Table2[[#This Row],[Gross Sales]]-Table2[[#This Row],[COGS]]</f>
        <v>30</v>
      </c>
      <c r="M582" s="9">
        <f t="shared" si="9"/>
        <v>0.36737692872887584</v>
      </c>
      <c r="N582" s="7">
        <v>4.0830000000000002</v>
      </c>
      <c r="O582" s="7">
        <v>85.742999999999995</v>
      </c>
      <c r="P582" s="10">
        <v>43472</v>
      </c>
      <c r="Q582" s="10" t="str">
        <f>TEXT(Table2[[#This Row],[Date]],"mmm")</f>
        <v>Jan</v>
      </c>
      <c r="R582" s="11">
        <v>0.52569444444444446</v>
      </c>
      <c r="S582" s="6" t="s">
        <v>33</v>
      </c>
      <c r="T582" s="7">
        <v>7.3</v>
      </c>
      <c r="U582" s="6">
        <f>IF(_xlfn.XLOOKUP(A582,[1]Data2!$A:$A,[1]Data2!$B:$B,"no")="yes",1,0)</f>
        <v>1</v>
      </c>
    </row>
    <row r="583" spans="1:21" s="6" customFormat="1" x14ac:dyDescent="0.3">
      <c r="A583" s="6" t="s">
        <v>621</v>
      </c>
      <c r="B583" s="6" t="s">
        <v>22</v>
      </c>
      <c r="C583" s="6" t="s">
        <v>23</v>
      </c>
      <c r="D583" s="6" t="s">
        <v>24</v>
      </c>
      <c r="E583" s="6" t="s">
        <v>25</v>
      </c>
      <c r="F583" s="6" t="s">
        <v>26</v>
      </c>
      <c r="G583" s="7">
        <f>Table2[[#This Row],[Unit price]]-10</f>
        <v>67.680000000000007</v>
      </c>
      <c r="H583" s="7">
        <v>77.680000000000007</v>
      </c>
      <c r="I583" s="8">
        <v>4</v>
      </c>
      <c r="J583" s="8">
        <f>Table2[[#This Row],[Unit price]]*Table2[[#This Row],[Quantity]]</f>
        <v>310.72000000000003</v>
      </c>
      <c r="K583" s="8">
        <f>Table2[[#This Row],[Unit Cost]]*Table2[[#This Row],[Quantity]]</f>
        <v>270.72000000000003</v>
      </c>
      <c r="L583" s="8">
        <f>Table2[[#This Row],[Gross Sales]]-Table2[[#This Row],[COGS]]</f>
        <v>40</v>
      </c>
      <c r="M583" s="9">
        <f t="shared" si="9"/>
        <v>0.12873326467559215</v>
      </c>
      <c r="N583" s="7">
        <v>15.536</v>
      </c>
      <c r="O583" s="7">
        <v>326.25599999999997</v>
      </c>
      <c r="P583" s="10">
        <v>43497</v>
      </c>
      <c r="Q583" s="10" t="str">
        <f>TEXT(Table2[[#This Row],[Date]],"mmm")</f>
        <v>Feb</v>
      </c>
      <c r="R583" s="11">
        <v>0.82916666666666661</v>
      </c>
      <c r="S583" s="6" t="s">
        <v>33</v>
      </c>
      <c r="T583" s="7">
        <v>8.4</v>
      </c>
      <c r="U583" s="6">
        <f>IF(_xlfn.XLOOKUP(A583,[1]Data2!$A:$A,[1]Data2!$B:$B,"no")="yes",1,0)</f>
        <v>0</v>
      </c>
    </row>
    <row r="584" spans="1:21" s="6" customFormat="1" x14ac:dyDescent="0.3">
      <c r="A584" s="6" t="s">
        <v>622</v>
      </c>
      <c r="B584" s="6" t="s">
        <v>29</v>
      </c>
      <c r="C584" s="6" t="s">
        <v>30</v>
      </c>
      <c r="D584" s="6" t="s">
        <v>24</v>
      </c>
      <c r="E584" s="6" t="s">
        <v>25</v>
      </c>
      <c r="F584" s="6" t="s">
        <v>50</v>
      </c>
      <c r="G584" s="7">
        <f>Table2[[#This Row],[Unit price]]-10</f>
        <v>82.98</v>
      </c>
      <c r="H584" s="7">
        <v>92.98</v>
      </c>
      <c r="I584" s="8">
        <v>2</v>
      </c>
      <c r="J584" s="8">
        <f>Table2[[#This Row],[Unit price]]*Table2[[#This Row],[Quantity]]</f>
        <v>185.96</v>
      </c>
      <c r="K584" s="8">
        <f>Table2[[#This Row],[Unit Cost]]*Table2[[#This Row],[Quantity]]</f>
        <v>165.96</v>
      </c>
      <c r="L584" s="8">
        <f>Table2[[#This Row],[Gross Sales]]-Table2[[#This Row],[COGS]]</f>
        <v>20</v>
      </c>
      <c r="M584" s="9">
        <f t="shared" si="9"/>
        <v>0.10755001075500108</v>
      </c>
      <c r="N584" s="7">
        <v>9.298</v>
      </c>
      <c r="O584" s="7">
        <v>195.25800000000001</v>
      </c>
      <c r="P584" s="10">
        <v>43509</v>
      </c>
      <c r="Q584" s="10" t="str">
        <f>TEXT(Table2[[#This Row],[Date]],"mmm")</f>
        <v>Feb</v>
      </c>
      <c r="R584" s="11">
        <v>0.62916666666666665</v>
      </c>
      <c r="S584" s="6" t="s">
        <v>37</v>
      </c>
      <c r="T584" s="7">
        <v>8</v>
      </c>
      <c r="U584" s="6">
        <f>IF(_xlfn.XLOOKUP(A584,[1]Data2!$A:$A,[1]Data2!$B:$B,"no")="yes",1,0)</f>
        <v>0</v>
      </c>
    </row>
    <row r="585" spans="1:21" s="6" customFormat="1" x14ac:dyDescent="0.3">
      <c r="A585" s="6" t="s">
        <v>623</v>
      </c>
      <c r="B585" s="6" t="s">
        <v>46</v>
      </c>
      <c r="C585" s="6" t="s">
        <v>47</v>
      </c>
      <c r="D585" s="6" t="s">
        <v>24</v>
      </c>
      <c r="E585" s="6" t="s">
        <v>25</v>
      </c>
      <c r="F585" s="6" t="s">
        <v>50</v>
      </c>
      <c r="G585" s="7">
        <f>Table2[[#This Row],[Unit price]]-10</f>
        <v>8.0799999999999983</v>
      </c>
      <c r="H585" s="7">
        <v>18.079999999999998</v>
      </c>
      <c r="I585" s="8">
        <v>4</v>
      </c>
      <c r="J585" s="8">
        <f>Table2[[#This Row],[Unit price]]*Table2[[#This Row],[Quantity]]</f>
        <v>72.319999999999993</v>
      </c>
      <c r="K585" s="8">
        <f>Table2[[#This Row],[Unit Cost]]*Table2[[#This Row],[Quantity]]</f>
        <v>32.319999999999993</v>
      </c>
      <c r="L585" s="8">
        <f>Table2[[#This Row],[Gross Sales]]-Table2[[#This Row],[COGS]]</f>
        <v>40</v>
      </c>
      <c r="M585" s="9">
        <f t="shared" si="9"/>
        <v>0.55309734513274345</v>
      </c>
      <c r="N585" s="7">
        <v>3.6160000000000001</v>
      </c>
      <c r="O585" s="7">
        <v>75.936000000000007</v>
      </c>
      <c r="P585" s="10">
        <v>43479</v>
      </c>
      <c r="Q585" s="10" t="str">
        <f>TEXT(Table2[[#This Row],[Date]],"mmm")</f>
        <v>Jan</v>
      </c>
      <c r="R585" s="11">
        <v>0.75208333333333333</v>
      </c>
      <c r="S585" s="6" t="s">
        <v>37</v>
      </c>
      <c r="T585" s="7">
        <v>9.5</v>
      </c>
      <c r="U585" s="6">
        <f>IF(_xlfn.XLOOKUP(A585,[1]Data2!$A:$A,[1]Data2!$B:$B,"no")="yes",1,0)</f>
        <v>0</v>
      </c>
    </row>
    <row r="586" spans="1:21" s="6" customFormat="1" x14ac:dyDescent="0.3">
      <c r="A586" s="6" t="s">
        <v>624</v>
      </c>
      <c r="B586" s="6" t="s">
        <v>46</v>
      </c>
      <c r="C586" s="6" t="s">
        <v>47</v>
      </c>
      <c r="D586" s="6" t="s">
        <v>31</v>
      </c>
      <c r="E586" s="6" t="s">
        <v>35</v>
      </c>
      <c r="F586" s="6" t="s">
        <v>40</v>
      </c>
      <c r="G586" s="7">
        <f>Table2[[#This Row],[Unit price]]-10</f>
        <v>53.06</v>
      </c>
      <c r="H586" s="7">
        <v>63.06</v>
      </c>
      <c r="I586" s="8">
        <v>3</v>
      </c>
      <c r="J586" s="8">
        <f>Table2[[#This Row],[Unit price]]*Table2[[#This Row],[Quantity]]</f>
        <v>189.18</v>
      </c>
      <c r="K586" s="8">
        <f>Table2[[#This Row],[Unit Cost]]*Table2[[#This Row],[Quantity]]</f>
        <v>159.18</v>
      </c>
      <c r="L586" s="8">
        <f>Table2[[#This Row],[Gross Sales]]-Table2[[#This Row],[COGS]]</f>
        <v>30</v>
      </c>
      <c r="M586" s="9">
        <f t="shared" si="9"/>
        <v>0.1585791309863622</v>
      </c>
      <c r="N586" s="7">
        <v>9.4589999999999996</v>
      </c>
      <c r="O586" s="7">
        <v>198.63900000000001</v>
      </c>
      <c r="P586" s="10">
        <v>43484</v>
      </c>
      <c r="Q586" s="10" t="str">
        <f>TEXT(Table2[[#This Row],[Date]],"mmm")</f>
        <v>Jan</v>
      </c>
      <c r="R586" s="11">
        <v>0.66527777777777775</v>
      </c>
      <c r="S586" s="6" t="s">
        <v>27</v>
      </c>
      <c r="T586" s="7">
        <v>7</v>
      </c>
      <c r="U586" s="6">
        <f>IF(_xlfn.XLOOKUP(A586,[1]Data2!$A:$A,[1]Data2!$B:$B,"no")="yes",1,0)</f>
        <v>1</v>
      </c>
    </row>
    <row r="587" spans="1:21" s="6" customFormat="1" x14ac:dyDescent="0.3">
      <c r="A587" s="6" t="s">
        <v>625</v>
      </c>
      <c r="B587" s="6" t="s">
        <v>22</v>
      </c>
      <c r="C587" s="6" t="s">
        <v>23</v>
      </c>
      <c r="D587" s="6" t="s">
        <v>31</v>
      </c>
      <c r="E587" s="6" t="s">
        <v>35</v>
      </c>
      <c r="F587" s="6" t="s">
        <v>26</v>
      </c>
      <c r="G587" s="7">
        <f>Table2[[#This Row],[Unit price]]-10</f>
        <v>41.71</v>
      </c>
      <c r="H587" s="7">
        <v>51.71</v>
      </c>
      <c r="I587" s="8">
        <v>4</v>
      </c>
      <c r="J587" s="8">
        <f>Table2[[#This Row],[Unit price]]*Table2[[#This Row],[Quantity]]</f>
        <v>206.84</v>
      </c>
      <c r="K587" s="8">
        <f>Table2[[#This Row],[Unit Cost]]*Table2[[#This Row],[Quantity]]</f>
        <v>166.84</v>
      </c>
      <c r="L587" s="8">
        <f>Table2[[#This Row],[Gross Sales]]-Table2[[#This Row],[COGS]]</f>
        <v>40</v>
      </c>
      <c r="M587" s="9">
        <f t="shared" si="9"/>
        <v>0.19338619222587508</v>
      </c>
      <c r="N587" s="7">
        <v>10.342000000000001</v>
      </c>
      <c r="O587" s="7">
        <v>217.18199999999999</v>
      </c>
      <c r="P587" s="10">
        <v>43533</v>
      </c>
      <c r="Q587" s="10" t="str">
        <f>TEXT(Table2[[#This Row],[Date]],"mmm")</f>
        <v>Mar</v>
      </c>
      <c r="R587" s="11">
        <v>0.57847222222222217</v>
      </c>
      <c r="S587" s="6" t="s">
        <v>37</v>
      </c>
      <c r="T587" s="7">
        <v>9.8000000000000007</v>
      </c>
      <c r="U587" s="6">
        <f>IF(_xlfn.XLOOKUP(A587,[1]Data2!$A:$A,[1]Data2!$B:$B,"no")="yes",1,0)</f>
        <v>0</v>
      </c>
    </row>
    <row r="588" spans="1:21" s="6" customFormat="1" x14ac:dyDescent="0.3">
      <c r="A588" s="6" t="s">
        <v>626</v>
      </c>
      <c r="B588" s="6" t="s">
        <v>22</v>
      </c>
      <c r="C588" s="6" t="s">
        <v>23</v>
      </c>
      <c r="D588" s="6" t="s">
        <v>31</v>
      </c>
      <c r="E588" s="6" t="s">
        <v>25</v>
      </c>
      <c r="F588" s="6" t="s">
        <v>48</v>
      </c>
      <c r="G588" s="7">
        <f>Table2[[#This Row],[Unit price]]-10</f>
        <v>42.34</v>
      </c>
      <c r="H588" s="7">
        <v>52.34</v>
      </c>
      <c r="I588" s="8">
        <v>3</v>
      </c>
      <c r="J588" s="8">
        <f>Table2[[#This Row],[Unit price]]*Table2[[#This Row],[Quantity]]</f>
        <v>157.02000000000001</v>
      </c>
      <c r="K588" s="8">
        <f>Table2[[#This Row],[Unit Cost]]*Table2[[#This Row],[Quantity]]</f>
        <v>127.02000000000001</v>
      </c>
      <c r="L588" s="8">
        <f>Table2[[#This Row],[Gross Sales]]-Table2[[#This Row],[COGS]]</f>
        <v>30</v>
      </c>
      <c r="M588" s="9">
        <f t="shared" si="9"/>
        <v>0.19105846388995032</v>
      </c>
      <c r="N588" s="7">
        <v>7.851</v>
      </c>
      <c r="O588" s="7">
        <v>164.87100000000001</v>
      </c>
      <c r="P588" s="10">
        <v>43551</v>
      </c>
      <c r="Q588" s="10" t="str">
        <f>TEXT(Table2[[#This Row],[Date]],"mmm")</f>
        <v>Mar</v>
      </c>
      <c r="R588" s="11">
        <v>0.5854166666666667</v>
      </c>
      <c r="S588" s="6" t="s">
        <v>33</v>
      </c>
      <c r="T588" s="7">
        <v>9.1999999999999993</v>
      </c>
      <c r="U588" s="6">
        <f>IF(_xlfn.XLOOKUP(A588,[1]Data2!$A:$A,[1]Data2!$B:$B,"no")="yes",1,0)</f>
        <v>0</v>
      </c>
    </row>
    <row r="589" spans="1:21" s="6" customFormat="1" x14ac:dyDescent="0.3">
      <c r="A589" s="6" t="s">
        <v>627</v>
      </c>
      <c r="B589" s="6" t="s">
        <v>22</v>
      </c>
      <c r="C589" s="6" t="s">
        <v>23</v>
      </c>
      <c r="D589" s="6" t="s">
        <v>31</v>
      </c>
      <c r="E589" s="6" t="s">
        <v>25</v>
      </c>
      <c r="F589" s="6" t="s">
        <v>40</v>
      </c>
      <c r="G589" s="7">
        <f>Table2[[#This Row],[Unit price]]-10</f>
        <v>33.06</v>
      </c>
      <c r="H589" s="7">
        <v>43.06</v>
      </c>
      <c r="I589" s="8">
        <v>5</v>
      </c>
      <c r="J589" s="8">
        <f>Table2[[#This Row],[Unit price]]*Table2[[#This Row],[Quantity]]</f>
        <v>215.3</v>
      </c>
      <c r="K589" s="8">
        <f>Table2[[#This Row],[Unit Cost]]*Table2[[#This Row],[Quantity]]</f>
        <v>165.3</v>
      </c>
      <c r="L589" s="8">
        <f>Table2[[#This Row],[Gross Sales]]-Table2[[#This Row],[COGS]]</f>
        <v>50</v>
      </c>
      <c r="M589" s="9">
        <f t="shared" si="9"/>
        <v>0.23223409196470041</v>
      </c>
      <c r="N589" s="7">
        <v>10.765000000000001</v>
      </c>
      <c r="O589" s="7">
        <v>226.065</v>
      </c>
      <c r="P589" s="10">
        <v>43500</v>
      </c>
      <c r="Q589" s="10" t="str">
        <f>TEXT(Table2[[#This Row],[Date]],"mmm")</f>
        <v>Feb</v>
      </c>
      <c r="R589" s="11">
        <v>0.69305555555555554</v>
      </c>
      <c r="S589" s="6" t="s">
        <v>27</v>
      </c>
      <c r="T589" s="7">
        <v>7.7</v>
      </c>
      <c r="U589" s="6">
        <f>IF(_xlfn.XLOOKUP(A589,[1]Data2!$A:$A,[1]Data2!$B:$B,"no")="yes",1,0)</f>
        <v>0</v>
      </c>
    </row>
    <row r="590" spans="1:21" s="6" customFormat="1" x14ac:dyDescent="0.3">
      <c r="A590" s="6" t="s">
        <v>628</v>
      </c>
      <c r="B590" s="6" t="s">
        <v>29</v>
      </c>
      <c r="C590" s="6" t="s">
        <v>30</v>
      </c>
      <c r="D590" s="6" t="s">
        <v>31</v>
      </c>
      <c r="E590" s="6" t="s">
        <v>35</v>
      </c>
      <c r="F590" s="6" t="s">
        <v>50</v>
      </c>
      <c r="G590" s="7">
        <f>Table2[[#This Row],[Unit price]]-10</f>
        <v>49.61</v>
      </c>
      <c r="H590" s="7">
        <v>59.61</v>
      </c>
      <c r="I590" s="8">
        <v>10</v>
      </c>
      <c r="J590" s="8">
        <f>Table2[[#This Row],[Unit price]]*Table2[[#This Row],[Quantity]]</f>
        <v>596.1</v>
      </c>
      <c r="K590" s="8">
        <f>Table2[[#This Row],[Unit Cost]]*Table2[[#This Row],[Quantity]]</f>
        <v>496.1</v>
      </c>
      <c r="L590" s="8">
        <f>Table2[[#This Row],[Gross Sales]]-Table2[[#This Row],[COGS]]</f>
        <v>100</v>
      </c>
      <c r="M590" s="9">
        <f t="shared" si="9"/>
        <v>0.16775708773695688</v>
      </c>
      <c r="N590" s="7">
        <v>29.805</v>
      </c>
      <c r="O590" s="7">
        <v>625.90499999999997</v>
      </c>
      <c r="P590" s="10">
        <v>43538</v>
      </c>
      <c r="Q590" s="10" t="str">
        <f>TEXT(Table2[[#This Row],[Date]],"mmm")</f>
        <v>Mar</v>
      </c>
      <c r="R590" s="11">
        <v>0.46319444444444446</v>
      </c>
      <c r="S590" s="6" t="s">
        <v>33</v>
      </c>
      <c r="T590" s="7">
        <v>5.3</v>
      </c>
      <c r="U590" s="6">
        <f>IF(_xlfn.XLOOKUP(A590,[1]Data2!$A:$A,[1]Data2!$B:$B,"no")="yes",1,0)</f>
        <v>1</v>
      </c>
    </row>
    <row r="591" spans="1:21" s="6" customFormat="1" x14ac:dyDescent="0.3">
      <c r="A591" s="6" t="s">
        <v>629</v>
      </c>
      <c r="B591" s="6" t="s">
        <v>22</v>
      </c>
      <c r="C591" s="6" t="s">
        <v>23</v>
      </c>
      <c r="D591" s="6" t="s">
        <v>31</v>
      </c>
      <c r="E591" s="6" t="s">
        <v>35</v>
      </c>
      <c r="F591" s="6" t="s">
        <v>26</v>
      </c>
      <c r="G591" s="7">
        <f>Table2[[#This Row],[Unit price]]-10</f>
        <v>4.6199999999999992</v>
      </c>
      <c r="H591" s="7">
        <v>14.62</v>
      </c>
      <c r="I591" s="8">
        <v>5</v>
      </c>
      <c r="J591" s="8">
        <f>Table2[[#This Row],[Unit price]]*Table2[[#This Row],[Quantity]]</f>
        <v>73.099999999999994</v>
      </c>
      <c r="K591" s="8">
        <f>Table2[[#This Row],[Unit Cost]]*Table2[[#This Row],[Quantity]]</f>
        <v>23.099999999999994</v>
      </c>
      <c r="L591" s="8">
        <f>Table2[[#This Row],[Gross Sales]]-Table2[[#This Row],[COGS]]</f>
        <v>50</v>
      </c>
      <c r="M591" s="9">
        <f t="shared" si="9"/>
        <v>0.6839945280437757</v>
      </c>
      <c r="N591" s="7">
        <v>3.6549999999999998</v>
      </c>
      <c r="O591" s="7">
        <v>76.754999999999995</v>
      </c>
      <c r="P591" s="10">
        <v>43528</v>
      </c>
      <c r="Q591" s="10" t="str">
        <f>TEXT(Table2[[#This Row],[Date]],"mmm")</f>
        <v>Mar</v>
      </c>
      <c r="R591" s="11">
        <v>0.51597222222222217</v>
      </c>
      <c r="S591" s="6" t="s">
        <v>33</v>
      </c>
      <c r="T591" s="7">
        <v>4.4000000000000004</v>
      </c>
      <c r="U591" s="6">
        <f>IF(_xlfn.XLOOKUP(A591,[1]Data2!$A:$A,[1]Data2!$B:$B,"no")="yes",1,0)</f>
        <v>0</v>
      </c>
    </row>
    <row r="592" spans="1:21" s="6" customFormat="1" x14ac:dyDescent="0.3">
      <c r="A592" s="6" t="s">
        <v>630</v>
      </c>
      <c r="B592" s="6" t="s">
        <v>29</v>
      </c>
      <c r="C592" s="6" t="s">
        <v>30</v>
      </c>
      <c r="D592" s="6" t="s">
        <v>24</v>
      </c>
      <c r="E592" s="6" t="s">
        <v>35</v>
      </c>
      <c r="F592" s="6" t="s">
        <v>26</v>
      </c>
      <c r="G592" s="7">
        <f>Table2[[#This Row],[Unit price]]-10</f>
        <v>36.53</v>
      </c>
      <c r="H592" s="7">
        <v>46.53</v>
      </c>
      <c r="I592" s="8">
        <v>6</v>
      </c>
      <c r="J592" s="8">
        <f>Table2[[#This Row],[Unit price]]*Table2[[#This Row],[Quantity]]</f>
        <v>279.18</v>
      </c>
      <c r="K592" s="8">
        <f>Table2[[#This Row],[Unit Cost]]*Table2[[#This Row],[Quantity]]</f>
        <v>219.18</v>
      </c>
      <c r="L592" s="8">
        <f>Table2[[#This Row],[Gross Sales]]-Table2[[#This Row],[COGS]]</f>
        <v>60</v>
      </c>
      <c r="M592" s="9">
        <f t="shared" si="9"/>
        <v>0.21491510853212981</v>
      </c>
      <c r="N592" s="7">
        <v>13.959</v>
      </c>
      <c r="O592" s="7">
        <v>293.13900000000001</v>
      </c>
      <c r="P592" s="10">
        <v>43527</v>
      </c>
      <c r="Q592" s="10" t="str">
        <f>TEXT(Table2[[#This Row],[Date]],"mmm")</f>
        <v>Mar</v>
      </c>
      <c r="R592" s="11">
        <v>0.45416666666666666</v>
      </c>
      <c r="S592" s="6" t="s">
        <v>37</v>
      </c>
      <c r="T592" s="7">
        <v>4.3</v>
      </c>
      <c r="U592" s="6">
        <f>IF(_xlfn.XLOOKUP(A592,[1]Data2!$A:$A,[1]Data2!$B:$B,"no")="yes",1,0)</f>
        <v>0</v>
      </c>
    </row>
    <row r="593" spans="1:21" s="6" customFormat="1" x14ac:dyDescent="0.3">
      <c r="A593" s="6" t="s">
        <v>631</v>
      </c>
      <c r="B593" s="6" t="s">
        <v>29</v>
      </c>
      <c r="C593" s="6" t="s">
        <v>30</v>
      </c>
      <c r="D593" s="6" t="s">
        <v>24</v>
      </c>
      <c r="E593" s="6" t="s">
        <v>25</v>
      </c>
      <c r="F593" s="6" t="s">
        <v>36</v>
      </c>
      <c r="G593" s="7">
        <f>Table2[[#This Row],[Unit price]]-10</f>
        <v>14.239999999999998</v>
      </c>
      <c r="H593" s="7">
        <v>24.24</v>
      </c>
      <c r="I593" s="8">
        <v>7</v>
      </c>
      <c r="J593" s="8">
        <f>Table2[[#This Row],[Unit price]]*Table2[[#This Row],[Quantity]]</f>
        <v>169.67999999999998</v>
      </c>
      <c r="K593" s="8">
        <f>Table2[[#This Row],[Unit Cost]]*Table2[[#This Row],[Quantity]]</f>
        <v>99.679999999999993</v>
      </c>
      <c r="L593" s="8">
        <f>Table2[[#This Row],[Gross Sales]]-Table2[[#This Row],[COGS]]</f>
        <v>69.999999999999986</v>
      </c>
      <c r="M593" s="9">
        <f t="shared" si="9"/>
        <v>0.41254125412541254</v>
      </c>
      <c r="N593" s="7">
        <v>8.484</v>
      </c>
      <c r="O593" s="7">
        <v>178.16399999999999</v>
      </c>
      <c r="P593" s="10">
        <v>43492</v>
      </c>
      <c r="Q593" s="10" t="str">
        <f>TEXT(Table2[[#This Row],[Date]],"mmm")</f>
        <v>Jan</v>
      </c>
      <c r="R593" s="11">
        <v>0.73472222222222217</v>
      </c>
      <c r="S593" s="6" t="s">
        <v>27</v>
      </c>
      <c r="T593" s="7">
        <v>9.4</v>
      </c>
      <c r="U593" s="6">
        <f>IF(_xlfn.XLOOKUP(A593,[1]Data2!$A:$A,[1]Data2!$B:$B,"no")="yes",1,0)</f>
        <v>0</v>
      </c>
    </row>
    <row r="594" spans="1:21" s="6" customFormat="1" x14ac:dyDescent="0.3">
      <c r="A594" s="6" t="s">
        <v>632</v>
      </c>
      <c r="B594" s="6" t="s">
        <v>22</v>
      </c>
      <c r="C594" s="6" t="s">
        <v>23</v>
      </c>
      <c r="D594" s="6" t="s">
        <v>24</v>
      </c>
      <c r="E594" s="6" t="s">
        <v>25</v>
      </c>
      <c r="F594" s="6" t="s">
        <v>40</v>
      </c>
      <c r="G594" s="7">
        <f>Table2[[#This Row],[Unit price]]-10</f>
        <v>35.58</v>
      </c>
      <c r="H594" s="7">
        <v>45.58</v>
      </c>
      <c r="I594" s="8">
        <v>1</v>
      </c>
      <c r="J594" s="8">
        <f>Table2[[#This Row],[Unit price]]*Table2[[#This Row],[Quantity]]</f>
        <v>45.58</v>
      </c>
      <c r="K594" s="8">
        <f>Table2[[#This Row],[Unit Cost]]*Table2[[#This Row],[Quantity]]</f>
        <v>35.58</v>
      </c>
      <c r="L594" s="8">
        <f>Table2[[#This Row],[Gross Sales]]-Table2[[#This Row],[COGS]]</f>
        <v>10</v>
      </c>
      <c r="M594" s="9">
        <f t="shared" si="9"/>
        <v>0.21939447125932426</v>
      </c>
      <c r="N594" s="7">
        <v>2.2789999999999999</v>
      </c>
      <c r="O594" s="7">
        <v>47.859000000000002</v>
      </c>
      <c r="P594" s="10">
        <v>43503</v>
      </c>
      <c r="Q594" s="10" t="str">
        <f>TEXT(Table2[[#This Row],[Date]],"mmm")</f>
        <v>Feb</v>
      </c>
      <c r="R594" s="11">
        <v>0.59236111111111112</v>
      </c>
      <c r="S594" s="6" t="s">
        <v>33</v>
      </c>
      <c r="T594" s="7">
        <v>9.8000000000000007</v>
      </c>
      <c r="U594" s="6">
        <f>IF(_xlfn.XLOOKUP(A594,[1]Data2!$A:$A,[1]Data2!$B:$B,"no")="yes",1,0)</f>
        <v>1</v>
      </c>
    </row>
    <row r="595" spans="1:21" s="6" customFormat="1" x14ac:dyDescent="0.3">
      <c r="A595" s="6" t="s">
        <v>633</v>
      </c>
      <c r="B595" s="6" t="s">
        <v>22</v>
      </c>
      <c r="C595" s="6" t="s">
        <v>23</v>
      </c>
      <c r="D595" s="6" t="s">
        <v>24</v>
      </c>
      <c r="E595" s="6" t="s">
        <v>25</v>
      </c>
      <c r="F595" s="6" t="s">
        <v>40</v>
      </c>
      <c r="G595" s="7">
        <f>Table2[[#This Row],[Unit price]]-10</f>
        <v>65.2</v>
      </c>
      <c r="H595" s="7">
        <v>75.2</v>
      </c>
      <c r="I595" s="8">
        <v>3</v>
      </c>
      <c r="J595" s="8">
        <f>Table2[[#This Row],[Unit price]]*Table2[[#This Row],[Quantity]]</f>
        <v>225.60000000000002</v>
      </c>
      <c r="K595" s="8">
        <f>Table2[[#This Row],[Unit Cost]]*Table2[[#This Row],[Quantity]]</f>
        <v>195.60000000000002</v>
      </c>
      <c r="L595" s="8">
        <f>Table2[[#This Row],[Gross Sales]]-Table2[[#This Row],[COGS]]</f>
        <v>30</v>
      </c>
      <c r="M595" s="9">
        <f t="shared" si="9"/>
        <v>0.13297872340425532</v>
      </c>
      <c r="N595" s="7">
        <v>11.28</v>
      </c>
      <c r="O595" s="7">
        <v>236.88</v>
      </c>
      <c r="P595" s="10">
        <v>43501</v>
      </c>
      <c r="Q595" s="10" t="str">
        <f>TEXT(Table2[[#This Row],[Date]],"mmm")</f>
        <v>Feb</v>
      </c>
      <c r="R595" s="11">
        <v>0.49374999999999997</v>
      </c>
      <c r="S595" s="6" t="s">
        <v>27</v>
      </c>
      <c r="T595" s="7">
        <v>4.8</v>
      </c>
      <c r="U595" s="6">
        <f>IF(_xlfn.XLOOKUP(A595,[1]Data2!$A:$A,[1]Data2!$B:$B,"no")="yes",1,0)</f>
        <v>0</v>
      </c>
    </row>
    <row r="596" spans="1:21" s="6" customFormat="1" x14ac:dyDescent="0.3">
      <c r="A596" s="6" t="s">
        <v>634</v>
      </c>
      <c r="B596" s="6" t="s">
        <v>46</v>
      </c>
      <c r="C596" s="6" t="s">
        <v>47</v>
      </c>
      <c r="D596" s="6" t="s">
        <v>24</v>
      </c>
      <c r="E596" s="6" t="s">
        <v>35</v>
      </c>
      <c r="F596" s="6" t="s">
        <v>40</v>
      </c>
      <c r="G596" s="7">
        <f>Table2[[#This Row],[Unit price]]-10</f>
        <v>86.8</v>
      </c>
      <c r="H596" s="7">
        <v>96.8</v>
      </c>
      <c r="I596" s="8">
        <v>3</v>
      </c>
      <c r="J596" s="8">
        <f>Table2[[#This Row],[Unit price]]*Table2[[#This Row],[Quantity]]</f>
        <v>290.39999999999998</v>
      </c>
      <c r="K596" s="8">
        <f>Table2[[#This Row],[Unit Cost]]*Table2[[#This Row],[Quantity]]</f>
        <v>260.39999999999998</v>
      </c>
      <c r="L596" s="8">
        <f>Table2[[#This Row],[Gross Sales]]-Table2[[#This Row],[COGS]]</f>
        <v>30</v>
      </c>
      <c r="M596" s="9">
        <f t="shared" si="9"/>
        <v>0.10330578512396695</v>
      </c>
      <c r="N596" s="7">
        <v>14.52</v>
      </c>
      <c r="O596" s="7">
        <v>304.92</v>
      </c>
      <c r="P596" s="10">
        <v>43539</v>
      </c>
      <c r="Q596" s="10" t="str">
        <f>TEXT(Table2[[#This Row],[Date]],"mmm")</f>
        <v>Mar</v>
      </c>
      <c r="R596" s="11">
        <v>0.54513888888888895</v>
      </c>
      <c r="S596" s="6" t="s">
        <v>33</v>
      </c>
      <c r="T596" s="7">
        <v>5.3</v>
      </c>
      <c r="U596" s="6">
        <f>IF(_xlfn.XLOOKUP(A596,[1]Data2!$A:$A,[1]Data2!$B:$B,"no")="yes",1,0)</f>
        <v>0</v>
      </c>
    </row>
    <row r="597" spans="1:21" s="6" customFormat="1" x14ac:dyDescent="0.3">
      <c r="A597" s="6" t="s">
        <v>635</v>
      </c>
      <c r="B597" s="6" t="s">
        <v>46</v>
      </c>
      <c r="C597" s="6" t="s">
        <v>47</v>
      </c>
      <c r="D597" s="6" t="s">
        <v>31</v>
      </c>
      <c r="E597" s="6" t="s">
        <v>35</v>
      </c>
      <c r="F597" s="6" t="s">
        <v>26</v>
      </c>
      <c r="G597" s="7">
        <f>Table2[[#This Row],[Unit price]]-10</f>
        <v>4.82</v>
      </c>
      <c r="H597" s="7">
        <v>14.82</v>
      </c>
      <c r="I597" s="8">
        <v>3</v>
      </c>
      <c r="J597" s="8">
        <f>Table2[[#This Row],[Unit price]]*Table2[[#This Row],[Quantity]]</f>
        <v>44.46</v>
      </c>
      <c r="K597" s="8">
        <f>Table2[[#This Row],[Unit Cost]]*Table2[[#This Row],[Quantity]]</f>
        <v>14.46</v>
      </c>
      <c r="L597" s="8">
        <f>Table2[[#This Row],[Gross Sales]]-Table2[[#This Row],[COGS]]</f>
        <v>30</v>
      </c>
      <c r="M597" s="9">
        <f t="shared" si="9"/>
        <v>0.67476383265856954</v>
      </c>
      <c r="N597" s="7">
        <v>2.2229999999999999</v>
      </c>
      <c r="O597" s="7">
        <v>46.683</v>
      </c>
      <c r="P597" s="10">
        <v>43525</v>
      </c>
      <c r="Q597" s="10" t="str">
        <f>TEXT(Table2[[#This Row],[Date]],"mmm")</f>
        <v>Mar</v>
      </c>
      <c r="R597" s="11">
        <v>0.47916666666666669</v>
      </c>
      <c r="S597" s="6" t="s">
        <v>37</v>
      </c>
      <c r="T597" s="7">
        <v>8.6999999999999993</v>
      </c>
      <c r="U597" s="6">
        <f>IF(_xlfn.XLOOKUP(A597,[1]Data2!$A:$A,[1]Data2!$B:$B,"no")="yes",1,0)</f>
        <v>0</v>
      </c>
    </row>
    <row r="598" spans="1:21" s="6" customFormat="1" x14ac:dyDescent="0.3">
      <c r="A598" s="6" t="s">
        <v>636</v>
      </c>
      <c r="B598" s="6" t="s">
        <v>22</v>
      </c>
      <c r="C598" s="6" t="s">
        <v>23</v>
      </c>
      <c r="D598" s="6" t="s">
        <v>31</v>
      </c>
      <c r="E598" s="6" t="s">
        <v>35</v>
      </c>
      <c r="F598" s="6" t="s">
        <v>48</v>
      </c>
      <c r="G598" s="7">
        <f>Table2[[#This Row],[Unit price]]-10</f>
        <v>42.2</v>
      </c>
      <c r="H598" s="7">
        <v>52.2</v>
      </c>
      <c r="I598" s="8">
        <v>3</v>
      </c>
      <c r="J598" s="8">
        <f>Table2[[#This Row],[Unit price]]*Table2[[#This Row],[Quantity]]</f>
        <v>156.60000000000002</v>
      </c>
      <c r="K598" s="8">
        <f>Table2[[#This Row],[Unit Cost]]*Table2[[#This Row],[Quantity]]</f>
        <v>126.60000000000001</v>
      </c>
      <c r="L598" s="8">
        <f>Table2[[#This Row],[Gross Sales]]-Table2[[#This Row],[COGS]]</f>
        <v>30.000000000000014</v>
      </c>
      <c r="M598" s="9">
        <f t="shared" si="9"/>
        <v>0.1915708812260537</v>
      </c>
      <c r="N598" s="7">
        <v>7.83</v>
      </c>
      <c r="O598" s="7">
        <v>164.43</v>
      </c>
      <c r="P598" s="10">
        <v>43511</v>
      </c>
      <c r="Q598" s="10" t="str">
        <f>TEXT(Table2[[#This Row],[Date]],"mmm")</f>
        <v>Feb</v>
      </c>
      <c r="R598" s="11">
        <v>0.5625</v>
      </c>
      <c r="S598" s="6" t="s">
        <v>37</v>
      </c>
      <c r="T598" s="7">
        <v>9.5</v>
      </c>
      <c r="U598" s="6">
        <f>IF(_xlfn.XLOOKUP(A598,[1]Data2!$A:$A,[1]Data2!$B:$B,"no")="yes",1,0)</f>
        <v>1</v>
      </c>
    </row>
    <row r="599" spans="1:21" s="6" customFormat="1" x14ac:dyDescent="0.3">
      <c r="A599" s="6" t="s">
        <v>637</v>
      </c>
      <c r="B599" s="6" t="s">
        <v>29</v>
      </c>
      <c r="C599" s="6" t="s">
        <v>30</v>
      </c>
      <c r="D599" s="6" t="s">
        <v>31</v>
      </c>
      <c r="E599" s="6" t="s">
        <v>25</v>
      </c>
      <c r="F599" s="6" t="s">
        <v>40</v>
      </c>
      <c r="G599" s="7">
        <f>Table2[[#This Row],[Unit price]]-10</f>
        <v>36.659999999999997</v>
      </c>
      <c r="H599" s="7">
        <v>46.66</v>
      </c>
      <c r="I599" s="8">
        <v>9</v>
      </c>
      <c r="J599" s="8">
        <f>Table2[[#This Row],[Unit price]]*Table2[[#This Row],[Quantity]]</f>
        <v>419.93999999999994</v>
      </c>
      <c r="K599" s="8">
        <f>Table2[[#This Row],[Unit Cost]]*Table2[[#This Row],[Quantity]]</f>
        <v>329.93999999999994</v>
      </c>
      <c r="L599" s="8">
        <f>Table2[[#This Row],[Gross Sales]]-Table2[[#This Row],[COGS]]</f>
        <v>90</v>
      </c>
      <c r="M599" s="9">
        <f t="shared" si="9"/>
        <v>0.21431633090441496</v>
      </c>
      <c r="N599" s="7">
        <v>20.997</v>
      </c>
      <c r="O599" s="7">
        <v>440.93700000000001</v>
      </c>
      <c r="P599" s="10">
        <v>43513</v>
      </c>
      <c r="Q599" s="10" t="str">
        <f>TEXT(Table2[[#This Row],[Date]],"mmm")</f>
        <v>Feb</v>
      </c>
      <c r="R599" s="11">
        <v>0.7993055555555556</v>
      </c>
      <c r="S599" s="6" t="s">
        <v>27</v>
      </c>
      <c r="T599" s="7">
        <v>5.3</v>
      </c>
      <c r="U599" s="6">
        <f>IF(_xlfn.XLOOKUP(A599,[1]Data2!$A:$A,[1]Data2!$B:$B,"no")="yes",1,0)</f>
        <v>0</v>
      </c>
    </row>
    <row r="600" spans="1:21" s="6" customFormat="1" x14ac:dyDescent="0.3">
      <c r="A600" s="6" t="s">
        <v>638</v>
      </c>
      <c r="B600" s="6" t="s">
        <v>29</v>
      </c>
      <c r="C600" s="6" t="s">
        <v>30</v>
      </c>
      <c r="D600" s="6" t="s">
        <v>31</v>
      </c>
      <c r="E600" s="6" t="s">
        <v>25</v>
      </c>
      <c r="F600" s="6" t="s">
        <v>50</v>
      </c>
      <c r="G600" s="7">
        <f>Table2[[#This Row],[Unit price]]-10</f>
        <v>26.85</v>
      </c>
      <c r="H600" s="7">
        <v>36.85</v>
      </c>
      <c r="I600" s="8">
        <v>5</v>
      </c>
      <c r="J600" s="8">
        <f>Table2[[#This Row],[Unit price]]*Table2[[#This Row],[Quantity]]</f>
        <v>184.25</v>
      </c>
      <c r="K600" s="8">
        <f>Table2[[#This Row],[Unit Cost]]*Table2[[#This Row],[Quantity]]</f>
        <v>134.25</v>
      </c>
      <c r="L600" s="8">
        <f>Table2[[#This Row],[Gross Sales]]-Table2[[#This Row],[COGS]]</f>
        <v>50</v>
      </c>
      <c r="M600" s="9">
        <f t="shared" si="9"/>
        <v>0.27137042062415195</v>
      </c>
      <c r="N600" s="7">
        <v>9.2125000000000004</v>
      </c>
      <c r="O600" s="7">
        <v>193.46250000000001</v>
      </c>
      <c r="P600" s="10">
        <v>43491</v>
      </c>
      <c r="Q600" s="10" t="str">
        <f>TEXT(Table2[[#This Row],[Date]],"mmm")</f>
        <v>Jan</v>
      </c>
      <c r="R600" s="11">
        <v>0.78680555555555554</v>
      </c>
      <c r="S600" s="6" t="s">
        <v>33</v>
      </c>
      <c r="T600" s="7">
        <v>9.1999999999999993</v>
      </c>
      <c r="U600" s="6">
        <f>IF(_xlfn.XLOOKUP(A600,[1]Data2!$A:$A,[1]Data2!$B:$B,"no")="yes",1,0)</f>
        <v>0</v>
      </c>
    </row>
    <row r="601" spans="1:21" s="6" customFormat="1" x14ac:dyDescent="0.3">
      <c r="A601" s="6" t="s">
        <v>639</v>
      </c>
      <c r="B601" s="6" t="s">
        <v>22</v>
      </c>
      <c r="C601" s="6" t="s">
        <v>23</v>
      </c>
      <c r="D601" s="6" t="s">
        <v>24</v>
      </c>
      <c r="E601" s="6" t="s">
        <v>25</v>
      </c>
      <c r="F601" s="6" t="s">
        <v>36</v>
      </c>
      <c r="G601" s="7">
        <f>Table2[[#This Row],[Unit price]]-10</f>
        <v>60.319999999999993</v>
      </c>
      <c r="H601" s="7">
        <v>70.319999999999993</v>
      </c>
      <c r="I601" s="8">
        <v>2</v>
      </c>
      <c r="J601" s="8">
        <f>Table2[[#This Row],[Unit price]]*Table2[[#This Row],[Quantity]]</f>
        <v>140.63999999999999</v>
      </c>
      <c r="K601" s="8">
        <f>Table2[[#This Row],[Unit Cost]]*Table2[[#This Row],[Quantity]]</f>
        <v>120.63999999999999</v>
      </c>
      <c r="L601" s="8">
        <f>Table2[[#This Row],[Gross Sales]]-Table2[[#This Row],[COGS]]</f>
        <v>20</v>
      </c>
      <c r="M601" s="9">
        <f t="shared" si="9"/>
        <v>0.14220705346985213</v>
      </c>
      <c r="N601" s="7">
        <v>7.032</v>
      </c>
      <c r="O601" s="7">
        <v>147.672</v>
      </c>
      <c r="P601" s="10">
        <v>43548</v>
      </c>
      <c r="Q601" s="10" t="str">
        <f>TEXT(Table2[[#This Row],[Date]],"mmm")</f>
        <v>Mar</v>
      </c>
      <c r="R601" s="11">
        <v>0.59861111111111109</v>
      </c>
      <c r="S601" s="6" t="s">
        <v>27</v>
      </c>
      <c r="T601" s="7">
        <v>9.6</v>
      </c>
      <c r="U601" s="6">
        <f>IF(_xlfn.XLOOKUP(A601,[1]Data2!$A:$A,[1]Data2!$B:$B,"no")="yes",1,0)</f>
        <v>0</v>
      </c>
    </row>
    <row r="602" spans="1:21" s="6" customFormat="1" x14ac:dyDescent="0.3">
      <c r="A602" s="6" t="s">
        <v>640</v>
      </c>
      <c r="B602" s="6" t="s">
        <v>29</v>
      </c>
      <c r="C602" s="6" t="s">
        <v>30</v>
      </c>
      <c r="D602" s="6" t="s">
        <v>31</v>
      </c>
      <c r="E602" s="6" t="s">
        <v>35</v>
      </c>
      <c r="F602" s="6" t="s">
        <v>32</v>
      </c>
      <c r="G602" s="7">
        <f>Table2[[#This Row],[Unit price]]-10</f>
        <v>73.08</v>
      </c>
      <c r="H602" s="7">
        <v>83.08</v>
      </c>
      <c r="I602" s="8">
        <v>1</v>
      </c>
      <c r="J602" s="8">
        <f>Table2[[#This Row],[Unit price]]*Table2[[#This Row],[Quantity]]</f>
        <v>83.08</v>
      </c>
      <c r="K602" s="8">
        <f>Table2[[#This Row],[Unit Cost]]*Table2[[#This Row],[Quantity]]</f>
        <v>73.08</v>
      </c>
      <c r="L602" s="8">
        <f>Table2[[#This Row],[Gross Sales]]-Table2[[#This Row],[COGS]]</f>
        <v>10</v>
      </c>
      <c r="M602" s="9">
        <f t="shared" si="9"/>
        <v>0.1203659123736158</v>
      </c>
      <c r="N602" s="7">
        <v>4.1539999999999999</v>
      </c>
      <c r="O602" s="7">
        <v>87.233999999999995</v>
      </c>
      <c r="P602" s="10">
        <v>43488</v>
      </c>
      <c r="Q602" s="10" t="str">
        <f>TEXT(Table2[[#This Row],[Date]],"mmm")</f>
        <v>Jan</v>
      </c>
      <c r="R602" s="11">
        <v>0.71944444444444444</v>
      </c>
      <c r="S602" s="6" t="s">
        <v>27</v>
      </c>
      <c r="T602" s="7">
        <v>6.4</v>
      </c>
      <c r="U602" s="6">
        <f>IF(_xlfn.XLOOKUP(A602,[1]Data2!$A:$A,[1]Data2!$B:$B,"no")="yes",1,0)</f>
        <v>1</v>
      </c>
    </row>
    <row r="603" spans="1:21" s="6" customFormat="1" x14ac:dyDescent="0.3">
      <c r="A603" s="6" t="s">
        <v>641</v>
      </c>
      <c r="B603" s="6" t="s">
        <v>29</v>
      </c>
      <c r="C603" s="6" t="s">
        <v>30</v>
      </c>
      <c r="D603" s="6" t="s">
        <v>31</v>
      </c>
      <c r="E603" s="6" t="s">
        <v>25</v>
      </c>
      <c r="F603" s="6" t="s">
        <v>50</v>
      </c>
      <c r="G603" s="7">
        <f>Table2[[#This Row],[Unit price]]-10</f>
        <v>54.989999999999995</v>
      </c>
      <c r="H603" s="7">
        <v>64.989999999999995</v>
      </c>
      <c r="I603" s="8">
        <v>1</v>
      </c>
      <c r="J603" s="8">
        <f>Table2[[#This Row],[Unit price]]*Table2[[#This Row],[Quantity]]</f>
        <v>64.989999999999995</v>
      </c>
      <c r="K603" s="8">
        <f>Table2[[#This Row],[Unit Cost]]*Table2[[#This Row],[Quantity]]</f>
        <v>54.989999999999995</v>
      </c>
      <c r="L603" s="8">
        <f>Table2[[#This Row],[Gross Sales]]-Table2[[#This Row],[COGS]]</f>
        <v>10</v>
      </c>
      <c r="M603" s="9">
        <f t="shared" si="9"/>
        <v>0.15386982612709649</v>
      </c>
      <c r="N603" s="7">
        <v>3.2494999999999998</v>
      </c>
      <c r="O603" s="7">
        <v>68.239500000000007</v>
      </c>
      <c r="P603" s="10">
        <v>43491</v>
      </c>
      <c r="Q603" s="10" t="str">
        <f>TEXT(Table2[[#This Row],[Date]],"mmm")</f>
        <v>Jan</v>
      </c>
      <c r="R603" s="11">
        <v>0.42083333333333334</v>
      </c>
      <c r="S603" s="6" t="s">
        <v>37</v>
      </c>
      <c r="T603" s="7">
        <v>4.5</v>
      </c>
      <c r="U603" s="6">
        <f>IF(_xlfn.XLOOKUP(A603,[1]Data2!$A:$A,[1]Data2!$B:$B,"no")="yes",1,0)</f>
        <v>0</v>
      </c>
    </row>
    <row r="604" spans="1:21" s="6" customFormat="1" x14ac:dyDescent="0.3">
      <c r="A604" s="6" t="s">
        <v>642</v>
      </c>
      <c r="B604" s="6" t="s">
        <v>29</v>
      </c>
      <c r="C604" s="6" t="s">
        <v>30</v>
      </c>
      <c r="D604" s="6" t="s">
        <v>31</v>
      </c>
      <c r="E604" s="6" t="s">
        <v>35</v>
      </c>
      <c r="F604" s="6" t="s">
        <v>48</v>
      </c>
      <c r="G604" s="7">
        <f>Table2[[#This Row],[Unit price]]-10</f>
        <v>67.56</v>
      </c>
      <c r="H604" s="7">
        <v>77.56</v>
      </c>
      <c r="I604" s="8">
        <v>10</v>
      </c>
      <c r="J604" s="8">
        <f>Table2[[#This Row],[Unit price]]*Table2[[#This Row],[Quantity]]</f>
        <v>775.6</v>
      </c>
      <c r="K604" s="8">
        <f>Table2[[#This Row],[Unit Cost]]*Table2[[#This Row],[Quantity]]</f>
        <v>675.6</v>
      </c>
      <c r="L604" s="8">
        <f>Table2[[#This Row],[Gross Sales]]-Table2[[#This Row],[COGS]]</f>
        <v>100</v>
      </c>
      <c r="M604" s="9">
        <f t="shared" si="9"/>
        <v>0.12893243940175347</v>
      </c>
      <c r="N604" s="7">
        <v>38.78</v>
      </c>
      <c r="O604" s="7">
        <v>814.38</v>
      </c>
      <c r="P604" s="10">
        <v>43538</v>
      </c>
      <c r="Q604" s="10" t="str">
        <f>TEXT(Table2[[#This Row],[Date]],"mmm")</f>
        <v>Mar</v>
      </c>
      <c r="R604" s="11">
        <v>0.85763888888888884</v>
      </c>
      <c r="S604" s="6" t="s">
        <v>27</v>
      </c>
      <c r="T604" s="7">
        <v>6.9</v>
      </c>
      <c r="U604" s="6">
        <f>IF(_xlfn.XLOOKUP(A604,[1]Data2!$A:$A,[1]Data2!$B:$B,"no")="yes",1,0)</f>
        <v>0</v>
      </c>
    </row>
    <row r="605" spans="1:21" s="6" customFormat="1" x14ac:dyDescent="0.3">
      <c r="A605" s="6" t="s">
        <v>643</v>
      </c>
      <c r="B605" s="6" t="s">
        <v>46</v>
      </c>
      <c r="C605" s="6" t="s">
        <v>47</v>
      </c>
      <c r="D605" s="6" t="s">
        <v>31</v>
      </c>
      <c r="E605" s="6" t="s">
        <v>25</v>
      </c>
      <c r="F605" s="6" t="s">
        <v>40</v>
      </c>
      <c r="G605" s="7">
        <f>Table2[[#This Row],[Unit price]]-10</f>
        <v>44.51</v>
      </c>
      <c r="H605" s="7">
        <v>54.51</v>
      </c>
      <c r="I605" s="8">
        <v>6</v>
      </c>
      <c r="J605" s="8">
        <f>Table2[[#This Row],[Unit price]]*Table2[[#This Row],[Quantity]]</f>
        <v>327.06</v>
      </c>
      <c r="K605" s="8">
        <f>Table2[[#This Row],[Unit Cost]]*Table2[[#This Row],[Quantity]]</f>
        <v>267.06</v>
      </c>
      <c r="L605" s="8">
        <f>Table2[[#This Row],[Gross Sales]]-Table2[[#This Row],[COGS]]</f>
        <v>60</v>
      </c>
      <c r="M605" s="9">
        <f t="shared" si="9"/>
        <v>0.18345257750871399</v>
      </c>
      <c r="N605" s="7">
        <v>16.353000000000002</v>
      </c>
      <c r="O605" s="7">
        <v>343.41300000000001</v>
      </c>
      <c r="P605" s="10">
        <v>43541</v>
      </c>
      <c r="Q605" s="10" t="str">
        <f>TEXT(Table2[[#This Row],[Date]],"mmm")</f>
        <v>Mar</v>
      </c>
      <c r="R605" s="11">
        <v>0.57916666666666672</v>
      </c>
      <c r="S605" s="6" t="s">
        <v>27</v>
      </c>
      <c r="T605" s="7">
        <v>7.8</v>
      </c>
      <c r="U605" s="6">
        <f>IF(_xlfn.XLOOKUP(A605,[1]Data2!$A:$A,[1]Data2!$B:$B,"no")="yes",1,0)</f>
        <v>0</v>
      </c>
    </row>
    <row r="606" spans="1:21" s="6" customFormat="1" x14ac:dyDescent="0.3">
      <c r="A606" s="6" t="s">
        <v>644</v>
      </c>
      <c r="B606" s="6" t="s">
        <v>29</v>
      </c>
      <c r="C606" s="6" t="s">
        <v>30</v>
      </c>
      <c r="D606" s="6" t="s">
        <v>24</v>
      </c>
      <c r="E606" s="6" t="s">
        <v>25</v>
      </c>
      <c r="F606" s="6" t="s">
        <v>50</v>
      </c>
      <c r="G606" s="7">
        <f>Table2[[#This Row],[Unit price]]-10</f>
        <v>41.89</v>
      </c>
      <c r="H606" s="7">
        <v>51.89</v>
      </c>
      <c r="I606" s="8">
        <v>7</v>
      </c>
      <c r="J606" s="8">
        <f>Table2[[#This Row],[Unit price]]*Table2[[#This Row],[Quantity]]</f>
        <v>363.23</v>
      </c>
      <c r="K606" s="8">
        <f>Table2[[#This Row],[Unit Cost]]*Table2[[#This Row],[Quantity]]</f>
        <v>293.23</v>
      </c>
      <c r="L606" s="8">
        <f>Table2[[#This Row],[Gross Sales]]-Table2[[#This Row],[COGS]]</f>
        <v>70</v>
      </c>
      <c r="M606" s="9">
        <f t="shared" si="9"/>
        <v>0.1927153594141453</v>
      </c>
      <c r="N606" s="7">
        <v>18.1615</v>
      </c>
      <c r="O606" s="7">
        <v>381.39150000000001</v>
      </c>
      <c r="P606" s="10">
        <v>43473</v>
      </c>
      <c r="Q606" s="10" t="str">
        <f>TEXT(Table2[[#This Row],[Date]],"mmm")</f>
        <v>Jan</v>
      </c>
      <c r="R606" s="11">
        <v>0.83888888888888891</v>
      </c>
      <c r="S606" s="6" t="s">
        <v>33</v>
      </c>
      <c r="T606" s="7">
        <v>4.5</v>
      </c>
      <c r="U606" s="6">
        <f>IF(_xlfn.XLOOKUP(A606,[1]Data2!$A:$A,[1]Data2!$B:$B,"no")="yes",1,0)</f>
        <v>1</v>
      </c>
    </row>
    <row r="607" spans="1:21" s="6" customFormat="1" x14ac:dyDescent="0.3">
      <c r="A607" s="6" t="s">
        <v>645</v>
      </c>
      <c r="B607" s="6" t="s">
        <v>46</v>
      </c>
      <c r="C607" s="6" t="s">
        <v>47</v>
      </c>
      <c r="D607" s="6" t="s">
        <v>31</v>
      </c>
      <c r="E607" s="6" t="s">
        <v>35</v>
      </c>
      <c r="F607" s="6" t="s">
        <v>36</v>
      </c>
      <c r="G607" s="7">
        <f>Table2[[#This Row],[Unit price]]-10</f>
        <v>21.75</v>
      </c>
      <c r="H607" s="7">
        <v>31.75</v>
      </c>
      <c r="I607" s="8">
        <v>4</v>
      </c>
      <c r="J607" s="8">
        <f>Table2[[#This Row],[Unit price]]*Table2[[#This Row],[Quantity]]</f>
        <v>127</v>
      </c>
      <c r="K607" s="8">
        <f>Table2[[#This Row],[Unit Cost]]*Table2[[#This Row],[Quantity]]</f>
        <v>87</v>
      </c>
      <c r="L607" s="8">
        <f>Table2[[#This Row],[Gross Sales]]-Table2[[#This Row],[COGS]]</f>
        <v>40</v>
      </c>
      <c r="M607" s="9">
        <f t="shared" si="9"/>
        <v>0.31496062992125984</v>
      </c>
      <c r="N607" s="7">
        <v>6.35</v>
      </c>
      <c r="O607" s="7">
        <v>133.35</v>
      </c>
      <c r="P607" s="10">
        <v>43504</v>
      </c>
      <c r="Q607" s="10" t="str">
        <f>TEXT(Table2[[#This Row],[Date]],"mmm")</f>
        <v>Feb</v>
      </c>
      <c r="R607" s="11">
        <v>0.6430555555555556</v>
      </c>
      <c r="S607" s="6" t="s">
        <v>33</v>
      </c>
      <c r="T607" s="7">
        <v>8.6</v>
      </c>
      <c r="U607" s="6">
        <f>IF(_xlfn.XLOOKUP(A607,[1]Data2!$A:$A,[1]Data2!$B:$B,"no")="yes",1,0)</f>
        <v>0</v>
      </c>
    </row>
    <row r="608" spans="1:21" s="6" customFormat="1" x14ac:dyDescent="0.3">
      <c r="A608" s="6" t="s">
        <v>646</v>
      </c>
      <c r="B608" s="6" t="s">
        <v>22</v>
      </c>
      <c r="C608" s="6" t="s">
        <v>23</v>
      </c>
      <c r="D608" s="6" t="s">
        <v>24</v>
      </c>
      <c r="E608" s="6" t="s">
        <v>25</v>
      </c>
      <c r="F608" s="6" t="s">
        <v>50</v>
      </c>
      <c r="G608" s="7">
        <f>Table2[[#This Row],[Unit price]]-10</f>
        <v>43.65</v>
      </c>
      <c r="H608" s="7">
        <v>53.65</v>
      </c>
      <c r="I608" s="8">
        <v>7</v>
      </c>
      <c r="J608" s="8">
        <f>Table2[[#This Row],[Unit price]]*Table2[[#This Row],[Quantity]]</f>
        <v>375.55</v>
      </c>
      <c r="K608" s="8">
        <f>Table2[[#This Row],[Unit Cost]]*Table2[[#This Row],[Quantity]]</f>
        <v>305.55</v>
      </c>
      <c r="L608" s="8">
        <f>Table2[[#This Row],[Gross Sales]]-Table2[[#This Row],[COGS]]</f>
        <v>70</v>
      </c>
      <c r="M608" s="9">
        <f t="shared" si="9"/>
        <v>0.1863932898415657</v>
      </c>
      <c r="N608" s="7">
        <v>18.7775</v>
      </c>
      <c r="O608" s="7">
        <v>394.32749999999999</v>
      </c>
      <c r="P608" s="10">
        <v>43506</v>
      </c>
      <c r="Q608" s="10" t="str">
        <f>TEXT(Table2[[#This Row],[Date]],"mmm")</f>
        <v>Feb</v>
      </c>
      <c r="R608" s="11">
        <v>0.53888888888888886</v>
      </c>
      <c r="S608" s="6" t="s">
        <v>27</v>
      </c>
      <c r="T608" s="7">
        <v>5.2</v>
      </c>
      <c r="U608" s="6">
        <f>IF(_xlfn.XLOOKUP(A608,[1]Data2!$A:$A,[1]Data2!$B:$B,"no")="yes",1,0)</f>
        <v>0</v>
      </c>
    </row>
    <row r="609" spans="1:21" s="6" customFormat="1" x14ac:dyDescent="0.3">
      <c r="A609" s="6" t="s">
        <v>647</v>
      </c>
      <c r="B609" s="6" t="s">
        <v>29</v>
      </c>
      <c r="C609" s="6" t="s">
        <v>30</v>
      </c>
      <c r="D609" s="6" t="s">
        <v>24</v>
      </c>
      <c r="E609" s="6" t="s">
        <v>25</v>
      </c>
      <c r="F609" s="6" t="s">
        <v>48</v>
      </c>
      <c r="G609" s="7">
        <f>Table2[[#This Row],[Unit price]]-10</f>
        <v>39.79</v>
      </c>
      <c r="H609" s="7">
        <v>49.79</v>
      </c>
      <c r="I609" s="8">
        <v>4</v>
      </c>
      <c r="J609" s="8">
        <f>Table2[[#This Row],[Unit price]]*Table2[[#This Row],[Quantity]]</f>
        <v>199.16</v>
      </c>
      <c r="K609" s="8">
        <f>Table2[[#This Row],[Unit Cost]]*Table2[[#This Row],[Quantity]]</f>
        <v>159.16</v>
      </c>
      <c r="L609" s="8">
        <f>Table2[[#This Row],[Gross Sales]]-Table2[[#This Row],[COGS]]</f>
        <v>40</v>
      </c>
      <c r="M609" s="9">
        <f t="shared" si="9"/>
        <v>0.2008435428800964</v>
      </c>
      <c r="N609" s="7">
        <v>9.9580000000000002</v>
      </c>
      <c r="O609" s="7">
        <v>209.11799999999999</v>
      </c>
      <c r="P609" s="10">
        <v>43552</v>
      </c>
      <c r="Q609" s="10" t="str">
        <f>TEXT(Table2[[#This Row],[Date]],"mmm")</f>
        <v>Mar</v>
      </c>
      <c r="R609" s="11">
        <v>0.8027777777777777</v>
      </c>
      <c r="S609" s="6" t="s">
        <v>37</v>
      </c>
      <c r="T609" s="7">
        <v>6.4</v>
      </c>
      <c r="U609" s="6">
        <f>IF(_xlfn.XLOOKUP(A609,[1]Data2!$A:$A,[1]Data2!$B:$B,"no")="yes",1,0)</f>
        <v>0</v>
      </c>
    </row>
    <row r="610" spans="1:21" s="6" customFormat="1" x14ac:dyDescent="0.3">
      <c r="A610" s="6" t="s">
        <v>648</v>
      </c>
      <c r="B610" s="6" t="s">
        <v>22</v>
      </c>
      <c r="C610" s="6" t="s">
        <v>23</v>
      </c>
      <c r="D610" s="6" t="s">
        <v>31</v>
      </c>
      <c r="E610" s="6" t="s">
        <v>35</v>
      </c>
      <c r="F610" s="6" t="s">
        <v>50</v>
      </c>
      <c r="G610" s="7">
        <f>Table2[[#This Row],[Unit price]]-10</f>
        <v>20.61</v>
      </c>
      <c r="H610" s="7">
        <v>30.61</v>
      </c>
      <c r="I610" s="8">
        <v>1</v>
      </c>
      <c r="J610" s="8">
        <f>Table2[[#This Row],[Unit price]]*Table2[[#This Row],[Quantity]]</f>
        <v>30.61</v>
      </c>
      <c r="K610" s="8">
        <f>Table2[[#This Row],[Unit Cost]]*Table2[[#This Row],[Quantity]]</f>
        <v>20.61</v>
      </c>
      <c r="L610" s="8">
        <f>Table2[[#This Row],[Gross Sales]]-Table2[[#This Row],[COGS]]</f>
        <v>10</v>
      </c>
      <c r="M610" s="9">
        <f t="shared" si="9"/>
        <v>0.32669062397909182</v>
      </c>
      <c r="N610" s="7">
        <v>1.5305</v>
      </c>
      <c r="O610" s="7">
        <v>32.140500000000003</v>
      </c>
      <c r="P610" s="10">
        <v>43488</v>
      </c>
      <c r="Q610" s="10" t="str">
        <f>TEXT(Table2[[#This Row],[Date]],"mmm")</f>
        <v>Jan</v>
      </c>
      <c r="R610" s="11">
        <v>0.51388888888888895</v>
      </c>
      <c r="S610" s="6" t="s">
        <v>27</v>
      </c>
      <c r="T610" s="7">
        <v>5.2</v>
      </c>
      <c r="U610" s="6">
        <f>IF(_xlfn.XLOOKUP(A610,[1]Data2!$A:$A,[1]Data2!$B:$B,"no")="yes",1,0)</f>
        <v>1</v>
      </c>
    </row>
    <row r="611" spans="1:21" s="6" customFormat="1" x14ac:dyDescent="0.3">
      <c r="A611" s="6" t="s">
        <v>649</v>
      </c>
      <c r="B611" s="6" t="s">
        <v>46</v>
      </c>
      <c r="C611" s="6" t="s">
        <v>47</v>
      </c>
      <c r="D611" s="6" t="s">
        <v>24</v>
      </c>
      <c r="E611" s="6" t="s">
        <v>35</v>
      </c>
      <c r="F611" s="6" t="s">
        <v>48</v>
      </c>
      <c r="G611" s="7">
        <f>Table2[[#This Row],[Unit price]]-10</f>
        <v>47.89</v>
      </c>
      <c r="H611" s="7">
        <v>57.89</v>
      </c>
      <c r="I611" s="8">
        <v>2</v>
      </c>
      <c r="J611" s="8">
        <f>Table2[[#This Row],[Unit price]]*Table2[[#This Row],[Quantity]]</f>
        <v>115.78</v>
      </c>
      <c r="K611" s="8">
        <f>Table2[[#This Row],[Unit Cost]]*Table2[[#This Row],[Quantity]]</f>
        <v>95.78</v>
      </c>
      <c r="L611" s="8">
        <f>Table2[[#This Row],[Gross Sales]]-Table2[[#This Row],[COGS]]</f>
        <v>20</v>
      </c>
      <c r="M611" s="9">
        <f t="shared" si="9"/>
        <v>0.17274140611504576</v>
      </c>
      <c r="N611" s="7">
        <v>5.7889999999999997</v>
      </c>
      <c r="O611" s="7">
        <v>121.569</v>
      </c>
      <c r="P611" s="10">
        <v>43482</v>
      </c>
      <c r="Q611" s="10" t="str">
        <f>TEXT(Table2[[#This Row],[Date]],"mmm")</f>
        <v>Jan</v>
      </c>
      <c r="R611" s="11">
        <v>0.44236111111111115</v>
      </c>
      <c r="S611" s="6" t="s">
        <v>27</v>
      </c>
      <c r="T611" s="7">
        <v>8.9</v>
      </c>
      <c r="U611" s="6">
        <f>IF(_xlfn.XLOOKUP(A611,[1]Data2!$A:$A,[1]Data2!$B:$B,"no")="yes",1,0)</f>
        <v>0</v>
      </c>
    </row>
    <row r="612" spans="1:21" s="6" customFormat="1" x14ac:dyDescent="0.3">
      <c r="A612" s="6" t="s">
        <v>650</v>
      </c>
      <c r="B612" s="6" t="s">
        <v>22</v>
      </c>
      <c r="C612" s="6" t="s">
        <v>23</v>
      </c>
      <c r="D612" s="6" t="s">
        <v>31</v>
      </c>
      <c r="E612" s="6" t="s">
        <v>25</v>
      </c>
      <c r="F612" s="6" t="s">
        <v>32</v>
      </c>
      <c r="G612" s="7">
        <f>Table2[[#This Row],[Unit price]]-10</f>
        <v>18.96</v>
      </c>
      <c r="H612" s="7">
        <v>28.96</v>
      </c>
      <c r="I612" s="8">
        <v>1</v>
      </c>
      <c r="J612" s="8">
        <f>Table2[[#This Row],[Unit price]]*Table2[[#This Row],[Quantity]]</f>
        <v>28.96</v>
      </c>
      <c r="K612" s="8">
        <f>Table2[[#This Row],[Unit Cost]]*Table2[[#This Row],[Quantity]]</f>
        <v>18.96</v>
      </c>
      <c r="L612" s="8">
        <f>Table2[[#This Row],[Gross Sales]]-Table2[[#This Row],[COGS]]</f>
        <v>10</v>
      </c>
      <c r="M612" s="9">
        <f t="shared" si="9"/>
        <v>0.34530386740331492</v>
      </c>
      <c r="N612" s="7">
        <v>1.448</v>
      </c>
      <c r="O612" s="7">
        <v>30.408000000000001</v>
      </c>
      <c r="P612" s="10">
        <v>43503</v>
      </c>
      <c r="Q612" s="10" t="str">
        <f>TEXT(Table2[[#This Row],[Date]],"mmm")</f>
        <v>Feb</v>
      </c>
      <c r="R612" s="11">
        <v>0.4291666666666667</v>
      </c>
      <c r="S612" s="6" t="s">
        <v>37</v>
      </c>
      <c r="T612" s="7">
        <v>6.2</v>
      </c>
      <c r="U612" s="6">
        <f>IF(_xlfn.XLOOKUP(A612,[1]Data2!$A:$A,[1]Data2!$B:$B,"no")="yes",1,0)</f>
        <v>0</v>
      </c>
    </row>
    <row r="613" spans="1:21" s="6" customFormat="1" x14ac:dyDescent="0.3">
      <c r="A613" s="6" t="s">
        <v>651</v>
      </c>
      <c r="B613" s="6" t="s">
        <v>29</v>
      </c>
      <c r="C613" s="6" t="s">
        <v>30</v>
      </c>
      <c r="D613" s="6" t="s">
        <v>24</v>
      </c>
      <c r="E613" s="6" t="s">
        <v>25</v>
      </c>
      <c r="F613" s="6" t="s">
        <v>48</v>
      </c>
      <c r="G613" s="7">
        <f>Table2[[#This Row],[Unit price]]-10</f>
        <v>88.97</v>
      </c>
      <c r="H613" s="7">
        <v>98.97</v>
      </c>
      <c r="I613" s="8">
        <v>9</v>
      </c>
      <c r="J613" s="8">
        <f>Table2[[#This Row],[Unit price]]*Table2[[#This Row],[Quantity]]</f>
        <v>890.73</v>
      </c>
      <c r="K613" s="8">
        <f>Table2[[#This Row],[Unit Cost]]*Table2[[#This Row],[Quantity]]</f>
        <v>800.73</v>
      </c>
      <c r="L613" s="8">
        <f>Table2[[#This Row],[Gross Sales]]-Table2[[#This Row],[COGS]]</f>
        <v>90</v>
      </c>
      <c r="M613" s="9">
        <f t="shared" si="9"/>
        <v>0.10104071940992219</v>
      </c>
      <c r="N613" s="7">
        <v>44.536499999999997</v>
      </c>
      <c r="O613" s="7">
        <v>935.26649999999995</v>
      </c>
      <c r="P613" s="10">
        <v>43533</v>
      </c>
      <c r="Q613" s="10" t="str">
        <f>TEXT(Table2[[#This Row],[Date]],"mmm")</f>
        <v>Mar</v>
      </c>
      <c r="R613" s="11">
        <v>0.47430555555555554</v>
      </c>
      <c r="S613" s="6" t="s">
        <v>33</v>
      </c>
      <c r="T613" s="7">
        <v>6.7</v>
      </c>
      <c r="U613" s="6">
        <f>IF(_xlfn.XLOOKUP(A613,[1]Data2!$A:$A,[1]Data2!$B:$B,"no")="yes",1,0)</f>
        <v>0</v>
      </c>
    </row>
    <row r="614" spans="1:21" s="6" customFormat="1" x14ac:dyDescent="0.3">
      <c r="A614" s="6" t="s">
        <v>652</v>
      </c>
      <c r="B614" s="6" t="s">
        <v>46</v>
      </c>
      <c r="C614" s="6" t="s">
        <v>47</v>
      </c>
      <c r="D614" s="6" t="s">
        <v>24</v>
      </c>
      <c r="E614" s="6" t="s">
        <v>35</v>
      </c>
      <c r="F614" s="6" t="s">
        <v>50</v>
      </c>
      <c r="G614" s="7">
        <f>Table2[[#This Row],[Unit price]]-10</f>
        <v>83.22</v>
      </c>
      <c r="H614" s="7">
        <v>93.22</v>
      </c>
      <c r="I614" s="8">
        <v>3</v>
      </c>
      <c r="J614" s="8">
        <f>Table2[[#This Row],[Unit price]]*Table2[[#This Row],[Quantity]]</f>
        <v>279.65999999999997</v>
      </c>
      <c r="K614" s="8">
        <f>Table2[[#This Row],[Unit Cost]]*Table2[[#This Row],[Quantity]]</f>
        <v>249.66</v>
      </c>
      <c r="L614" s="8">
        <f>Table2[[#This Row],[Gross Sales]]-Table2[[#This Row],[COGS]]</f>
        <v>29.999999999999972</v>
      </c>
      <c r="M614" s="9">
        <f t="shared" si="9"/>
        <v>0.10727311735679029</v>
      </c>
      <c r="N614" s="7">
        <v>13.983000000000001</v>
      </c>
      <c r="O614" s="7">
        <v>293.64299999999997</v>
      </c>
      <c r="P614" s="10">
        <v>43489</v>
      </c>
      <c r="Q614" s="10" t="str">
        <f>TEXT(Table2[[#This Row],[Date]],"mmm")</f>
        <v>Jan</v>
      </c>
      <c r="R614" s="11">
        <v>0.48958333333333331</v>
      </c>
      <c r="S614" s="6" t="s">
        <v>33</v>
      </c>
      <c r="T614" s="7">
        <v>7.2</v>
      </c>
      <c r="U614" s="6">
        <f>IF(_xlfn.XLOOKUP(A614,[1]Data2!$A:$A,[1]Data2!$B:$B,"no")="yes",1,0)</f>
        <v>1</v>
      </c>
    </row>
    <row r="615" spans="1:21" s="6" customFormat="1" x14ac:dyDescent="0.3">
      <c r="A615" s="6" t="s">
        <v>653</v>
      </c>
      <c r="B615" s="6" t="s">
        <v>29</v>
      </c>
      <c r="C615" s="6" t="s">
        <v>30</v>
      </c>
      <c r="D615" s="6" t="s">
        <v>24</v>
      </c>
      <c r="E615" s="6" t="s">
        <v>35</v>
      </c>
      <c r="F615" s="6" t="s">
        <v>40</v>
      </c>
      <c r="G615" s="7">
        <f>Table2[[#This Row],[Unit price]]-10</f>
        <v>70.930000000000007</v>
      </c>
      <c r="H615" s="7">
        <v>80.930000000000007</v>
      </c>
      <c r="I615" s="8">
        <v>1</v>
      </c>
      <c r="J615" s="8">
        <f>Table2[[#This Row],[Unit price]]*Table2[[#This Row],[Quantity]]</f>
        <v>80.930000000000007</v>
      </c>
      <c r="K615" s="8">
        <f>Table2[[#This Row],[Unit Cost]]*Table2[[#This Row],[Quantity]]</f>
        <v>70.930000000000007</v>
      </c>
      <c r="L615" s="8">
        <f>Table2[[#This Row],[Gross Sales]]-Table2[[#This Row],[COGS]]</f>
        <v>10</v>
      </c>
      <c r="M615" s="9">
        <f t="shared" si="9"/>
        <v>0.12356357345854441</v>
      </c>
      <c r="N615" s="7">
        <v>4.0465</v>
      </c>
      <c r="O615" s="7">
        <v>84.976500000000001</v>
      </c>
      <c r="P615" s="10">
        <v>43484</v>
      </c>
      <c r="Q615" s="10" t="str">
        <f>TEXT(Table2[[#This Row],[Date]],"mmm")</f>
        <v>Jan</v>
      </c>
      <c r="R615" s="11">
        <v>0.67222222222222217</v>
      </c>
      <c r="S615" s="6" t="s">
        <v>37</v>
      </c>
      <c r="T615" s="7">
        <v>9</v>
      </c>
      <c r="U615" s="6">
        <f>IF(_xlfn.XLOOKUP(A615,[1]Data2!$A:$A,[1]Data2!$B:$B,"no")="yes",1,0)</f>
        <v>0</v>
      </c>
    </row>
    <row r="616" spans="1:21" s="6" customFormat="1" x14ac:dyDescent="0.3">
      <c r="A616" s="6" t="s">
        <v>654</v>
      </c>
      <c r="B616" s="6" t="s">
        <v>22</v>
      </c>
      <c r="C616" s="6" t="s">
        <v>23</v>
      </c>
      <c r="D616" s="6" t="s">
        <v>24</v>
      </c>
      <c r="E616" s="6" t="s">
        <v>35</v>
      </c>
      <c r="F616" s="6" t="s">
        <v>48</v>
      </c>
      <c r="G616" s="7">
        <f>Table2[[#This Row],[Unit price]]-10</f>
        <v>57.45</v>
      </c>
      <c r="H616" s="7">
        <v>67.45</v>
      </c>
      <c r="I616" s="8">
        <v>10</v>
      </c>
      <c r="J616" s="8">
        <f>Table2[[#This Row],[Unit price]]*Table2[[#This Row],[Quantity]]</f>
        <v>674.5</v>
      </c>
      <c r="K616" s="8">
        <f>Table2[[#This Row],[Unit Cost]]*Table2[[#This Row],[Quantity]]</f>
        <v>574.5</v>
      </c>
      <c r="L616" s="8">
        <f>Table2[[#This Row],[Gross Sales]]-Table2[[#This Row],[COGS]]</f>
        <v>100</v>
      </c>
      <c r="M616" s="9">
        <f t="shared" si="9"/>
        <v>0.14825796886582654</v>
      </c>
      <c r="N616" s="7">
        <v>33.725000000000001</v>
      </c>
      <c r="O616" s="7">
        <v>708.22500000000002</v>
      </c>
      <c r="P616" s="10">
        <v>43499</v>
      </c>
      <c r="Q616" s="10" t="str">
        <f>TEXT(Table2[[#This Row],[Date]],"mmm")</f>
        <v>Feb</v>
      </c>
      <c r="R616" s="11">
        <v>0.47569444444444442</v>
      </c>
      <c r="S616" s="6" t="s">
        <v>27</v>
      </c>
      <c r="T616" s="7">
        <v>4.2</v>
      </c>
      <c r="U616" s="6">
        <f>IF(_xlfn.XLOOKUP(A616,[1]Data2!$A:$A,[1]Data2!$B:$B,"no")="yes",1,0)</f>
        <v>0</v>
      </c>
    </row>
    <row r="617" spans="1:21" s="6" customFormat="1" x14ac:dyDescent="0.3">
      <c r="A617" s="6" t="s">
        <v>655</v>
      </c>
      <c r="B617" s="6" t="s">
        <v>22</v>
      </c>
      <c r="C617" s="6" t="s">
        <v>23</v>
      </c>
      <c r="D617" s="6" t="s">
        <v>24</v>
      </c>
      <c r="E617" s="6" t="s">
        <v>25</v>
      </c>
      <c r="F617" s="6" t="s">
        <v>40</v>
      </c>
      <c r="G617" s="7">
        <f>Table2[[#This Row],[Unit price]]-10</f>
        <v>28.72</v>
      </c>
      <c r="H617" s="7">
        <v>38.72</v>
      </c>
      <c r="I617" s="8">
        <v>9</v>
      </c>
      <c r="J617" s="8">
        <f>Table2[[#This Row],[Unit price]]*Table2[[#This Row],[Quantity]]</f>
        <v>348.48</v>
      </c>
      <c r="K617" s="8">
        <f>Table2[[#This Row],[Unit Cost]]*Table2[[#This Row],[Quantity]]</f>
        <v>258.48</v>
      </c>
      <c r="L617" s="8">
        <f>Table2[[#This Row],[Gross Sales]]-Table2[[#This Row],[COGS]]</f>
        <v>90</v>
      </c>
      <c r="M617" s="9">
        <f t="shared" si="9"/>
        <v>0.25826446280991733</v>
      </c>
      <c r="N617" s="7">
        <v>17.423999999999999</v>
      </c>
      <c r="O617" s="7">
        <v>365.904</v>
      </c>
      <c r="P617" s="10">
        <v>43544</v>
      </c>
      <c r="Q617" s="10" t="str">
        <f>TEXT(Table2[[#This Row],[Date]],"mmm")</f>
        <v>Mar</v>
      </c>
      <c r="R617" s="11">
        <v>0.51666666666666672</v>
      </c>
      <c r="S617" s="6" t="s">
        <v>27</v>
      </c>
      <c r="T617" s="7">
        <v>4.2</v>
      </c>
      <c r="U617" s="6">
        <f>IF(_xlfn.XLOOKUP(A617,[1]Data2!$A:$A,[1]Data2!$B:$B,"no")="yes",1,0)</f>
        <v>0</v>
      </c>
    </row>
    <row r="618" spans="1:21" s="6" customFormat="1" x14ac:dyDescent="0.3">
      <c r="A618" s="6" t="s">
        <v>656</v>
      </c>
      <c r="B618" s="6" t="s">
        <v>46</v>
      </c>
      <c r="C618" s="6" t="s">
        <v>47</v>
      </c>
      <c r="D618" s="6" t="s">
        <v>24</v>
      </c>
      <c r="E618" s="6" t="s">
        <v>35</v>
      </c>
      <c r="F618" s="6" t="s">
        <v>40</v>
      </c>
      <c r="G618" s="7">
        <f>Table2[[#This Row],[Unit price]]-10</f>
        <v>62.599999999999994</v>
      </c>
      <c r="H618" s="7">
        <v>72.599999999999994</v>
      </c>
      <c r="I618" s="8">
        <v>6</v>
      </c>
      <c r="J618" s="8">
        <f>Table2[[#This Row],[Unit price]]*Table2[[#This Row],[Quantity]]</f>
        <v>435.59999999999997</v>
      </c>
      <c r="K618" s="8">
        <f>Table2[[#This Row],[Unit Cost]]*Table2[[#This Row],[Quantity]]</f>
        <v>375.59999999999997</v>
      </c>
      <c r="L618" s="8">
        <f>Table2[[#This Row],[Gross Sales]]-Table2[[#This Row],[COGS]]</f>
        <v>60</v>
      </c>
      <c r="M618" s="9">
        <f t="shared" si="9"/>
        <v>0.13774104683195593</v>
      </c>
      <c r="N618" s="7">
        <v>21.78</v>
      </c>
      <c r="O618" s="7">
        <v>457.38</v>
      </c>
      <c r="P618" s="10">
        <v>43478</v>
      </c>
      <c r="Q618" s="10" t="str">
        <f>TEXT(Table2[[#This Row],[Date]],"mmm")</f>
        <v>Jan</v>
      </c>
      <c r="R618" s="11">
        <v>0.82708333333333339</v>
      </c>
      <c r="S618" s="6" t="s">
        <v>33</v>
      </c>
      <c r="T618" s="7">
        <v>6.9</v>
      </c>
      <c r="U618" s="6">
        <f>IF(_xlfn.XLOOKUP(A618,[1]Data2!$A:$A,[1]Data2!$B:$B,"no")="yes",1,0)</f>
        <v>1</v>
      </c>
    </row>
    <row r="619" spans="1:21" s="6" customFormat="1" x14ac:dyDescent="0.3">
      <c r="A619" s="6" t="s">
        <v>657</v>
      </c>
      <c r="B619" s="6" t="s">
        <v>29</v>
      </c>
      <c r="C619" s="6" t="s">
        <v>30</v>
      </c>
      <c r="D619" s="6" t="s">
        <v>24</v>
      </c>
      <c r="E619" s="6" t="s">
        <v>35</v>
      </c>
      <c r="F619" s="6" t="s">
        <v>32</v>
      </c>
      <c r="G619" s="7">
        <f>Table2[[#This Row],[Unit price]]-10</f>
        <v>77.91</v>
      </c>
      <c r="H619" s="7">
        <v>87.91</v>
      </c>
      <c r="I619" s="8">
        <v>5</v>
      </c>
      <c r="J619" s="8">
        <f>Table2[[#This Row],[Unit price]]*Table2[[#This Row],[Quantity]]</f>
        <v>439.54999999999995</v>
      </c>
      <c r="K619" s="8">
        <f>Table2[[#This Row],[Unit Cost]]*Table2[[#This Row],[Quantity]]</f>
        <v>389.54999999999995</v>
      </c>
      <c r="L619" s="8">
        <f>Table2[[#This Row],[Gross Sales]]-Table2[[#This Row],[COGS]]</f>
        <v>50</v>
      </c>
      <c r="M619" s="9">
        <f t="shared" si="9"/>
        <v>0.11375270162666365</v>
      </c>
      <c r="N619" s="7">
        <v>21.977499999999999</v>
      </c>
      <c r="O619" s="7">
        <v>461.52749999999997</v>
      </c>
      <c r="P619" s="10">
        <v>43538</v>
      </c>
      <c r="Q619" s="10" t="str">
        <f>TEXT(Table2[[#This Row],[Date]],"mmm")</f>
        <v>Mar</v>
      </c>
      <c r="R619" s="11">
        <v>0.75694444444444453</v>
      </c>
      <c r="S619" s="6" t="s">
        <v>27</v>
      </c>
      <c r="T619" s="7">
        <v>4.4000000000000004</v>
      </c>
      <c r="U619" s="6">
        <f>IF(_xlfn.XLOOKUP(A619,[1]Data2!$A:$A,[1]Data2!$B:$B,"no")="yes",1,0)</f>
        <v>0</v>
      </c>
    </row>
    <row r="620" spans="1:21" s="6" customFormat="1" x14ac:dyDescent="0.3">
      <c r="A620" s="6" t="s">
        <v>658</v>
      </c>
      <c r="B620" s="6" t="s">
        <v>22</v>
      </c>
      <c r="C620" s="6" t="s">
        <v>23</v>
      </c>
      <c r="D620" s="6" t="s">
        <v>24</v>
      </c>
      <c r="E620" s="6" t="s">
        <v>35</v>
      </c>
      <c r="F620" s="6" t="s">
        <v>48</v>
      </c>
      <c r="G620" s="7">
        <f>Table2[[#This Row],[Unit price]]-10</f>
        <v>88.53</v>
      </c>
      <c r="H620" s="7">
        <v>98.53</v>
      </c>
      <c r="I620" s="8">
        <v>6</v>
      </c>
      <c r="J620" s="8">
        <f>Table2[[#This Row],[Unit price]]*Table2[[#This Row],[Quantity]]</f>
        <v>591.18000000000006</v>
      </c>
      <c r="K620" s="8">
        <f>Table2[[#This Row],[Unit Cost]]*Table2[[#This Row],[Quantity]]</f>
        <v>531.18000000000006</v>
      </c>
      <c r="L620" s="8">
        <f>Table2[[#This Row],[Gross Sales]]-Table2[[#This Row],[COGS]]</f>
        <v>60</v>
      </c>
      <c r="M620" s="9">
        <f t="shared" si="9"/>
        <v>0.10149193139145436</v>
      </c>
      <c r="N620" s="7">
        <v>29.559000000000001</v>
      </c>
      <c r="O620" s="7">
        <v>620.73900000000003</v>
      </c>
      <c r="P620" s="10">
        <v>43488</v>
      </c>
      <c r="Q620" s="10" t="str">
        <f>TEXT(Table2[[#This Row],[Date]],"mmm")</f>
        <v>Jan</v>
      </c>
      <c r="R620" s="11">
        <v>0.47361111111111115</v>
      </c>
      <c r="S620" s="6" t="s">
        <v>37</v>
      </c>
      <c r="T620" s="7">
        <v>4</v>
      </c>
      <c r="U620" s="6">
        <f>IF(_xlfn.XLOOKUP(A620,[1]Data2!$A:$A,[1]Data2!$B:$B,"no")="yes",1,0)</f>
        <v>0</v>
      </c>
    </row>
    <row r="621" spans="1:21" s="6" customFormat="1" x14ac:dyDescent="0.3">
      <c r="A621" s="6" t="s">
        <v>659</v>
      </c>
      <c r="B621" s="6" t="s">
        <v>29</v>
      </c>
      <c r="C621" s="6" t="s">
        <v>30</v>
      </c>
      <c r="D621" s="6" t="s">
        <v>24</v>
      </c>
      <c r="E621" s="6" t="s">
        <v>25</v>
      </c>
      <c r="F621" s="6" t="s">
        <v>50</v>
      </c>
      <c r="G621" s="7">
        <f>Table2[[#This Row],[Unit price]]-10</f>
        <v>33.46</v>
      </c>
      <c r="H621" s="7">
        <v>43.46</v>
      </c>
      <c r="I621" s="8">
        <v>6</v>
      </c>
      <c r="J621" s="8">
        <f>Table2[[#This Row],[Unit price]]*Table2[[#This Row],[Quantity]]</f>
        <v>260.76</v>
      </c>
      <c r="K621" s="8">
        <f>Table2[[#This Row],[Unit Cost]]*Table2[[#This Row],[Quantity]]</f>
        <v>200.76</v>
      </c>
      <c r="L621" s="8">
        <f>Table2[[#This Row],[Gross Sales]]-Table2[[#This Row],[COGS]]</f>
        <v>60</v>
      </c>
      <c r="M621" s="9">
        <f t="shared" si="9"/>
        <v>0.23009664058904741</v>
      </c>
      <c r="N621" s="7">
        <v>13.038</v>
      </c>
      <c r="O621" s="7">
        <v>273.798</v>
      </c>
      <c r="P621" s="10">
        <v>43503</v>
      </c>
      <c r="Q621" s="10" t="str">
        <f>TEXT(Table2[[#This Row],[Date]],"mmm")</f>
        <v>Feb</v>
      </c>
      <c r="R621" s="11">
        <v>0.74652777777777779</v>
      </c>
      <c r="S621" s="6" t="s">
        <v>27</v>
      </c>
      <c r="T621" s="7">
        <v>8.5</v>
      </c>
      <c r="U621" s="6">
        <f>IF(_xlfn.XLOOKUP(A621,[1]Data2!$A:$A,[1]Data2!$B:$B,"no")="yes",1,0)</f>
        <v>0</v>
      </c>
    </row>
    <row r="622" spans="1:21" s="6" customFormat="1" x14ac:dyDescent="0.3">
      <c r="A622" s="6" t="s">
        <v>660</v>
      </c>
      <c r="B622" s="6" t="s">
        <v>22</v>
      </c>
      <c r="C622" s="6" t="s">
        <v>23</v>
      </c>
      <c r="D622" s="6" t="s">
        <v>31</v>
      </c>
      <c r="E622" s="6" t="s">
        <v>25</v>
      </c>
      <c r="F622" s="6" t="s">
        <v>48</v>
      </c>
      <c r="G622" s="7">
        <f>Table2[[#This Row],[Unit price]]-10</f>
        <v>61.680000000000007</v>
      </c>
      <c r="H622" s="7">
        <v>71.680000000000007</v>
      </c>
      <c r="I622" s="8">
        <v>3</v>
      </c>
      <c r="J622" s="8">
        <f>Table2[[#This Row],[Unit price]]*Table2[[#This Row],[Quantity]]</f>
        <v>215.04000000000002</v>
      </c>
      <c r="K622" s="8">
        <f>Table2[[#This Row],[Unit Cost]]*Table2[[#This Row],[Quantity]]</f>
        <v>185.04000000000002</v>
      </c>
      <c r="L622" s="8">
        <f>Table2[[#This Row],[Gross Sales]]-Table2[[#This Row],[COGS]]</f>
        <v>30</v>
      </c>
      <c r="M622" s="9">
        <f t="shared" si="9"/>
        <v>0.13950892857142855</v>
      </c>
      <c r="N622" s="7">
        <v>10.752000000000001</v>
      </c>
      <c r="O622" s="7">
        <v>225.792</v>
      </c>
      <c r="P622" s="10">
        <v>43552</v>
      </c>
      <c r="Q622" s="10" t="str">
        <f>TEXT(Table2[[#This Row],[Date]],"mmm")</f>
        <v>Mar</v>
      </c>
      <c r="R622" s="11">
        <v>0.64583333333333337</v>
      </c>
      <c r="S622" s="6" t="s">
        <v>37</v>
      </c>
      <c r="T622" s="7">
        <v>9.1999999999999993</v>
      </c>
      <c r="U622" s="6">
        <f>IF(_xlfn.XLOOKUP(A622,[1]Data2!$A:$A,[1]Data2!$B:$B,"no")="yes",1,0)</f>
        <v>1</v>
      </c>
    </row>
    <row r="623" spans="1:21" s="6" customFormat="1" x14ac:dyDescent="0.3">
      <c r="A623" s="6" t="s">
        <v>661</v>
      </c>
      <c r="B623" s="6" t="s">
        <v>22</v>
      </c>
      <c r="C623" s="6" t="s">
        <v>23</v>
      </c>
      <c r="D623" s="6" t="s">
        <v>24</v>
      </c>
      <c r="E623" s="6" t="s">
        <v>25</v>
      </c>
      <c r="F623" s="6" t="s">
        <v>48</v>
      </c>
      <c r="G623" s="7">
        <f>Table2[[#This Row],[Unit price]]-10</f>
        <v>81.61</v>
      </c>
      <c r="H623" s="7">
        <v>91.61</v>
      </c>
      <c r="I623" s="8">
        <v>1</v>
      </c>
      <c r="J623" s="8">
        <f>Table2[[#This Row],[Unit price]]*Table2[[#This Row],[Quantity]]</f>
        <v>91.61</v>
      </c>
      <c r="K623" s="8">
        <f>Table2[[#This Row],[Unit Cost]]*Table2[[#This Row],[Quantity]]</f>
        <v>81.61</v>
      </c>
      <c r="L623" s="8">
        <f>Table2[[#This Row],[Gross Sales]]-Table2[[#This Row],[COGS]]</f>
        <v>10</v>
      </c>
      <c r="M623" s="9">
        <f t="shared" si="9"/>
        <v>0.10915838882218099</v>
      </c>
      <c r="N623" s="7">
        <v>4.5804999999999998</v>
      </c>
      <c r="O623" s="7">
        <v>96.1905</v>
      </c>
      <c r="P623" s="10">
        <v>43544</v>
      </c>
      <c r="Q623" s="10" t="str">
        <f>TEXT(Table2[[#This Row],[Date]],"mmm")</f>
        <v>Mar</v>
      </c>
      <c r="R623" s="11">
        <v>0.8222222222222223</v>
      </c>
      <c r="S623" s="6" t="s">
        <v>33</v>
      </c>
      <c r="T623" s="7">
        <v>9.8000000000000007</v>
      </c>
      <c r="U623" s="6">
        <f>IF(_xlfn.XLOOKUP(A623,[1]Data2!$A:$A,[1]Data2!$B:$B,"no")="yes",1,0)</f>
        <v>0</v>
      </c>
    </row>
    <row r="624" spans="1:21" s="6" customFormat="1" x14ac:dyDescent="0.3">
      <c r="A624" s="6" t="s">
        <v>662</v>
      </c>
      <c r="B624" s="6" t="s">
        <v>46</v>
      </c>
      <c r="C624" s="6" t="s">
        <v>47</v>
      </c>
      <c r="D624" s="6" t="s">
        <v>24</v>
      </c>
      <c r="E624" s="6" t="s">
        <v>25</v>
      </c>
      <c r="F624" s="6" t="s">
        <v>36</v>
      </c>
      <c r="G624" s="7">
        <f>Table2[[#This Row],[Unit price]]-10</f>
        <v>84.59</v>
      </c>
      <c r="H624" s="7">
        <v>94.59</v>
      </c>
      <c r="I624" s="8">
        <v>7</v>
      </c>
      <c r="J624" s="8">
        <f>Table2[[#This Row],[Unit price]]*Table2[[#This Row],[Quantity]]</f>
        <v>662.13</v>
      </c>
      <c r="K624" s="8">
        <f>Table2[[#This Row],[Unit Cost]]*Table2[[#This Row],[Quantity]]</f>
        <v>592.13</v>
      </c>
      <c r="L624" s="8">
        <f>Table2[[#This Row],[Gross Sales]]-Table2[[#This Row],[COGS]]</f>
        <v>70</v>
      </c>
      <c r="M624" s="9">
        <f t="shared" si="9"/>
        <v>0.10571942065757479</v>
      </c>
      <c r="N624" s="7">
        <v>33.106499999999997</v>
      </c>
      <c r="O624" s="7">
        <v>695.23649999999998</v>
      </c>
      <c r="P624" s="10">
        <v>43482</v>
      </c>
      <c r="Q624" s="10" t="str">
        <f>TEXT(Table2[[#This Row],[Date]],"mmm")</f>
        <v>Jan</v>
      </c>
      <c r="R624" s="11">
        <v>0.64374999999999993</v>
      </c>
      <c r="S624" s="6" t="s">
        <v>37</v>
      </c>
      <c r="T624" s="7">
        <v>4.9000000000000004</v>
      </c>
      <c r="U624" s="6">
        <f>IF(_xlfn.XLOOKUP(A624,[1]Data2!$A:$A,[1]Data2!$B:$B,"no")="yes",1,0)</f>
        <v>0</v>
      </c>
    </row>
    <row r="625" spans="1:21" s="6" customFormat="1" x14ac:dyDescent="0.3">
      <c r="A625" s="6" t="s">
        <v>663</v>
      </c>
      <c r="B625" s="6" t="s">
        <v>46</v>
      </c>
      <c r="C625" s="6" t="s">
        <v>47</v>
      </c>
      <c r="D625" s="6" t="s">
        <v>31</v>
      </c>
      <c r="E625" s="6" t="s">
        <v>25</v>
      </c>
      <c r="F625" s="6" t="s">
        <v>50</v>
      </c>
      <c r="G625" s="7">
        <f>Table2[[#This Row],[Unit price]]-10</f>
        <v>73.25</v>
      </c>
      <c r="H625" s="7">
        <v>83.25</v>
      </c>
      <c r="I625" s="8">
        <v>10</v>
      </c>
      <c r="J625" s="8">
        <f>Table2[[#This Row],[Unit price]]*Table2[[#This Row],[Quantity]]</f>
        <v>832.5</v>
      </c>
      <c r="K625" s="8">
        <f>Table2[[#This Row],[Unit Cost]]*Table2[[#This Row],[Quantity]]</f>
        <v>732.5</v>
      </c>
      <c r="L625" s="8">
        <f>Table2[[#This Row],[Gross Sales]]-Table2[[#This Row],[COGS]]</f>
        <v>100</v>
      </c>
      <c r="M625" s="9">
        <f t="shared" si="9"/>
        <v>0.12012012012012012</v>
      </c>
      <c r="N625" s="7">
        <v>41.625</v>
      </c>
      <c r="O625" s="7">
        <v>874.125</v>
      </c>
      <c r="P625" s="10">
        <v>43477</v>
      </c>
      <c r="Q625" s="10" t="str">
        <f>TEXT(Table2[[#This Row],[Date]],"mmm")</f>
        <v>Jan</v>
      </c>
      <c r="R625" s="11">
        <v>0.47569444444444442</v>
      </c>
      <c r="S625" s="6" t="s">
        <v>37</v>
      </c>
      <c r="T625" s="7">
        <v>4.4000000000000004</v>
      </c>
      <c r="U625" s="6">
        <f>IF(_xlfn.XLOOKUP(A625,[1]Data2!$A:$A,[1]Data2!$B:$B,"no")="yes",1,0)</f>
        <v>0</v>
      </c>
    </row>
    <row r="626" spans="1:21" s="6" customFormat="1" x14ac:dyDescent="0.3">
      <c r="A626" s="6" t="s">
        <v>664</v>
      </c>
      <c r="B626" s="6" t="s">
        <v>46</v>
      </c>
      <c r="C626" s="6" t="s">
        <v>47</v>
      </c>
      <c r="D626" s="6" t="s">
        <v>24</v>
      </c>
      <c r="E626" s="6" t="s">
        <v>35</v>
      </c>
      <c r="F626" s="6" t="s">
        <v>50</v>
      </c>
      <c r="G626" s="7">
        <f>Table2[[#This Row],[Unit price]]-10</f>
        <v>81.349999999999994</v>
      </c>
      <c r="H626" s="7">
        <v>91.35</v>
      </c>
      <c r="I626" s="8">
        <v>1</v>
      </c>
      <c r="J626" s="8">
        <f>Table2[[#This Row],[Unit price]]*Table2[[#This Row],[Quantity]]</f>
        <v>91.35</v>
      </c>
      <c r="K626" s="8">
        <f>Table2[[#This Row],[Unit Cost]]*Table2[[#This Row],[Quantity]]</f>
        <v>81.349999999999994</v>
      </c>
      <c r="L626" s="8">
        <f>Table2[[#This Row],[Gross Sales]]-Table2[[#This Row],[COGS]]</f>
        <v>10</v>
      </c>
      <c r="M626" s="9">
        <f t="shared" si="9"/>
        <v>0.10946907498631638</v>
      </c>
      <c r="N626" s="7">
        <v>4.5674999999999999</v>
      </c>
      <c r="O626" s="7">
        <v>95.917500000000004</v>
      </c>
      <c r="P626" s="10">
        <v>43512</v>
      </c>
      <c r="Q626" s="10" t="str">
        <f>TEXT(Table2[[#This Row],[Date]],"mmm")</f>
        <v>Feb</v>
      </c>
      <c r="R626" s="11">
        <v>0.65416666666666667</v>
      </c>
      <c r="S626" s="6" t="s">
        <v>33</v>
      </c>
      <c r="T626" s="7">
        <v>6.8</v>
      </c>
      <c r="U626" s="6">
        <f>IF(_xlfn.XLOOKUP(A626,[1]Data2!$A:$A,[1]Data2!$B:$B,"no")="yes",1,0)</f>
        <v>1</v>
      </c>
    </row>
    <row r="627" spans="1:21" s="6" customFormat="1" x14ac:dyDescent="0.3">
      <c r="A627" s="6" t="s">
        <v>665</v>
      </c>
      <c r="B627" s="6" t="s">
        <v>46</v>
      </c>
      <c r="C627" s="6" t="s">
        <v>47</v>
      </c>
      <c r="D627" s="6" t="s">
        <v>24</v>
      </c>
      <c r="E627" s="6" t="s">
        <v>25</v>
      </c>
      <c r="F627" s="6" t="s">
        <v>48</v>
      </c>
      <c r="G627" s="7">
        <f>Table2[[#This Row],[Unit price]]-10</f>
        <v>68.88</v>
      </c>
      <c r="H627" s="7">
        <v>78.88</v>
      </c>
      <c r="I627" s="8">
        <v>2</v>
      </c>
      <c r="J627" s="8">
        <f>Table2[[#This Row],[Unit price]]*Table2[[#This Row],[Quantity]]</f>
        <v>157.76</v>
      </c>
      <c r="K627" s="8">
        <f>Table2[[#This Row],[Unit Cost]]*Table2[[#This Row],[Quantity]]</f>
        <v>137.76</v>
      </c>
      <c r="L627" s="8">
        <f>Table2[[#This Row],[Gross Sales]]-Table2[[#This Row],[COGS]]</f>
        <v>20</v>
      </c>
      <c r="M627" s="9">
        <f t="shared" si="9"/>
        <v>0.12677484787018256</v>
      </c>
      <c r="N627" s="7">
        <v>7.8879999999999999</v>
      </c>
      <c r="O627" s="7">
        <v>165.648</v>
      </c>
      <c r="P627" s="10">
        <v>43491</v>
      </c>
      <c r="Q627" s="10" t="str">
        <f>TEXT(Table2[[#This Row],[Date]],"mmm")</f>
        <v>Jan</v>
      </c>
      <c r="R627" s="11">
        <v>0.6694444444444444</v>
      </c>
      <c r="S627" s="6" t="s">
        <v>33</v>
      </c>
      <c r="T627" s="7">
        <v>9.1</v>
      </c>
      <c r="U627" s="6">
        <f>IF(_xlfn.XLOOKUP(A627,[1]Data2!$A:$A,[1]Data2!$B:$B,"no")="yes",1,0)</f>
        <v>0</v>
      </c>
    </row>
    <row r="628" spans="1:21" s="6" customFormat="1" x14ac:dyDescent="0.3">
      <c r="A628" s="6" t="s">
        <v>666</v>
      </c>
      <c r="B628" s="6" t="s">
        <v>22</v>
      </c>
      <c r="C628" s="6" t="s">
        <v>23</v>
      </c>
      <c r="D628" s="6" t="s">
        <v>31</v>
      </c>
      <c r="E628" s="6" t="s">
        <v>35</v>
      </c>
      <c r="F628" s="6" t="s">
        <v>40</v>
      </c>
      <c r="G628" s="7">
        <f>Table2[[#This Row],[Unit price]]-10</f>
        <v>50.87</v>
      </c>
      <c r="H628" s="7">
        <v>60.87</v>
      </c>
      <c r="I628" s="8">
        <v>2</v>
      </c>
      <c r="J628" s="8">
        <f>Table2[[#This Row],[Unit price]]*Table2[[#This Row],[Quantity]]</f>
        <v>121.74</v>
      </c>
      <c r="K628" s="8">
        <f>Table2[[#This Row],[Unit Cost]]*Table2[[#This Row],[Quantity]]</f>
        <v>101.74</v>
      </c>
      <c r="L628" s="8">
        <f>Table2[[#This Row],[Gross Sales]]-Table2[[#This Row],[COGS]]</f>
        <v>20</v>
      </c>
      <c r="M628" s="9">
        <f t="shared" si="9"/>
        <v>0.16428454082470839</v>
      </c>
      <c r="N628" s="7">
        <v>6.0869999999999997</v>
      </c>
      <c r="O628" s="7">
        <v>127.827</v>
      </c>
      <c r="P628" s="10">
        <v>43533</v>
      </c>
      <c r="Q628" s="10" t="str">
        <f>TEXT(Table2[[#This Row],[Date]],"mmm")</f>
        <v>Mar</v>
      </c>
      <c r="R628" s="11">
        <v>0.52569444444444446</v>
      </c>
      <c r="S628" s="6" t="s">
        <v>27</v>
      </c>
      <c r="T628" s="7">
        <v>8.6999999999999993</v>
      </c>
      <c r="U628" s="6">
        <f>IF(_xlfn.XLOOKUP(A628,[1]Data2!$A:$A,[1]Data2!$B:$B,"no")="yes",1,0)</f>
        <v>0</v>
      </c>
    </row>
    <row r="629" spans="1:21" s="6" customFormat="1" x14ac:dyDescent="0.3">
      <c r="A629" s="6" t="s">
        <v>667</v>
      </c>
      <c r="B629" s="6" t="s">
        <v>46</v>
      </c>
      <c r="C629" s="6" t="s">
        <v>47</v>
      </c>
      <c r="D629" s="6" t="s">
        <v>24</v>
      </c>
      <c r="E629" s="6" t="s">
        <v>35</v>
      </c>
      <c r="F629" s="6" t="s">
        <v>26</v>
      </c>
      <c r="G629" s="7">
        <f>Table2[[#This Row],[Unit price]]-10</f>
        <v>72.58</v>
      </c>
      <c r="H629" s="7">
        <v>82.58</v>
      </c>
      <c r="I629" s="8">
        <v>10</v>
      </c>
      <c r="J629" s="8">
        <f>Table2[[#This Row],[Unit price]]*Table2[[#This Row],[Quantity]]</f>
        <v>825.8</v>
      </c>
      <c r="K629" s="8">
        <f>Table2[[#This Row],[Unit Cost]]*Table2[[#This Row],[Quantity]]</f>
        <v>725.8</v>
      </c>
      <c r="L629" s="8">
        <f>Table2[[#This Row],[Gross Sales]]-Table2[[#This Row],[COGS]]</f>
        <v>100</v>
      </c>
      <c r="M629" s="9">
        <f t="shared" si="9"/>
        <v>0.12109469605231292</v>
      </c>
      <c r="N629" s="7">
        <v>41.29</v>
      </c>
      <c r="O629" s="7">
        <v>867.09</v>
      </c>
      <c r="P629" s="10">
        <v>43538</v>
      </c>
      <c r="Q629" s="10" t="str">
        <f>TEXT(Table2[[#This Row],[Date]],"mmm")</f>
        <v>Mar</v>
      </c>
      <c r="R629" s="11">
        <v>0.6118055555555556</v>
      </c>
      <c r="S629" s="6" t="s">
        <v>33</v>
      </c>
      <c r="T629" s="7">
        <v>5</v>
      </c>
      <c r="U629" s="6">
        <f>IF(_xlfn.XLOOKUP(A629,[1]Data2!$A:$A,[1]Data2!$B:$B,"no")="yes",1,0)</f>
        <v>0</v>
      </c>
    </row>
    <row r="630" spans="1:21" s="6" customFormat="1" x14ac:dyDescent="0.3">
      <c r="A630" s="6" t="s">
        <v>668</v>
      </c>
      <c r="B630" s="6" t="s">
        <v>22</v>
      </c>
      <c r="C630" s="6" t="s">
        <v>23</v>
      </c>
      <c r="D630" s="6" t="s">
        <v>24</v>
      </c>
      <c r="E630" s="6" t="s">
        <v>35</v>
      </c>
      <c r="F630" s="6" t="s">
        <v>36</v>
      </c>
      <c r="G630" s="7">
        <f>Table2[[#This Row],[Unit price]]-10</f>
        <v>43.3</v>
      </c>
      <c r="H630" s="7">
        <v>53.3</v>
      </c>
      <c r="I630" s="8">
        <v>3</v>
      </c>
      <c r="J630" s="8">
        <f>Table2[[#This Row],[Unit price]]*Table2[[#This Row],[Quantity]]</f>
        <v>159.89999999999998</v>
      </c>
      <c r="K630" s="8">
        <f>Table2[[#This Row],[Unit Cost]]*Table2[[#This Row],[Quantity]]</f>
        <v>129.89999999999998</v>
      </c>
      <c r="L630" s="8">
        <f>Table2[[#This Row],[Gross Sales]]-Table2[[#This Row],[COGS]]</f>
        <v>30</v>
      </c>
      <c r="M630" s="9">
        <f t="shared" si="9"/>
        <v>0.18761726078799251</v>
      </c>
      <c r="N630" s="7">
        <v>7.9950000000000001</v>
      </c>
      <c r="O630" s="7">
        <v>167.89500000000001</v>
      </c>
      <c r="P630" s="10">
        <v>43490</v>
      </c>
      <c r="Q630" s="10" t="str">
        <f>TEXT(Table2[[#This Row],[Date]],"mmm")</f>
        <v>Jan</v>
      </c>
      <c r="R630" s="11">
        <v>0.59652777777777777</v>
      </c>
      <c r="S630" s="6" t="s">
        <v>27</v>
      </c>
      <c r="T630" s="7">
        <v>7.5</v>
      </c>
      <c r="U630" s="6">
        <f>IF(_xlfn.XLOOKUP(A630,[1]Data2!$A:$A,[1]Data2!$B:$B,"no")="yes",1,0)</f>
        <v>1</v>
      </c>
    </row>
    <row r="631" spans="1:21" s="6" customFormat="1" x14ac:dyDescent="0.3">
      <c r="A631" s="6" t="s">
        <v>669</v>
      </c>
      <c r="B631" s="6" t="s">
        <v>22</v>
      </c>
      <c r="C631" s="6" t="s">
        <v>23</v>
      </c>
      <c r="D631" s="6" t="s">
        <v>31</v>
      </c>
      <c r="E631" s="6" t="s">
        <v>25</v>
      </c>
      <c r="F631" s="6" t="s">
        <v>50</v>
      </c>
      <c r="G631" s="7">
        <f>Table2[[#This Row],[Unit price]]-10</f>
        <v>2.09</v>
      </c>
      <c r="H631" s="7">
        <v>12.09</v>
      </c>
      <c r="I631" s="8">
        <v>1</v>
      </c>
      <c r="J631" s="8">
        <f>Table2[[#This Row],[Unit price]]*Table2[[#This Row],[Quantity]]</f>
        <v>12.09</v>
      </c>
      <c r="K631" s="8">
        <f>Table2[[#This Row],[Unit Cost]]*Table2[[#This Row],[Quantity]]</f>
        <v>2.09</v>
      </c>
      <c r="L631" s="8">
        <f>Table2[[#This Row],[Gross Sales]]-Table2[[#This Row],[COGS]]</f>
        <v>10</v>
      </c>
      <c r="M631" s="9">
        <f t="shared" si="9"/>
        <v>0.82712985938792394</v>
      </c>
      <c r="N631" s="7">
        <v>0.60450000000000004</v>
      </c>
      <c r="O631" s="7">
        <v>12.6945</v>
      </c>
      <c r="P631" s="10">
        <v>43491</v>
      </c>
      <c r="Q631" s="10" t="str">
        <f>TEXT(Table2[[#This Row],[Date]],"mmm")</f>
        <v>Jan</v>
      </c>
      <c r="R631" s="11">
        <v>0.7631944444444444</v>
      </c>
      <c r="S631" s="6" t="s">
        <v>37</v>
      </c>
      <c r="T631" s="7">
        <v>8.1999999999999993</v>
      </c>
      <c r="U631" s="6">
        <f>IF(_xlfn.XLOOKUP(A631,[1]Data2!$A:$A,[1]Data2!$B:$B,"no")="yes",1,0)</f>
        <v>0</v>
      </c>
    </row>
    <row r="632" spans="1:21" s="6" customFormat="1" x14ac:dyDescent="0.3">
      <c r="A632" s="6" t="s">
        <v>670</v>
      </c>
      <c r="B632" s="6" t="s">
        <v>22</v>
      </c>
      <c r="C632" s="6" t="s">
        <v>23</v>
      </c>
      <c r="D632" s="6" t="s">
        <v>31</v>
      </c>
      <c r="E632" s="6" t="s">
        <v>35</v>
      </c>
      <c r="F632" s="6" t="s">
        <v>40</v>
      </c>
      <c r="G632" s="7">
        <f>Table2[[#This Row],[Unit price]]-10</f>
        <v>54.19</v>
      </c>
      <c r="H632" s="7">
        <v>64.19</v>
      </c>
      <c r="I632" s="8">
        <v>10</v>
      </c>
      <c r="J632" s="8">
        <f>Table2[[#This Row],[Unit price]]*Table2[[#This Row],[Quantity]]</f>
        <v>641.9</v>
      </c>
      <c r="K632" s="8">
        <f>Table2[[#This Row],[Unit Cost]]*Table2[[#This Row],[Quantity]]</f>
        <v>541.9</v>
      </c>
      <c r="L632" s="8">
        <f>Table2[[#This Row],[Gross Sales]]-Table2[[#This Row],[COGS]]</f>
        <v>100</v>
      </c>
      <c r="M632" s="9">
        <f t="shared" si="9"/>
        <v>0.15578750584203147</v>
      </c>
      <c r="N632" s="7">
        <v>32.094999999999999</v>
      </c>
      <c r="O632" s="7">
        <v>673.995</v>
      </c>
      <c r="P632" s="10">
        <v>43484</v>
      </c>
      <c r="Q632" s="10" t="str">
        <f>TEXT(Table2[[#This Row],[Date]],"mmm")</f>
        <v>Jan</v>
      </c>
      <c r="R632" s="11">
        <v>0.58888888888888891</v>
      </c>
      <c r="S632" s="6" t="s">
        <v>37</v>
      </c>
      <c r="T632" s="7">
        <v>6.7</v>
      </c>
      <c r="U632" s="6">
        <f>IF(_xlfn.XLOOKUP(A632,[1]Data2!$A:$A,[1]Data2!$B:$B,"no")="yes",1,0)</f>
        <v>0</v>
      </c>
    </row>
    <row r="633" spans="1:21" s="6" customFormat="1" x14ac:dyDescent="0.3">
      <c r="A633" s="6" t="s">
        <v>671</v>
      </c>
      <c r="B633" s="6" t="s">
        <v>22</v>
      </c>
      <c r="C633" s="6" t="s">
        <v>23</v>
      </c>
      <c r="D633" s="6" t="s">
        <v>31</v>
      </c>
      <c r="E633" s="6" t="s">
        <v>35</v>
      </c>
      <c r="F633" s="6" t="s">
        <v>32</v>
      </c>
      <c r="G633" s="7">
        <f>Table2[[#This Row],[Unit price]]-10</f>
        <v>68.31</v>
      </c>
      <c r="H633" s="7">
        <v>78.31</v>
      </c>
      <c r="I633" s="8">
        <v>3</v>
      </c>
      <c r="J633" s="8">
        <f>Table2[[#This Row],[Unit price]]*Table2[[#This Row],[Quantity]]</f>
        <v>234.93</v>
      </c>
      <c r="K633" s="8">
        <f>Table2[[#This Row],[Unit Cost]]*Table2[[#This Row],[Quantity]]</f>
        <v>204.93</v>
      </c>
      <c r="L633" s="8">
        <f>Table2[[#This Row],[Gross Sales]]-Table2[[#This Row],[COGS]]</f>
        <v>30</v>
      </c>
      <c r="M633" s="9">
        <f t="shared" si="9"/>
        <v>0.12769761205465457</v>
      </c>
      <c r="N633" s="7">
        <v>11.746499999999999</v>
      </c>
      <c r="O633" s="7">
        <v>246.6765</v>
      </c>
      <c r="P633" s="10">
        <v>43529</v>
      </c>
      <c r="Q633" s="10" t="str">
        <f>TEXT(Table2[[#This Row],[Date]],"mmm")</f>
        <v>Mar</v>
      </c>
      <c r="R633" s="11">
        <v>0.69305555555555554</v>
      </c>
      <c r="S633" s="6" t="s">
        <v>27</v>
      </c>
      <c r="T633" s="7">
        <v>5.4</v>
      </c>
      <c r="U633" s="6">
        <f>IF(_xlfn.XLOOKUP(A633,[1]Data2!$A:$A,[1]Data2!$B:$B,"no")="yes",1,0)</f>
        <v>0</v>
      </c>
    </row>
    <row r="634" spans="1:21" s="6" customFormat="1" x14ac:dyDescent="0.3">
      <c r="A634" s="6" t="s">
        <v>672</v>
      </c>
      <c r="B634" s="6" t="s">
        <v>22</v>
      </c>
      <c r="C634" s="6" t="s">
        <v>23</v>
      </c>
      <c r="D634" s="6" t="s">
        <v>24</v>
      </c>
      <c r="E634" s="6" t="s">
        <v>35</v>
      </c>
      <c r="F634" s="6" t="s">
        <v>48</v>
      </c>
      <c r="G634" s="7">
        <f>Table2[[#This Row],[Unit price]]-10</f>
        <v>73.77</v>
      </c>
      <c r="H634" s="7">
        <v>83.77</v>
      </c>
      <c r="I634" s="8">
        <v>2</v>
      </c>
      <c r="J634" s="8">
        <f>Table2[[#This Row],[Unit price]]*Table2[[#This Row],[Quantity]]</f>
        <v>167.54</v>
      </c>
      <c r="K634" s="8">
        <f>Table2[[#This Row],[Unit Cost]]*Table2[[#This Row],[Quantity]]</f>
        <v>147.54</v>
      </c>
      <c r="L634" s="8">
        <f>Table2[[#This Row],[Gross Sales]]-Table2[[#This Row],[COGS]]</f>
        <v>20</v>
      </c>
      <c r="M634" s="9">
        <f t="shared" si="9"/>
        <v>0.11937447773665991</v>
      </c>
      <c r="N634" s="7">
        <v>8.3770000000000007</v>
      </c>
      <c r="O634" s="7">
        <v>175.917</v>
      </c>
      <c r="P634" s="10">
        <v>43480</v>
      </c>
      <c r="Q634" s="10" t="str">
        <f>TEXT(Table2[[#This Row],[Date]],"mmm")</f>
        <v>Jan</v>
      </c>
      <c r="R634" s="11">
        <v>0.45416666666666666</v>
      </c>
      <c r="S634" s="6" t="s">
        <v>37</v>
      </c>
      <c r="T634" s="7">
        <v>7</v>
      </c>
      <c r="U634" s="6">
        <f>IF(_xlfn.XLOOKUP(A634,[1]Data2!$A:$A,[1]Data2!$B:$B,"no")="yes",1,0)</f>
        <v>1</v>
      </c>
    </row>
    <row r="635" spans="1:21" s="6" customFormat="1" x14ac:dyDescent="0.3">
      <c r="A635" s="6" t="s">
        <v>673</v>
      </c>
      <c r="B635" s="6" t="s">
        <v>46</v>
      </c>
      <c r="C635" s="6" t="s">
        <v>47</v>
      </c>
      <c r="D635" s="6" t="s">
        <v>31</v>
      </c>
      <c r="E635" s="6" t="s">
        <v>35</v>
      </c>
      <c r="F635" s="6" t="s">
        <v>36</v>
      </c>
      <c r="G635" s="7">
        <f>Table2[[#This Row],[Unit price]]-10</f>
        <v>89.7</v>
      </c>
      <c r="H635" s="7">
        <v>99.7</v>
      </c>
      <c r="I635" s="8">
        <v>3</v>
      </c>
      <c r="J635" s="8">
        <f>Table2[[#This Row],[Unit price]]*Table2[[#This Row],[Quantity]]</f>
        <v>299.10000000000002</v>
      </c>
      <c r="K635" s="8">
        <f>Table2[[#This Row],[Unit Cost]]*Table2[[#This Row],[Quantity]]</f>
        <v>269.10000000000002</v>
      </c>
      <c r="L635" s="8">
        <f>Table2[[#This Row],[Gross Sales]]-Table2[[#This Row],[COGS]]</f>
        <v>30</v>
      </c>
      <c r="M635" s="9">
        <f t="shared" si="9"/>
        <v>0.10030090270812436</v>
      </c>
      <c r="N635" s="7">
        <v>14.955</v>
      </c>
      <c r="O635" s="7">
        <v>314.05500000000001</v>
      </c>
      <c r="P635" s="10">
        <v>43542</v>
      </c>
      <c r="Q635" s="10" t="str">
        <f>TEXT(Table2[[#This Row],[Date]],"mmm")</f>
        <v>Mar</v>
      </c>
      <c r="R635" s="11">
        <v>0.47847222222222219</v>
      </c>
      <c r="S635" s="6" t="s">
        <v>27</v>
      </c>
      <c r="T635" s="7">
        <v>4.7</v>
      </c>
      <c r="U635" s="6">
        <f>IF(_xlfn.XLOOKUP(A635,[1]Data2!$A:$A,[1]Data2!$B:$B,"no")="yes",1,0)</f>
        <v>0</v>
      </c>
    </row>
    <row r="636" spans="1:21" s="6" customFormat="1" x14ac:dyDescent="0.3">
      <c r="A636" s="6" t="s">
        <v>674</v>
      </c>
      <c r="B636" s="6" t="s">
        <v>46</v>
      </c>
      <c r="C636" s="6" t="s">
        <v>47</v>
      </c>
      <c r="D636" s="6" t="s">
        <v>24</v>
      </c>
      <c r="E636" s="6" t="s">
        <v>35</v>
      </c>
      <c r="F636" s="6" t="s">
        <v>48</v>
      </c>
      <c r="G636" s="7">
        <f>Table2[[#This Row],[Unit price]]-10</f>
        <v>69.91</v>
      </c>
      <c r="H636" s="7">
        <v>79.91</v>
      </c>
      <c r="I636" s="8">
        <v>3</v>
      </c>
      <c r="J636" s="8">
        <f>Table2[[#This Row],[Unit price]]*Table2[[#This Row],[Quantity]]</f>
        <v>239.73</v>
      </c>
      <c r="K636" s="8">
        <f>Table2[[#This Row],[Unit Cost]]*Table2[[#This Row],[Quantity]]</f>
        <v>209.73</v>
      </c>
      <c r="L636" s="8">
        <f>Table2[[#This Row],[Gross Sales]]-Table2[[#This Row],[COGS]]</f>
        <v>30</v>
      </c>
      <c r="M636" s="9">
        <f t="shared" si="9"/>
        <v>0.12514078338130397</v>
      </c>
      <c r="N636" s="7">
        <v>11.986499999999999</v>
      </c>
      <c r="O636" s="7">
        <v>251.7165</v>
      </c>
      <c r="P636" s="10">
        <v>43544</v>
      </c>
      <c r="Q636" s="10" t="str">
        <f>TEXT(Table2[[#This Row],[Date]],"mmm")</f>
        <v>Mar</v>
      </c>
      <c r="R636" s="11">
        <v>0.81111111111111101</v>
      </c>
      <c r="S636" s="6" t="s">
        <v>37</v>
      </c>
      <c r="T636" s="7">
        <v>5</v>
      </c>
      <c r="U636" s="6">
        <f>IF(_xlfn.XLOOKUP(A636,[1]Data2!$A:$A,[1]Data2!$B:$B,"no")="yes",1,0)</f>
        <v>0</v>
      </c>
    </row>
    <row r="637" spans="1:21" s="6" customFormat="1" x14ac:dyDescent="0.3">
      <c r="A637" s="6" t="s">
        <v>675</v>
      </c>
      <c r="B637" s="6" t="s">
        <v>46</v>
      </c>
      <c r="C637" s="6" t="s">
        <v>47</v>
      </c>
      <c r="D637" s="6" t="s">
        <v>24</v>
      </c>
      <c r="E637" s="6" t="s">
        <v>35</v>
      </c>
      <c r="F637" s="6" t="s">
        <v>26</v>
      </c>
      <c r="G637" s="7">
        <f>Table2[[#This Row],[Unit price]]-10</f>
        <v>56.47</v>
      </c>
      <c r="H637" s="7">
        <v>66.47</v>
      </c>
      <c r="I637" s="8">
        <v>10</v>
      </c>
      <c r="J637" s="8">
        <f>Table2[[#This Row],[Unit price]]*Table2[[#This Row],[Quantity]]</f>
        <v>664.7</v>
      </c>
      <c r="K637" s="8">
        <f>Table2[[#This Row],[Unit Cost]]*Table2[[#This Row],[Quantity]]</f>
        <v>564.70000000000005</v>
      </c>
      <c r="L637" s="8">
        <f>Table2[[#This Row],[Gross Sales]]-Table2[[#This Row],[COGS]]</f>
        <v>100</v>
      </c>
      <c r="M637" s="9">
        <f t="shared" si="9"/>
        <v>0.15044380923724987</v>
      </c>
      <c r="N637" s="7">
        <v>33.234999999999999</v>
      </c>
      <c r="O637" s="7">
        <v>697.93499999999995</v>
      </c>
      <c r="P637" s="10">
        <v>43480</v>
      </c>
      <c r="Q637" s="10" t="str">
        <f>TEXT(Table2[[#This Row],[Date]],"mmm")</f>
        <v>Jan</v>
      </c>
      <c r="R637" s="11">
        <v>0.62569444444444444</v>
      </c>
      <c r="S637" s="6" t="s">
        <v>37</v>
      </c>
      <c r="T637" s="7">
        <v>5</v>
      </c>
      <c r="U637" s="6">
        <f>IF(_xlfn.XLOOKUP(A637,[1]Data2!$A:$A,[1]Data2!$B:$B,"no")="yes",1,0)</f>
        <v>0</v>
      </c>
    </row>
    <row r="638" spans="1:21" s="6" customFormat="1" x14ac:dyDescent="0.3">
      <c r="A638" s="6" t="s">
        <v>676</v>
      </c>
      <c r="B638" s="6" t="s">
        <v>22</v>
      </c>
      <c r="C638" s="6" t="s">
        <v>23</v>
      </c>
      <c r="D638" s="6" t="s">
        <v>31</v>
      </c>
      <c r="E638" s="6" t="s">
        <v>35</v>
      </c>
      <c r="F638" s="6" t="s">
        <v>26</v>
      </c>
      <c r="G638" s="7">
        <f>Table2[[#This Row],[Unit price]]-10</f>
        <v>18.95</v>
      </c>
      <c r="H638" s="7">
        <v>28.95</v>
      </c>
      <c r="I638" s="8">
        <v>7</v>
      </c>
      <c r="J638" s="8">
        <f>Table2[[#This Row],[Unit price]]*Table2[[#This Row],[Quantity]]</f>
        <v>202.65</v>
      </c>
      <c r="K638" s="8">
        <f>Table2[[#This Row],[Unit Cost]]*Table2[[#This Row],[Quantity]]</f>
        <v>132.65</v>
      </c>
      <c r="L638" s="8">
        <f>Table2[[#This Row],[Gross Sales]]-Table2[[#This Row],[COGS]]</f>
        <v>70</v>
      </c>
      <c r="M638" s="9">
        <f t="shared" si="9"/>
        <v>0.34542314335060448</v>
      </c>
      <c r="N638" s="7">
        <v>10.1325</v>
      </c>
      <c r="O638" s="7">
        <v>212.7825</v>
      </c>
      <c r="P638" s="10">
        <v>43527</v>
      </c>
      <c r="Q638" s="10" t="str">
        <f>TEXT(Table2[[#This Row],[Date]],"mmm")</f>
        <v>Mar</v>
      </c>
      <c r="R638" s="11">
        <v>0.85486111111111107</v>
      </c>
      <c r="S638" s="6" t="s">
        <v>37</v>
      </c>
      <c r="T638" s="7">
        <v>6</v>
      </c>
      <c r="U638" s="6">
        <f>IF(_xlfn.XLOOKUP(A638,[1]Data2!$A:$A,[1]Data2!$B:$B,"no")="yes",1,0)</f>
        <v>1</v>
      </c>
    </row>
    <row r="639" spans="1:21" s="6" customFormat="1" x14ac:dyDescent="0.3">
      <c r="A639" s="6" t="s">
        <v>677</v>
      </c>
      <c r="B639" s="6" t="s">
        <v>29</v>
      </c>
      <c r="C639" s="6" t="s">
        <v>30</v>
      </c>
      <c r="D639" s="6" t="s">
        <v>31</v>
      </c>
      <c r="E639" s="6" t="s">
        <v>25</v>
      </c>
      <c r="F639" s="6" t="s">
        <v>32</v>
      </c>
      <c r="G639" s="7">
        <f>Table2[[#This Row],[Unit price]]-10</f>
        <v>36.200000000000003</v>
      </c>
      <c r="H639" s="7">
        <v>46.2</v>
      </c>
      <c r="I639" s="8">
        <v>1</v>
      </c>
      <c r="J639" s="8">
        <f>Table2[[#This Row],[Unit price]]*Table2[[#This Row],[Quantity]]</f>
        <v>46.2</v>
      </c>
      <c r="K639" s="8">
        <f>Table2[[#This Row],[Unit Cost]]*Table2[[#This Row],[Quantity]]</f>
        <v>36.200000000000003</v>
      </c>
      <c r="L639" s="8">
        <f>Table2[[#This Row],[Gross Sales]]-Table2[[#This Row],[COGS]]</f>
        <v>10</v>
      </c>
      <c r="M639" s="9">
        <f t="shared" si="9"/>
        <v>0.21645021645021645</v>
      </c>
      <c r="N639" s="7">
        <v>2.31</v>
      </c>
      <c r="O639" s="7">
        <v>48.51</v>
      </c>
      <c r="P639" s="10">
        <v>43543</v>
      </c>
      <c r="Q639" s="10" t="str">
        <f>TEXT(Table2[[#This Row],[Date]],"mmm")</f>
        <v>Mar</v>
      </c>
      <c r="R639" s="11">
        <v>0.51111111111111118</v>
      </c>
      <c r="S639" s="6" t="s">
        <v>33</v>
      </c>
      <c r="T639" s="7">
        <v>6.3</v>
      </c>
      <c r="U639" s="6">
        <f>IF(_xlfn.XLOOKUP(A639,[1]Data2!$A:$A,[1]Data2!$B:$B,"no")="yes",1,0)</f>
        <v>0</v>
      </c>
    </row>
    <row r="640" spans="1:21" s="6" customFormat="1" x14ac:dyDescent="0.3">
      <c r="A640" s="6" t="s">
        <v>678</v>
      </c>
      <c r="B640" s="6" t="s">
        <v>46</v>
      </c>
      <c r="C640" s="6" t="s">
        <v>47</v>
      </c>
      <c r="D640" s="6" t="s">
        <v>24</v>
      </c>
      <c r="E640" s="6" t="s">
        <v>25</v>
      </c>
      <c r="F640" s="6" t="s">
        <v>48</v>
      </c>
      <c r="G640" s="7">
        <f>Table2[[#This Row],[Unit price]]-10</f>
        <v>7.629999999999999</v>
      </c>
      <c r="H640" s="7">
        <v>17.63</v>
      </c>
      <c r="I640" s="8">
        <v>5</v>
      </c>
      <c r="J640" s="8">
        <f>Table2[[#This Row],[Unit price]]*Table2[[#This Row],[Quantity]]</f>
        <v>88.149999999999991</v>
      </c>
      <c r="K640" s="8">
        <f>Table2[[#This Row],[Unit Cost]]*Table2[[#This Row],[Quantity]]</f>
        <v>38.149999999999991</v>
      </c>
      <c r="L640" s="8">
        <f>Table2[[#This Row],[Gross Sales]]-Table2[[#This Row],[COGS]]</f>
        <v>50</v>
      </c>
      <c r="M640" s="9">
        <f t="shared" si="9"/>
        <v>0.56721497447532621</v>
      </c>
      <c r="N640" s="7">
        <v>4.4074999999999998</v>
      </c>
      <c r="O640" s="7">
        <v>92.557500000000005</v>
      </c>
      <c r="P640" s="10">
        <v>43532</v>
      </c>
      <c r="Q640" s="10" t="str">
        <f>TEXT(Table2[[#This Row],[Date]],"mmm")</f>
        <v>Mar</v>
      </c>
      <c r="R640" s="11">
        <v>0.64374999999999993</v>
      </c>
      <c r="S640" s="6" t="s">
        <v>33</v>
      </c>
      <c r="T640" s="7">
        <v>8.5</v>
      </c>
      <c r="U640" s="6">
        <f>IF(_xlfn.XLOOKUP(A640,[1]Data2!$A:$A,[1]Data2!$B:$B,"no")="yes",1,0)</f>
        <v>0</v>
      </c>
    </row>
    <row r="641" spans="1:21" s="6" customFormat="1" x14ac:dyDescent="0.3">
      <c r="A641" s="6" t="s">
        <v>679</v>
      </c>
      <c r="B641" s="6" t="s">
        <v>46</v>
      </c>
      <c r="C641" s="6" t="s">
        <v>47</v>
      </c>
      <c r="D641" s="6" t="s">
        <v>31</v>
      </c>
      <c r="E641" s="6" t="s">
        <v>35</v>
      </c>
      <c r="F641" s="6" t="s">
        <v>50</v>
      </c>
      <c r="G641" s="7">
        <f>Table2[[#This Row],[Unit price]]-10</f>
        <v>42.42</v>
      </c>
      <c r="H641" s="7">
        <v>52.42</v>
      </c>
      <c r="I641" s="8">
        <v>3</v>
      </c>
      <c r="J641" s="8">
        <f>Table2[[#This Row],[Unit price]]*Table2[[#This Row],[Quantity]]</f>
        <v>157.26</v>
      </c>
      <c r="K641" s="8">
        <f>Table2[[#This Row],[Unit Cost]]*Table2[[#This Row],[Quantity]]</f>
        <v>127.26</v>
      </c>
      <c r="L641" s="8">
        <f>Table2[[#This Row],[Gross Sales]]-Table2[[#This Row],[COGS]]</f>
        <v>29.999999999999986</v>
      </c>
      <c r="M641" s="9">
        <f t="shared" si="9"/>
        <v>0.19076688286913385</v>
      </c>
      <c r="N641" s="7">
        <v>7.8630000000000004</v>
      </c>
      <c r="O641" s="7">
        <v>165.12299999999999</v>
      </c>
      <c r="P641" s="10">
        <v>43523</v>
      </c>
      <c r="Q641" s="10" t="str">
        <f>TEXT(Table2[[#This Row],[Date]],"mmm")</f>
        <v>Feb</v>
      </c>
      <c r="R641" s="11">
        <v>0.73333333333333339</v>
      </c>
      <c r="S641" s="6" t="s">
        <v>27</v>
      </c>
      <c r="T641" s="7">
        <v>7.5</v>
      </c>
      <c r="U641" s="6">
        <f>IF(_xlfn.XLOOKUP(A641,[1]Data2!$A:$A,[1]Data2!$B:$B,"no")="yes",1,0)</f>
        <v>0</v>
      </c>
    </row>
    <row r="642" spans="1:21" s="6" customFormat="1" x14ac:dyDescent="0.3">
      <c r="A642" s="6" t="s">
        <v>680</v>
      </c>
      <c r="B642" s="6" t="s">
        <v>46</v>
      </c>
      <c r="C642" s="6" t="s">
        <v>47</v>
      </c>
      <c r="D642" s="6" t="s">
        <v>24</v>
      </c>
      <c r="E642" s="6" t="s">
        <v>25</v>
      </c>
      <c r="F642" s="6" t="s">
        <v>48</v>
      </c>
      <c r="G642" s="7">
        <f>Table2[[#This Row],[Unit price]]-10</f>
        <v>88.79</v>
      </c>
      <c r="H642" s="7">
        <v>98.79</v>
      </c>
      <c r="I642" s="8">
        <v>3</v>
      </c>
      <c r="J642" s="8">
        <f>Table2[[#This Row],[Unit price]]*Table2[[#This Row],[Quantity]]</f>
        <v>296.37</v>
      </c>
      <c r="K642" s="8">
        <f>Table2[[#This Row],[Unit Cost]]*Table2[[#This Row],[Quantity]]</f>
        <v>266.37</v>
      </c>
      <c r="L642" s="8">
        <f>Table2[[#This Row],[Gross Sales]]-Table2[[#This Row],[COGS]]</f>
        <v>30</v>
      </c>
      <c r="M642" s="9">
        <f t="shared" si="9"/>
        <v>0.10122482032594392</v>
      </c>
      <c r="N642" s="7">
        <v>14.8185</v>
      </c>
      <c r="O642" s="7">
        <v>311.18849999999998</v>
      </c>
      <c r="P642" s="10">
        <v>43519</v>
      </c>
      <c r="Q642" s="10" t="str">
        <f>TEXT(Table2[[#This Row],[Date]],"mmm")</f>
        <v>Feb</v>
      </c>
      <c r="R642" s="11">
        <v>0.83333333333333337</v>
      </c>
      <c r="S642" s="6" t="s">
        <v>27</v>
      </c>
      <c r="T642" s="7">
        <v>6.4</v>
      </c>
      <c r="U642" s="6">
        <f>IF(_xlfn.XLOOKUP(A642,[1]Data2!$A:$A,[1]Data2!$B:$B,"no")="yes",1,0)</f>
        <v>1</v>
      </c>
    </row>
    <row r="643" spans="1:21" s="6" customFormat="1" x14ac:dyDescent="0.3">
      <c r="A643" s="6" t="s">
        <v>681</v>
      </c>
      <c r="B643" s="6" t="s">
        <v>29</v>
      </c>
      <c r="C643" s="6" t="s">
        <v>30</v>
      </c>
      <c r="D643" s="6" t="s">
        <v>24</v>
      </c>
      <c r="E643" s="6" t="s">
        <v>25</v>
      </c>
      <c r="F643" s="6" t="s">
        <v>32</v>
      </c>
      <c r="G643" s="7">
        <f>Table2[[#This Row],[Unit price]]-10</f>
        <v>78.55</v>
      </c>
      <c r="H643" s="7">
        <v>88.55</v>
      </c>
      <c r="I643" s="8">
        <v>8</v>
      </c>
      <c r="J643" s="8">
        <f>Table2[[#This Row],[Unit price]]*Table2[[#This Row],[Quantity]]</f>
        <v>708.4</v>
      </c>
      <c r="K643" s="8">
        <f>Table2[[#This Row],[Unit Cost]]*Table2[[#This Row],[Quantity]]</f>
        <v>628.4</v>
      </c>
      <c r="L643" s="8">
        <f>Table2[[#This Row],[Gross Sales]]-Table2[[#This Row],[COGS]]</f>
        <v>80</v>
      </c>
      <c r="M643" s="9">
        <f t="shared" ref="M643:M706" si="10">IFERROR(L643/J643,0)</f>
        <v>0.11293054771315642</v>
      </c>
      <c r="N643" s="7">
        <v>35.42</v>
      </c>
      <c r="O643" s="7">
        <v>743.82</v>
      </c>
      <c r="P643" s="10">
        <v>43543</v>
      </c>
      <c r="Q643" s="10" t="str">
        <f>TEXT(Table2[[#This Row],[Date]],"mmm")</f>
        <v>Mar</v>
      </c>
      <c r="R643" s="11">
        <v>0.64513888888888882</v>
      </c>
      <c r="S643" s="6" t="s">
        <v>27</v>
      </c>
      <c r="T643" s="7">
        <v>4.7</v>
      </c>
      <c r="U643" s="6">
        <f>IF(_xlfn.XLOOKUP(A643,[1]Data2!$A:$A,[1]Data2!$B:$B,"no")="yes",1,0)</f>
        <v>0</v>
      </c>
    </row>
    <row r="644" spans="1:21" s="6" customFormat="1" x14ac:dyDescent="0.3">
      <c r="A644" s="6" t="s">
        <v>682</v>
      </c>
      <c r="B644" s="6" t="s">
        <v>46</v>
      </c>
      <c r="C644" s="6" t="s">
        <v>47</v>
      </c>
      <c r="D644" s="6" t="s">
        <v>24</v>
      </c>
      <c r="E644" s="6" t="s">
        <v>35</v>
      </c>
      <c r="F644" s="6" t="s">
        <v>32</v>
      </c>
      <c r="G644" s="7">
        <f>Table2[[#This Row],[Unit price]]-10</f>
        <v>45.67</v>
      </c>
      <c r="H644" s="7">
        <v>55.67</v>
      </c>
      <c r="I644" s="8">
        <v>2</v>
      </c>
      <c r="J644" s="8">
        <f>Table2[[#This Row],[Unit price]]*Table2[[#This Row],[Quantity]]</f>
        <v>111.34</v>
      </c>
      <c r="K644" s="8">
        <f>Table2[[#This Row],[Unit Cost]]*Table2[[#This Row],[Quantity]]</f>
        <v>91.34</v>
      </c>
      <c r="L644" s="8">
        <f>Table2[[#This Row],[Gross Sales]]-Table2[[#This Row],[COGS]]</f>
        <v>20</v>
      </c>
      <c r="M644" s="9">
        <f t="shared" si="10"/>
        <v>0.17962996227770792</v>
      </c>
      <c r="N644" s="7">
        <v>5.5670000000000002</v>
      </c>
      <c r="O644" s="7">
        <v>116.907</v>
      </c>
      <c r="P644" s="10">
        <v>43551</v>
      </c>
      <c r="Q644" s="10" t="str">
        <f>TEXT(Table2[[#This Row],[Date]],"mmm")</f>
        <v>Mar</v>
      </c>
      <c r="R644" s="11">
        <v>0.63055555555555554</v>
      </c>
      <c r="S644" s="6" t="s">
        <v>27</v>
      </c>
      <c r="T644" s="7">
        <v>6</v>
      </c>
      <c r="U644" s="6">
        <f>IF(_xlfn.XLOOKUP(A644,[1]Data2!$A:$A,[1]Data2!$B:$B,"no")="yes",1,0)</f>
        <v>0</v>
      </c>
    </row>
    <row r="645" spans="1:21" s="6" customFormat="1" x14ac:dyDescent="0.3">
      <c r="A645" s="6" t="s">
        <v>683</v>
      </c>
      <c r="B645" s="6" t="s">
        <v>29</v>
      </c>
      <c r="C645" s="6" t="s">
        <v>30</v>
      </c>
      <c r="D645" s="6" t="s">
        <v>24</v>
      </c>
      <c r="E645" s="6" t="s">
        <v>25</v>
      </c>
      <c r="F645" s="6" t="s">
        <v>48</v>
      </c>
      <c r="G645" s="7">
        <f>Table2[[#This Row],[Unit price]]-10</f>
        <v>62.519999999999996</v>
      </c>
      <c r="H645" s="7">
        <v>72.52</v>
      </c>
      <c r="I645" s="8">
        <v>8</v>
      </c>
      <c r="J645" s="8">
        <f>Table2[[#This Row],[Unit price]]*Table2[[#This Row],[Quantity]]</f>
        <v>580.16</v>
      </c>
      <c r="K645" s="8">
        <f>Table2[[#This Row],[Unit Cost]]*Table2[[#This Row],[Quantity]]</f>
        <v>500.15999999999997</v>
      </c>
      <c r="L645" s="8">
        <f>Table2[[#This Row],[Gross Sales]]-Table2[[#This Row],[COGS]]</f>
        <v>80</v>
      </c>
      <c r="M645" s="9">
        <f t="shared" si="10"/>
        <v>0.13789299503585217</v>
      </c>
      <c r="N645" s="7">
        <v>29.007999999999999</v>
      </c>
      <c r="O645" s="7">
        <v>609.16800000000001</v>
      </c>
      <c r="P645" s="10">
        <v>43554</v>
      </c>
      <c r="Q645" s="10" t="str">
        <f>TEXT(Table2[[#This Row],[Date]],"mmm")</f>
        <v>Mar</v>
      </c>
      <c r="R645" s="11">
        <v>0.80972222222222223</v>
      </c>
      <c r="S645" s="6" t="s">
        <v>37</v>
      </c>
      <c r="T645" s="7">
        <v>4</v>
      </c>
      <c r="U645" s="6">
        <f>IF(_xlfn.XLOOKUP(A645,[1]Data2!$A:$A,[1]Data2!$B:$B,"no")="yes",1,0)</f>
        <v>0</v>
      </c>
    </row>
    <row r="646" spans="1:21" s="6" customFormat="1" x14ac:dyDescent="0.3">
      <c r="A646" s="6" t="s">
        <v>684</v>
      </c>
      <c r="B646" s="6" t="s">
        <v>29</v>
      </c>
      <c r="C646" s="6" t="s">
        <v>30</v>
      </c>
      <c r="D646" s="6" t="s">
        <v>24</v>
      </c>
      <c r="E646" s="6" t="s">
        <v>35</v>
      </c>
      <c r="F646" s="6" t="s">
        <v>32</v>
      </c>
      <c r="G646" s="7">
        <f>Table2[[#This Row],[Unit price]]-10</f>
        <v>2.0500000000000007</v>
      </c>
      <c r="H646" s="7">
        <v>12.05</v>
      </c>
      <c r="I646" s="8">
        <v>5</v>
      </c>
      <c r="J646" s="8">
        <f>Table2[[#This Row],[Unit price]]*Table2[[#This Row],[Quantity]]</f>
        <v>60.25</v>
      </c>
      <c r="K646" s="8">
        <f>Table2[[#This Row],[Unit Cost]]*Table2[[#This Row],[Quantity]]</f>
        <v>10.250000000000004</v>
      </c>
      <c r="L646" s="8">
        <f>Table2[[#This Row],[Gross Sales]]-Table2[[#This Row],[COGS]]</f>
        <v>50</v>
      </c>
      <c r="M646" s="9">
        <f t="shared" si="10"/>
        <v>0.82987551867219922</v>
      </c>
      <c r="N646" s="7">
        <v>3.0125000000000002</v>
      </c>
      <c r="O646" s="7">
        <v>63.262500000000003</v>
      </c>
      <c r="P646" s="10">
        <v>43512</v>
      </c>
      <c r="Q646" s="10" t="str">
        <f>TEXT(Table2[[#This Row],[Date]],"mmm")</f>
        <v>Feb</v>
      </c>
      <c r="R646" s="11">
        <v>0.66180555555555554</v>
      </c>
      <c r="S646" s="6" t="s">
        <v>27</v>
      </c>
      <c r="T646" s="7">
        <v>5.5</v>
      </c>
      <c r="U646" s="6">
        <f>IF(_xlfn.XLOOKUP(A646,[1]Data2!$A:$A,[1]Data2!$B:$B,"no")="yes",1,0)</f>
        <v>1</v>
      </c>
    </row>
    <row r="647" spans="1:21" s="6" customFormat="1" x14ac:dyDescent="0.3">
      <c r="A647" s="6" t="s">
        <v>685</v>
      </c>
      <c r="B647" s="6" t="s">
        <v>22</v>
      </c>
      <c r="C647" s="6" t="s">
        <v>23</v>
      </c>
      <c r="D647" s="6" t="s">
        <v>24</v>
      </c>
      <c r="E647" s="6" t="s">
        <v>35</v>
      </c>
      <c r="F647" s="6" t="s">
        <v>36</v>
      </c>
      <c r="G647" s="7">
        <f>Table2[[#This Row],[Unit price]]-10</f>
        <v>9.36</v>
      </c>
      <c r="H647" s="7">
        <v>19.36</v>
      </c>
      <c r="I647" s="8">
        <v>9</v>
      </c>
      <c r="J647" s="8">
        <f>Table2[[#This Row],[Unit price]]*Table2[[#This Row],[Quantity]]</f>
        <v>174.24</v>
      </c>
      <c r="K647" s="8">
        <f>Table2[[#This Row],[Unit Cost]]*Table2[[#This Row],[Quantity]]</f>
        <v>84.24</v>
      </c>
      <c r="L647" s="8">
        <f>Table2[[#This Row],[Gross Sales]]-Table2[[#This Row],[COGS]]</f>
        <v>90.000000000000014</v>
      </c>
      <c r="M647" s="9">
        <f t="shared" si="10"/>
        <v>0.51652892561983477</v>
      </c>
      <c r="N647" s="7">
        <v>8.7119999999999997</v>
      </c>
      <c r="O647" s="7">
        <v>182.952</v>
      </c>
      <c r="P647" s="10">
        <v>43483</v>
      </c>
      <c r="Q647" s="10" t="str">
        <f>TEXT(Table2[[#This Row],[Date]],"mmm")</f>
        <v>Jan</v>
      </c>
      <c r="R647" s="11">
        <v>0.77986111111111101</v>
      </c>
      <c r="S647" s="6" t="s">
        <v>27</v>
      </c>
      <c r="T647" s="7">
        <v>8.6999999999999993</v>
      </c>
      <c r="U647" s="6">
        <f>IF(_xlfn.XLOOKUP(A647,[1]Data2!$A:$A,[1]Data2!$B:$B,"no")="yes",1,0)</f>
        <v>0</v>
      </c>
    </row>
    <row r="648" spans="1:21" s="6" customFormat="1" x14ac:dyDescent="0.3">
      <c r="A648" s="6" t="s">
        <v>686</v>
      </c>
      <c r="B648" s="6" t="s">
        <v>29</v>
      </c>
      <c r="C648" s="6" t="s">
        <v>30</v>
      </c>
      <c r="D648" s="6" t="s">
        <v>31</v>
      </c>
      <c r="E648" s="6" t="s">
        <v>35</v>
      </c>
      <c r="F648" s="6" t="s">
        <v>26</v>
      </c>
      <c r="G648" s="7">
        <f>Table2[[#This Row],[Unit price]]-10</f>
        <v>60.209999999999994</v>
      </c>
      <c r="H648" s="7">
        <v>70.209999999999994</v>
      </c>
      <c r="I648" s="8">
        <v>6</v>
      </c>
      <c r="J648" s="8">
        <f>Table2[[#This Row],[Unit price]]*Table2[[#This Row],[Quantity]]</f>
        <v>421.26</v>
      </c>
      <c r="K648" s="8">
        <f>Table2[[#This Row],[Unit Cost]]*Table2[[#This Row],[Quantity]]</f>
        <v>361.26</v>
      </c>
      <c r="L648" s="8">
        <f>Table2[[#This Row],[Gross Sales]]-Table2[[#This Row],[COGS]]</f>
        <v>60</v>
      </c>
      <c r="M648" s="9">
        <f t="shared" si="10"/>
        <v>0.14242985329725111</v>
      </c>
      <c r="N648" s="7">
        <v>21.062999999999999</v>
      </c>
      <c r="O648" s="7">
        <v>442.32299999999998</v>
      </c>
      <c r="P648" s="10">
        <v>43554</v>
      </c>
      <c r="Q648" s="10" t="str">
        <f>TEXT(Table2[[#This Row],[Date]],"mmm")</f>
        <v>Mar</v>
      </c>
      <c r="R648" s="11">
        <v>0.62361111111111112</v>
      </c>
      <c r="S648" s="6" t="s">
        <v>33</v>
      </c>
      <c r="T648" s="7">
        <v>7.4</v>
      </c>
      <c r="U648" s="6">
        <f>IF(_xlfn.XLOOKUP(A648,[1]Data2!$A:$A,[1]Data2!$B:$B,"no")="yes",1,0)</f>
        <v>0</v>
      </c>
    </row>
    <row r="649" spans="1:21" s="6" customFormat="1" x14ac:dyDescent="0.3">
      <c r="A649" s="6" t="s">
        <v>687</v>
      </c>
      <c r="B649" s="6" t="s">
        <v>46</v>
      </c>
      <c r="C649" s="6" t="s">
        <v>47</v>
      </c>
      <c r="D649" s="6" t="s">
        <v>24</v>
      </c>
      <c r="E649" s="6" t="s">
        <v>35</v>
      </c>
      <c r="F649" s="6" t="s">
        <v>50</v>
      </c>
      <c r="G649" s="7">
        <f>Table2[[#This Row],[Unit price]]-10</f>
        <v>23.630000000000003</v>
      </c>
      <c r="H649" s="7">
        <v>33.630000000000003</v>
      </c>
      <c r="I649" s="8">
        <v>1</v>
      </c>
      <c r="J649" s="8">
        <f>Table2[[#This Row],[Unit price]]*Table2[[#This Row],[Quantity]]</f>
        <v>33.630000000000003</v>
      </c>
      <c r="K649" s="8">
        <f>Table2[[#This Row],[Unit Cost]]*Table2[[#This Row],[Quantity]]</f>
        <v>23.630000000000003</v>
      </c>
      <c r="L649" s="8">
        <f>Table2[[#This Row],[Gross Sales]]-Table2[[#This Row],[COGS]]</f>
        <v>10</v>
      </c>
      <c r="M649" s="9">
        <f t="shared" si="10"/>
        <v>0.29735355337496283</v>
      </c>
      <c r="N649" s="7">
        <v>1.6815</v>
      </c>
      <c r="O649" s="7">
        <v>35.311500000000002</v>
      </c>
      <c r="P649" s="10">
        <v>43544</v>
      </c>
      <c r="Q649" s="10" t="str">
        <f>TEXT(Table2[[#This Row],[Date]],"mmm")</f>
        <v>Mar</v>
      </c>
      <c r="R649" s="11">
        <v>0.82986111111111116</v>
      </c>
      <c r="S649" s="6" t="s">
        <v>33</v>
      </c>
      <c r="T649" s="7">
        <v>5.6</v>
      </c>
      <c r="U649" s="6">
        <f>IF(_xlfn.XLOOKUP(A649,[1]Data2!$A:$A,[1]Data2!$B:$B,"no")="yes",1,0)</f>
        <v>0</v>
      </c>
    </row>
    <row r="650" spans="1:21" s="6" customFormat="1" x14ac:dyDescent="0.3">
      <c r="A650" s="6" t="s">
        <v>688</v>
      </c>
      <c r="B650" s="6" t="s">
        <v>29</v>
      </c>
      <c r="C650" s="6" t="s">
        <v>30</v>
      </c>
      <c r="D650" s="6" t="s">
        <v>24</v>
      </c>
      <c r="E650" s="6" t="s">
        <v>25</v>
      </c>
      <c r="F650" s="6" t="s">
        <v>40</v>
      </c>
      <c r="G650" s="7">
        <f>Table2[[#This Row],[Unit price]]-10</f>
        <v>5.49</v>
      </c>
      <c r="H650" s="7">
        <v>15.49</v>
      </c>
      <c r="I650" s="8">
        <v>2</v>
      </c>
      <c r="J650" s="8">
        <f>Table2[[#This Row],[Unit price]]*Table2[[#This Row],[Quantity]]</f>
        <v>30.98</v>
      </c>
      <c r="K650" s="8">
        <f>Table2[[#This Row],[Unit Cost]]*Table2[[#This Row],[Quantity]]</f>
        <v>10.98</v>
      </c>
      <c r="L650" s="8">
        <f>Table2[[#This Row],[Gross Sales]]-Table2[[#This Row],[COGS]]</f>
        <v>20</v>
      </c>
      <c r="M650" s="9">
        <f t="shared" si="10"/>
        <v>0.64557779212395094</v>
      </c>
      <c r="N650" s="7">
        <v>1.5489999999999999</v>
      </c>
      <c r="O650" s="7">
        <v>32.529000000000003</v>
      </c>
      <c r="P650" s="10">
        <v>43481</v>
      </c>
      <c r="Q650" s="10" t="str">
        <f>TEXT(Table2[[#This Row],[Date]],"mmm")</f>
        <v>Jan</v>
      </c>
      <c r="R650" s="11">
        <v>0.63194444444444442</v>
      </c>
      <c r="S650" s="6" t="s">
        <v>33</v>
      </c>
      <c r="T650" s="7">
        <v>6.3</v>
      </c>
      <c r="U650" s="6">
        <f>IF(_xlfn.XLOOKUP(A650,[1]Data2!$A:$A,[1]Data2!$B:$B,"no")="yes",1,0)</f>
        <v>1</v>
      </c>
    </row>
    <row r="651" spans="1:21" s="6" customFormat="1" x14ac:dyDescent="0.3">
      <c r="A651" s="6" t="s">
        <v>689</v>
      </c>
      <c r="B651" s="6" t="s">
        <v>29</v>
      </c>
      <c r="C651" s="6" t="s">
        <v>30</v>
      </c>
      <c r="D651" s="6" t="s">
        <v>31</v>
      </c>
      <c r="E651" s="6" t="s">
        <v>35</v>
      </c>
      <c r="F651" s="6" t="s">
        <v>32</v>
      </c>
      <c r="G651" s="7">
        <f>Table2[[#This Row],[Unit price]]-10</f>
        <v>14.739999999999998</v>
      </c>
      <c r="H651" s="7">
        <v>24.74</v>
      </c>
      <c r="I651" s="8">
        <v>10</v>
      </c>
      <c r="J651" s="8">
        <f>Table2[[#This Row],[Unit price]]*Table2[[#This Row],[Quantity]]</f>
        <v>247.39999999999998</v>
      </c>
      <c r="K651" s="8">
        <f>Table2[[#This Row],[Unit Cost]]*Table2[[#This Row],[Quantity]]</f>
        <v>147.39999999999998</v>
      </c>
      <c r="L651" s="8">
        <f>Table2[[#This Row],[Gross Sales]]-Table2[[#This Row],[COGS]]</f>
        <v>100</v>
      </c>
      <c r="M651" s="9">
        <f t="shared" si="10"/>
        <v>0.40420371867421184</v>
      </c>
      <c r="N651" s="7">
        <v>12.37</v>
      </c>
      <c r="O651" s="7">
        <v>259.77</v>
      </c>
      <c r="P651" s="10">
        <v>43520</v>
      </c>
      <c r="Q651" s="10" t="str">
        <f>TEXT(Table2[[#This Row],[Date]],"mmm")</f>
        <v>Feb</v>
      </c>
      <c r="R651" s="11">
        <v>0.6972222222222223</v>
      </c>
      <c r="S651" s="6" t="s">
        <v>33</v>
      </c>
      <c r="T651" s="7">
        <v>7.1</v>
      </c>
      <c r="U651" s="6">
        <f>IF(_xlfn.XLOOKUP(A651,[1]Data2!$A:$A,[1]Data2!$B:$B,"no")="yes",1,0)</f>
        <v>0</v>
      </c>
    </row>
    <row r="652" spans="1:21" s="6" customFormat="1" x14ac:dyDescent="0.3">
      <c r="A652" s="6" t="s">
        <v>690</v>
      </c>
      <c r="B652" s="6" t="s">
        <v>46</v>
      </c>
      <c r="C652" s="6" t="s">
        <v>47</v>
      </c>
      <c r="D652" s="6" t="s">
        <v>31</v>
      </c>
      <c r="E652" s="6" t="s">
        <v>35</v>
      </c>
      <c r="F652" s="6" t="s">
        <v>32</v>
      </c>
      <c r="G652" s="7">
        <f>Table2[[#This Row],[Unit price]]-10</f>
        <v>65.66</v>
      </c>
      <c r="H652" s="7">
        <v>75.66</v>
      </c>
      <c r="I652" s="8">
        <v>5</v>
      </c>
      <c r="J652" s="8">
        <f>Table2[[#This Row],[Unit price]]*Table2[[#This Row],[Quantity]]</f>
        <v>378.29999999999995</v>
      </c>
      <c r="K652" s="8">
        <f>Table2[[#This Row],[Unit Cost]]*Table2[[#This Row],[Quantity]]</f>
        <v>328.29999999999995</v>
      </c>
      <c r="L652" s="8">
        <f>Table2[[#This Row],[Gross Sales]]-Table2[[#This Row],[COGS]]</f>
        <v>50</v>
      </c>
      <c r="M652" s="9">
        <f t="shared" si="10"/>
        <v>0.13217023526301877</v>
      </c>
      <c r="N652" s="7">
        <v>18.914999999999999</v>
      </c>
      <c r="O652" s="7">
        <v>397.21499999999997</v>
      </c>
      <c r="P652" s="10">
        <v>43480</v>
      </c>
      <c r="Q652" s="10" t="str">
        <f>TEXT(Table2[[#This Row],[Date]],"mmm")</f>
        <v>Jan</v>
      </c>
      <c r="R652" s="11">
        <v>0.76527777777777783</v>
      </c>
      <c r="S652" s="6" t="s">
        <v>27</v>
      </c>
      <c r="T652" s="7">
        <v>7.8</v>
      </c>
      <c r="U652" s="6">
        <f>IF(_xlfn.XLOOKUP(A652,[1]Data2!$A:$A,[1]Data2!$B:$B,"no")="yes",1,0)</f>
        <v>0</v>
      </c>
    </row>
    <row r="653" spans="1:21" s="6" customFormat="1" x14ac:dyDescent="0.3">
      <c r="A653" s="6" t="s">
        <v>691</v>
      </c>
      <c r="B653" s="6" t="s">
        <v>46</v>
      </c>
      <c r="C653" s="6" t="s">
        <v>47</v>
      </c>
      <c r="D653" s="6" t="s">
        <v>31</v>
      </c>
      <c r="E653" s="6" t="s">
        <v>25</v>
      </c>
      <c r="F653" s="6" t="s">
        <v>26</v>
      </c>
      <c r="G653" s="7">
        <f>Table2[[#This Row],[Unit price]]-10</f>
        <v>45.81</v>
      </c>
      <c r="H653" s="7">
        <v>55.81</v>
      </c>
      <c r="I653" s="8">
        <v>6</v>
      </c>
      <c r="J653" s="8">
        <f>Table2[[#This Row],[Unit price]]*Table2[[#This Row],[Quantity]]</f>
        <v>334.86</v>
      </c>
      <c r="K653" s="8">
        <f>Table2[[#This Row],[Unit Cost]]*Table2[[#This Row],[Quantity]]</f>
        <v>274.86</v>
      </c>
      <c r="L653" s="8">
        <f>Table2[[#This Row],[Gross Sales]]-Table2[[#This Row],[COGS]]</f>
        <v>60</v>
      </c>
      <c r="M653" s="9">
        <f t="shared" si="10"/>
        <v>0.17917935853789643</v>
      </c>
      <c r="N653" s="7">
        <v>16.742999999999999</v>
      </c>
      <c r="O653" s="7">
        <v>351.60300000000001</v>
      </c>
      <c r="P653" s="10">
        <v>43487</v>
      </c>
      <c r="Q653" s="10" t="str">
        <f>TEXT(Table2[[#This Row],[Date]],"mmm")</f>
        <v>Jan</v>
      </c>
      <c r="R653" s="11">
        <v>0.49444444444444446</v>
      </c>
      <c r="S653" s="6" t="s">
        <v>33</v>
      </c>
      <c r="T653" s="7">
        <v>9.9</v>
      </c>
      <c r="U653" s="6">
        <f>IF(_xlfn.XLOOKUP(A653,[1]Data2!$A:$A,[1]Data2!$B:$B,"no")="yes",1,0)</f>
        <v>0</v>
      </c>
    </row>
    <row r="654" spans="1:21" s="6" customFormat="1" x14ac:dyDescent="0.3">
      <c r="A654" s="6" t="s">
        <v>692</v>
      </c>
      <c r="B654" s="6" t="s">
        <v>22</v>
      </c>
      <c r="C654" s="6" t="s">
        <v>23</v>
      </c>
      <c r="D654" s="6" t="s">
        <v>24</v>
      </c>
      <c r="E654" s="6" t="s">
        <v>35</v>
      </c>
      <c r="F654" s="6" t="s">
        <v>36</v>
      </c>
      <c r="G654" s="7">
        <f>Table2[[#This Row],[Unit price]]-10</f>
        <v>62.78</v>
      </c>
      <c r="H654" s="7">
        <v>72.78</v>
      </c>
      <c r="I654" s="8">
        <v>10</v>
      </c>
      <c r="J654" s="8">
        <f>Table2[[#This Row],[Unit price]]*Table2[[#This Row],[Quantity]]</f>
        <v>727.8</v>
      </c>
      <c r="K654" s="8">
        <f>Table2[[#This Row],[Unit Cost]]*Table2[[#This Row],[Quantity]]</f>
        <v>627.79999999999995</v>
      </c>
      <c r="L654" s="8">
        <f>Table2[[#This Row],[Gross Sales]]-Table2[[#This Row],[COGS]]</f>
        <v>100</v>
      </c>
      <c r="M654" s="9">
        <f t="shared" si="10"/>
        <v>0.13740038472107724</v>
      </c>
      <c r="N654" s="7">
        <v>36.39</v>
      </c>
      <c r="O654" s="7">
        <v>764.19</v>
      </c>
      <c r="P654" s="10">
        <v>43499</v>
      </c>
      <c r="Q654" s="10" t="str">
        <f>TEXT(Table2[[#This Row],[Date]],"mmm")</f>
        <v>Feb</v>
      </c>
      <c r="R654" s="11">
        <v>0.72499999999999998</v>
      </c>
      <c r="S654" s="6" t="s">
        <v>33</v>
      </c>
      <c r="T654" s="7">
        <v>7.3</v>
      </c>
      <c r="U654" s="6">
        <f>IF(_xlfn.XLOOKUP(A654,[1]Data2!$A:$A,[1]Data2!$B:$B,"no")="yes",1,0)</f>
        <v>1</v>
      </c>
    </row>
    <row r="655" spans="1:21" s="6" customFormat="1" x14ac:dyDescent="0.3">
      <c r="A655" s="6" t="s">
        <v>693</v>
      </c>
      <c r="B655" s="6" t="s">
        <v>46</v>
      </c>
      <c r="C655" s="6" t="s">
        <v>47</v>
      </c>
      <c r="D655" s="6" t="s">
        <v>24</v>
      </c>
      <c r="E655" s="6" t="s">
        <v>35</v>
      </c>
      <c r="F655" s="6" t="s">
        <v>40</v>
      </c>
      <c r="G655" s="7">
        <f>Table2[[#This Row],[Unit price]]-10</f>
        <v>27.32</v>
      </c>
      <c r="H655" s="7">
        <v>37.32</v>
      </c>
      <c r="I655" s="8">
        <v>9</v>
      </c>
      <c r="J655" s="8">
        <f>Table2[[#This Row],[Unit price]]*Table2[[#This Row],[Quantity]]</f>
        <v>335.88</v>
      </c>
      <c r="K655" s="8">
        <f>Table2[[#This Row],[Unit Cost]]*Table2[[#This Row],[Quantity]]</f>
        <v>245.88</v>
      </c>
      <c r="L655" s="8">
        <f>Table2[[#This Row],[Gross Sales]]-Table2[[#This Row],[COGS]]</f>
        <v>90</v>
      </c>
      <c r="M655" s="9">
        <f t="shared" si="10"/>
        <v>0.26795284030010719</v>
      </c>
      <c r="N655" s="7">
        <v>16.794</v>
      </c>
      <c r="O655" s="7">
        <v>352.67399999999998</v>
      </c>
      <c r="P655" s="10">
        <v>43530</v>
      </c>
      <c r="Q655" s="10" t="str">
        <f>TEXT(Table2[[#This Row],[Date]],"mmm")</f>
        <v>Mar</v>
      </c>
      <c r="R655" s="11">
        <v>0.64652777777777781</v>
      </c>
      <c r="S655" s="6" t="s">
        <v>27</v>
      </c>
      <c r="T655" s="7">
        <v>5.0999999999999996</v>
      </c>
      <c r="U655" s="6">
        <f>IF(_xlfn.XLOOKUP(A655,[1]Data2!$A:$A,[1]Data2!$B:$B,"no")="yes",1,0)</f>
        <v>0</v>
      </c>
    </row>
    <row r="656" spans="1:21" s="6" customFormat="1" x14ac:dyDescent="0.3">
      <c r="A656" s="6" t="s">
        <v>694</v>
      </c>
      <c r="B656" s="6" t="s">
        <v>46</v>
      </c>
      <c r="C656" s="6" t="s">
        <v>47</v>
      </c>
      <c r="D656" s="6" t="s">
        <v>24</v>
      </c>
      <c r="E656" s="6" t="s">
        <v>35</v>
      </c>
      <c r="F656" s="6" t="s">
        <v>50</v>
      </c>
      <c r="G656" s="7">
        <f>Table2[[#This Row],[Unit price]]-10</f>
        <v>50.18</v>
      </c>
      <c r="H656" s="7">
        <v>60.18</v>
      </c>
      <c r="I656" s="8">
        <v>4</v>
      </c>
      <c r="J656" s="8">
        <f>Table2[[#This Row],[Unit price]]*Table2[[#This Row],[Quantity]]</f>
        <v>240.72</v>
      </c>
      <c r="K656" s="8">
        <f>Table2[[#This Row],[Unit Cost]]*Table2[[#This Row],[Quantity]]</f>
        <v>200.72</v>
      </c>
      <c r="L656" s="8">
        <f>Table2[[#This Row],[Gross Sales]]-Table2[[#This Row],[COGS]]</f>
        <v>40</v>
      </c>
      <c r="M656" s="9">
        <f t="shared" si="10"/>
        <v>0.16616816218012628</v>
      </c>
      <c r="N656" s="7">
        <v>12.036</v>
      </c>
      <c r="O656" s="7">
        <v>252.756</v>
      </c>
      <c r="P656" s="10">
        <v>43512</v>
      </c>
      <c r="Q656" s="10" t="str">
        <f>TEXT(Table2[[#This Row],[Date]],"mmm")</f>
        <v>Feb</v>
      </c>
      <c r="R656" s="11">
        <v>0.75277777777777777</v>
      </c>
      <c r="S656" s="6" t="s">
        <v>37</v>
      </c>
      <c r="T656" s="7">
        <v>9.4</v>
      </c>
      <c r="U656" s="6">
        <f>IF(_xlfn.XLOOKUP(A656,[1]Data2!$A:$A,[1]Data2!$B:$B,"no")="yes",1,0)</f>
        <v>0</v>
      </c>
    </row>
    <row r="657" spans="1:21" s="6" customFormat="1" x14ac:dyDescent="0.3">
      <c r="A657" s="6" t="s">
        <v>695</v>
      </c>
      <c r="B657" s="6" t="s">
        <v>22</v>
      </c>
      <c r="C657" s="6" t="s">
        <v>23</v>
      </c>
      <c r="D657" s="6" t="s">
        <v>31</v>
      </c>
      <c r="E657" s="6" t="s">
        <v>25</v>
      </c>
      <c r="F657" s="6" t="s">
        <v>32</v>
      </c>
      <c r="G657" s="7">
        <f>Table2[[#This Row],[Unit price]]-10</f>
        <v>5.6899999999999995</v>
      </c>
      <c r="H657" s="7">
        <v>15.69</v>
      </c>
      <c r="I657" s="8">
        <v>3</v>
      </c>
      <c r="J657" s="8">
        <f>Table2[[#This Row],[Unit price]]*Table2[[#This Row],[Quantity]]</f>
        <v>47.07</v>
      </c>
      <c r="K657" s="8">
        <f>Table2[[#This Row],[Unit Cost]]*Table2[[#This Row],[Quantity]]</f>
        <v>17.07</v>
      </c>
      <c r="L657" s="8">
        <f>Table2[[#This Row],[Gross Sales]]-Table2[[#This Row],[COGS]]</f>
        <v>30</v>
      </c>
      <c r="M657" s="9">
        <f t="shared" si="10"/>
        <v>0.63734862970044615</v>
      </c>
      <c r="N657" s="7">
        <v>2.3534999999999999</v>
      </c>
      <c r="O657" s="7">
        <v>49.423499999999997</v>
      </c>
      <c r="P657" s="10">
        <v>43538</v>
      </c>
      <c r="Q657" s="10" t="str">
        <f>TEXT(Table2[[#This Row],[Date]],"mmm")</f>
        <v>Mar</v>
      </c>
      <c r="R657" s="11">
        <v>0.59236111111111112</v>
      </c>
      <c r="S657" s="6" t="s">
        <v>37</v>
      </c>
      <c r="T657" s="7">
        <v>5.8</v>
      </c>
      <c r="U657" s="6">
        <f>IF(_xlfn.XLOOKUP(A657,[1]Data2!$A:$A,[1]Data2!$B:$B,"no")="yes",1,0)</f>
        <v>0</v>
      </c>
    </row>
    <row r="658" spans="1:21" s="6" customFormat="1" x14ac:dyDescent="0.3">
      <c r="A658" s="6" t="s">
        <v>696</v>
      </c>
      <c r="B658" s="6" t="s">
        <v>29</v>
      </c>
      <c r="C658" s="6" t="s">
        <v>30</v>
      </c>
      <c r="D658" s="6" t="s">
        <v>31</v>
      </c>
      <c r="E658" s="6" t="s">
        <v>25</v>
      </c>
      <c r="F658" s="6" t="s">
        <v>32</v>
      </c>
      <c r="G658" s="7">
        <f>Table2[[#This Row],[Unit price]]-10</f>
        <v>89.69</v>
      </c>
      <c r="H658" s="7">
        <v>99.69</v>
      </c>
      <c r="I658" s="8">
        <v>1</v>
      </c>
      <c r="J658" s="8">
        <f>Table2[[#This Row],[Unit price]]*Table2[[#This Row],[Quantity]]</f>
        <v>99.69</v>
      </c>
      <c r="K658" s="8">
        <f>Table2[[#This Row],[Unit Cost]]*Table2[[#This Row],[Quantity]]</f>
        <v>89.69</v>
      </c>
      <c r="L658" s="8">
        <f>Table2[[#This Row],[Gross Sales]]-Table2[[#This Row],[COGS]]</f>
        <v>10</v>
      </c>
      <c r="M658" s="9">
        <f t="shared" si="10"/>
        <v>0.10031096398836394</v>
      </c>
      <c r="N658" s="7">
        <v>4.9844999999999997</v>
      </c>
      <c r="O658" s="7">
        <v>104.67449999999999</v>
      </c>
      <c r="P658" s="10">
        <v>43523</v>
      </c>
      <c r="Q658" s="10" t="str">
        <f>TEXT(Table2[[#This Row],[Date]],"mmm")</f>
        <v>Feb</v>
      </c>
      <c r="R658" s="11">
        <v>0.43263888888888885</v>
      </c>
      <c r="S658" s="6" t="s">
        <v>37</v>
      </c>
      <c r="T658" s="7">
        <v>8</v>
      </c>
      <c r="U658" s="6">
        <f>IF(_xlfn.XLOOKUP(A658,[1]Data2!$A:$A,[1]Data2!$B:$B,"no")="yes",1,0)</f>
        <v>1</v>
      </c>
    </row>
    <row r="659" spans="1:21" s="6" customFormat="1" x14ac:dyDescent="0.3">
      <c r="A659" s="6" t="s">
        <v>697</v>
      </c>
      <c r="B659" s="6" t="s">
        <v>22</v>
      </c>
      <c r="C659" s="6" t="s">
        <v>23</v>
      </c>
      <c r="D659" s="6" t="s">
        <v>24</v>
      </c>
      <c r="E659" s="6" t="s">
        <v>25</v>
      </c>
      <c r="F659" s="6" t="s">
        <v>50</v>
      </c>
      <c r="G659" s="7">
        <f>Table2[[#This Row],[Unit price]]-10</f>
        <v>78.150000000000006</v>
      </c>
      <c r="H659" s="7">
        <v>88.15</v>
      </c>
      <c r="I659" s="8">
        <v>3</v>
      </c>
      <c r="J659" s="8">
        <f>Table2[[#This Row],[Unit price]]*Table2[[#This Row],[Quantity]]</f>
        <v>264.45000000000005</v>
      </c>
      <c r="K659" s="8">
        <f>Table2[[#This Row],[Unit Cost]]*Table2[[#This Row],[Quantity]]</f>
        <v>234.45000000000002</v>
      </c>
      <c r="L659" s="8">
        <f>Table2[[#This Row],[Gross Sales]]-Table2[[#This Row],[COGS]]</f>
        <v>30.000000000000028</v>
      </c>
      <c r="M659" s="9">
        <f t="shared" si="10"/>
        <v>0.11344299489506532</v>
      </c>
      <c r="N659" s="7">
        <v>13.2225</v>
      </c>
      <c r="O659" s="7">
        <v>277.67250000000001</v>
      </c>
      <c r="P659" s="10">
        <v>43483</v>
      </c>
      <c r="Q659" s="10" t="str">
        <f>TEXT(Table2[[#This Row],[Date]],"mmm")</f>
        <v>Jan</v>
      </c>
      <c r="R659" s="11">
        <v>0.42430555555555555</v>
      </c>
      <c r="S659" s="6" t="s">
        <v>27</v>
      </c>
      <c r="T659" s="7">
        <v>7.9</v>
      </c>
      <c r="U659" s="6">
        <f>IF(_xlfn.XLOOKUP(A659,[1]Data2!$A:$A,[1]Data2!$B:$B,"no")="yes",1,0)</f>
        <v>0</v>
      </c>
    </row>
    <row r="660" spans="1:21" s="6" customFormat="1" x14ac:dyDescent="0.3">
      <c r="A660" s="6" t="s">
        <v>698</v>
      </c>
      <c r="B660" s="6" t="s">
        <v>22</v>
      </c>
      <c r="C660" s="6" t="s">
        <v>23</v>
      </c>
      <c r="D660" s="6" t="s">
        <v>24</v>
      </c>
      <c r="E660" s="6" t="s">
        <v>25</v>
      </c>
      <c r="F660" s="6" t="s">
        <v>40</v>
      </c>
      <c r="G660" s="7">
        <f>Table2[[#This Row],[Unit price]]-10</f>
        <v>17.93</v>
      </c>
      <c r="H660" s="7">
        <v>27.93</v>
      </c>
      <c r="I660" s="8">
        <v>5</v>
      </c>
      <c r="J660" s="8">
        <f>Table2[[#This Row],[Unit price]]*Table2[[#This Row],[Quantity]]</f>
        <v>139.65</v>
      </c>
      <c r="K660" s="8">
        <f>Table2[[#This Row],[Unit Cost]]*Table2[[#This Row],[Quantity]]</f>
        <v>89.65</v>
      </c>
      <c r="L660" s="8">
        <f>Table2[[#This Row],[Gross Sales]]-Table2[[#This Row],[COGS]]</f>
        <v>50</v>
      </c>
      <c r="M660" s="9">
        <f t="shared" si="10"/>
        <v>0.35803795202291444</v>
      </c>
      <c r="N660" s="7">
        <v>6.9824999999999999</v>
      </c>
      <c r="O660" s="7">
        <v>146.63249999999999</v>
      </c>
      <c r="P660" s="10">
        <v>43494</v>
      </c>
      <c r="Q660" s="10" t="str">
        <f>TEXT(Table2[[#This Row],[Date]],"mmm")</f>
        <v>Jan</v>
      </c>
      <c r="R660" s="11">
        <v>0.65833333333333333</v>
      </c>
      <c r="S660" s="6" t="s">
        <v>33</v>
      </c>
      <c r="T660" s="7">
        <v>5.9</v>
      </c>
      <c r="U660" s="6">
        <f>IF(_xlfn.XLOOKUP(A660,[1]Data2!$A:$A,[1]Data2!$B:$B,"no")="yes",1,0)</f>
        <v>0</v>
      </c>
    </row>
    <row r="661" spans="1:21" s="6" customFormat="1" x14ac:dyDescent="0.3">
      <c r="A661" s="6" t="s">
        <v>699</v>
      </c>
      <c r="B661" s="6" t="s">
        <v>22</v>
      </c>
      <c r="C661" s="6" t="s">
        <v>23</v>
      </c>
      <c r="D661" s="6" t="s">
        <v>24</v>
      </c>
      <c r="E661" s="6" t="s">
        <v>35</v>
      </c>
      <c r="F661" s="6" t="s">
        <v>50</v>
      </c>
      <c r="G661" s="7">
        <f>Table2[[#This Row],[Unit price]]-10</f>
        <v>45.45</v>
      </c>
      <c r="H661" s="7">
        <v>55.45</v>
      </c>
      <c r="I661" s="8">
        <v>1</v>
      </c>
      <c r="J661" s="8">
        <f>Table2[[#This Row],[Unit price]]*Table2[[#This Row],[Quantity]]</f>
        <v>55.45</v>
      </c>
      <c r="K661" s="8">
        <f>Table2[[#This Row],[Unit Cost]]*Table2[[#This Row],[Quantity]]</f>
        <v>45.45</v>
      </c>
      <c r="L661" s="8">
        <f>Table2[[#This Row],[Gross Sales]]-Table2[[#This Row],[COGS]]</f>
        <v>10</v>
      </c>
      <c r="M661" s="9">
        <f t="shared" si="10"/>
        <v>0.18034265103697023</v>
      </c>
      <c r="N661" s="7">
        <v>2.7725</v>
      </c>
      <c r="O661" s="7">
        <v>58.222499999999997</v>
      </c>
      <c r="P661" s="10">
        <v>43522</v>
      </c>
      <c r="Q661" s="10" t="str">
        <f>TEXT(Table2[[#This Row],[Date]],"mmm")</f>
        <v>Feb</v>
      </c>
      <c r="R661" s="11">
        <v>0.7402777777777777</v>
      </c>
      <c r="S661" s="6" t="s">
        <v>37</v>
      </c>
      <c r="T661" s="7">
        <v>4.9000000000000004</v>
      </c>
      <c r="U661" s="6">
        <f>IF(_xlfn.XLOOKUP(A661,[1]Data2!$A:$A,[1]Data2!$B:$B,"no")="yes",1,0)</f>
        <v>0</v>
      </c>
    </row>
    <row r="662" spans="1:21" s="6" customFormat="1" x14ac:dyDescent="0.3">
      <c r="A662" s="6" t="s">
        <v>700</v>
      </c>
      <c r="B662" s="6" t="s">
        <v>46</v>
      </c>
      <c r="C662" s="6" t="s">
        <v>47</v>
      </c>
      <c r="D662" s="6" t="s">
        <v>31</v>
      </c>
      <c r="E662" s="6" t="s">
        <v>25</v>
      </c>
      <c r="F662" s="6" t="s">
        <v>40</v>
      </c>
      <c r="G662" s="7">
        <f>Table2[[#This Row],[Unit price]]-10</f>
        <v>32.97</v>
      </c>
      <c r="H662" s="7">
        <v>42.97</v>
      </c>
      <c r="I662" s="8">
        <v>3</v>
      </c>
      <c r="J662" s="8">
        <f>Table2[[#This Row],[Unit price]]*Table2[[#This Row],[Quantity]]</f>
        <v>128.91</v>
      </c>
      <c r="K662" s="8">
        <f>Table2[[#This Row],[Unit Cost]]*Table2[[#This Row],[Quantity]]</f>
        <v>98.91</v>
      </c>
      <c r="L662" s="8">
        <f>Table2[[#This Row],[Gross Sales]]-Table2[[#This Row],[COGS]]</f>
        <v>30</v>
      </c>
      <c r="M662" s="9">
        <f t="shared" si="10"/>
        <v>0.23272050267628577</v>
      </c>
      <c r="N662" s="7">
        <v>6.4455</v>
      </c>
      <c r="O662" s="7">
        <v>135.35550000000001</v>
      </c>
      <c r="P662" s="10">
        <v>43499</v>
      </c>
      <c r="Q662" s="10" t="str">
        <f>TEXT(Table2[[#This Row],[Date]],"mmm")</f>
        <v>Feb</v>
      </c>
      <c r="R662" s="11">
        <v>0.49027777777777781</v>
      </c>
      <c r="S662" s="6" t="s">
        <v>33</v>
      </c>
      <c r="T662" s="7">
        <v>9.3000000000000007</v>
      </c>
      <c r="U662" s="6">
        <f>IF(_xlfn.XLOOKUP(A662,[1]Data2!$A:$A,[1]Data2!$B:$B,"no")="yes",1,0)</f>
        <v>1</v>
      </c>
    </row>
    <row r="663" spans="1:21" s="6" customFormat="1" x14ac:dyDescent="0.3">
      <c r="A663" s="6" t="s">
        <v>701</v>
      </c>
      <c r="B663" s="6" t="s">
        <v>29</v>
      </c>
      <c r="C663" s="6" t="s">
        <v>30</v>
      </c>
      <c r="D663" s="6" t="s">
        <v>24</v>
      </c>
      <c r="E663" s="6" t="s">
        <v>35</v>
      </c>
      <c r="F663" s="6" t="s">
        <v>40</v>
      </c>
      <c r="G663" s="7">
        <f>Table2[[#This Row],[Unit price]]-10</f>
        <v>7.1400000000000006</v>
      </c>
      <c r="H663" s="7">
        <v>17.14</v>
      </c>
      <c r="I663" s="8">
        <v>7</v>
      </c>
      <c r="J663" s="8">
        <f>Table2[[#This Row],[Unit price]]*Table2[[#This Row],[Quantity]]</f>
        <v>119.98</v>
      </c>
      <c r="K663" s="8">
        <f>Table2[[#This Row],[Unit Cost]]*Table2[[#This Row],[Quantity]]</f>
        <v>49.980000000000004</v>
      </c>
      <c r="L663" s="8">
        <f>Table2[[#This Row],[Gross Sales]]-Table2[[#This Row],[COGS]]</f>
        <v>70</v>
      </c>
      <c r="M663" s="9">
        <f t="shared" si="10"/>
        <v>0.58343057176196034</v>
      </c>
      <c r="N663" s="7">
        <v>5.9989999999999997</v>
      </c>
      <c r="O663" s="7">
        <v>125.979</v>
      </c>
      <c r="P663" s="10">
        <v>43481</v>
      </c>
      <c r="Q663" s="10" t="str">
        <f>TEXT(Table2[[#This Row],[Date]],"mmm")</f>
        <v>Jan</v>
      </c>
      <c r="R663" s="11">
        <v>0.50486111111111109</v>
      </c>
      <c r="S663" s="6" t="s">
        <v>37</v>
      </c>
      <c r="T663" s="7">
        <v>7.9</v>
      </c>
      <c r="U663" s="6">
        <f>IF(_xlfn.XLOOKUP(A663,[1]Data2!$A:$A,[1]Data2!$B:$B,"no")="yes",1,0)</f>
        <v>0</v>
      </c>
    </row>
    <row r="664" spans="1:21" s="6" customFormat="1" x14ac:dyDescent="0.3">
      <c r="A664" s="6" t="s">
        <v>702</v>
      </c>
      <c r="B664" s="6" t="s">
        <v>46</v>
      </c>
      <c r="C664" s="6" t="s">
        <v>47</v>
      </c>
      <c r="D664" s="6" t="s">
        <v>24</v>
      </c>
      <c r="E664" s="6" t="s">
        <v>25</v>
      </c>
      <c r="F664" s="6" t="s">
        <v>50</v>
      </c>
      <c r="G664" s="7">
        <f>Table2[[#This Row],[Unit price]]-10</f>
        <v>48.75</v>
      </c>
      <c r="H664" s="7">
        <v>58.75</v>
      </c>
      <c r="I664" s="8">
        <v>6</v>
      </c>
      <c r="J664" s="8">
        <f>Table2[[#This Row],[Unit price]]*Table2[[#This Row],[Quantity]]</f>
        <v>352.5</v>
      </c>
      <c r="K664" s="8">
        <f>Table2[[#This Row],[Unit Cost]]*Table2[[#This Row],[Quantity]]</f>
        <v>292.5</v>
      </c>
      <c r="L664" s="8">
        <f>Table2[[#This Row],[Gross Sales]]-Table2[[#This Row],[COGS]]</f>
        <v>60</v>
      </c>
      <c r="M664" s="9">
        <f t="shared" si="10"/>
        <v>0.1702127659574468</v>
      </c>
      <c r="N664" s="7">
        <v>17.625</v>
      </c>
      <c r="O664" s="7">
        <v>370.125</v>
      </c>
      <c r="P664" s="10">
        <v>43548</v>
      </c>
      <c r="Q664" s="10" t="str">
        <f>TEXT(Table2[[#This Row],[Date]],"mmm")</f>
        <v>Mar</v>
      </c>
      <c r="R664" s="11">
        <v>0.7597222222222223</v>
      </c>
      <c r="S664" s="6" t="s">
        <v>37</v>
      </c>
      <c r="T664" s="7">
        <v>5.9</v>
      </c>
      <c r="U664" s="6">
        <f>IF(_xlfn.XLOOKUP(A664,[1]Data2!$A:$A,[1]Data2!$B:$B,"no")="yes",1,0)</f>
        <v>0</v>
      </c>
    </row>
    <row r="665" spans="1:21" s="6" customFormat="1" x14ac:dyDescent="0.3">
      <c r="A665" s="6" t="s">
        <v>703</v>
      </c>
      <c r="B665" s="6" t="s">
        <v>29</v>
      </c>
      <c r="C665" s="6" t="s">
        <v>30</v>
      </c>
      <c r="D665" s="6" t="s">
        <v>24</v>
      </c>
      <c r="E665" s="6" t="s">
        <v>25</v>
      </c>
      <c r="F665" s="6" t="s">
        <v>48</v>
      </c>
      <c r="G665" s="7">
        <f>Table2[[#This Row],[Unit price]]-10</f>
        <v>77.099999999999994</v>
      </c>
      <c r="H665" s="7">
        <v>87.1</v>
      </c>
      <c r="I665" s="8">
        <v>10</v>
      </c>
      <c r="J665" s="8">
        <f>Table2[[#This Row],[Unit price]]*Table2[[#This Row],[Quantity]]</f>
        <v>871</v>
      </c>
      <c r="K665" s="8">
        <f>Table2[[#This Row],[Unit Cost]]*Table2[[#This Row],[Quantity]]</f>
        <v>771</v>
      </c>
      <c r="L665" s="8">
        <f>Table2[[#This Row],[Gross Sales]]-Table2[[#This Row],[COGS]]</f>
        <v>100</v>
      </c>
      <c r="M665" s="9">
        <f t="shared" si="10"/>
        <v>0.11481056257175661</v>
      </c>
      <c r="N665" s="7">
        <v>43.55</v>
      </c>
      <c r="O665" s="7">
        <v>914.55</v>
      </c>
      <c r="P665" s="10">
        <v>43508</v>
      </c>
      <c r="Q665" s="10" t="str">
        <f>TEXT(Table2[[#This Row],[Date]],"mmm")</f>
        <v>Feb</v>
      </c>
      <c r="R665" s="11">
        <v>0.61458333333333337</v>
      </c>
      <c r="S665" s="6" t="s">
        <v>37</v>
      </c>
      <c r="T665" s="7">
        <v>9.9</v>
      </c>
      <c r="U665" s="6">
        <f>IF(_xlfn.XLOOKUP(A665,[1]Data2!$A:$A,[1]Data2!$B:$B,"no")="yes",1,0)</f>
        <v>0</v>
      </c>
    </row>
    <row r="666" spans="1:21" s="6" customFormat="1" x14ac:dyDescent="0.3">
      <c r="A666" s="6" t="s">
        <v>704</v>
      </c>
      <c r="B666" s="6" t="s">
        <v>29</v>
      </c>
      <c r="C666" s="6" t="s">
        <v>30</v>
      </c>
      <c r="D666" s="6" t="s">
        <v>31</v>
      </c>
      <c r="E666" s="6" t="s">
        <v>25</v>
      </c>
      <c r="F666" s="6" t="s">
        <v>40</v>
      </c>
      <c r="G666" s="7">
        <f>Table2[[#This Row],[Unit price]]-10</f>
        <v>88.8</v>
      </c>
      <c r="H666" s="7">
        <v>98.8</v>
      </c>
      <c r="I666" s="8">
        <v>2</v>
      </c>
      <c r="J666" s="8">
        <f>Table2[[#This Row],[Unit price]]*Table2[[#This Row],[Quantity]]</f>
        <v>197.6</v>
      </c>
      <c r="K666" s="8">
        <f>Table2[[#This Row],[Unit Cost]]*Table2[[#This Row],[Quantity]]</f>
        <v>177.6</v>
      </c>
      <c r="L666" s="8">
        <f>Table2[[#This Row],[Gross Sales]]-Table2[[#This Row],[COGS]]</f>
        <v>20</v>
      </c>
      <c r="M666" s="9">
        <f t="shared" si="10"/>
        <v>0.10121457489878542</v>
      </c>
      <c r="N666" s="7">
        <v>9.8800000000000008</v>
      </c>
      <c r="O666" s="7">
        <v>207.48</v>
      </c>
      <c r="P666" s="10">
        <v>43517</v>
      </c>
      <c r="Q666" s="10" t="str">
        <f>TEXT(Table2[[#This Row],[Date]],"mmm")</f>
        <v>Feb</v>
      </c>
      <c r="R666" s="11">
        <v>0.48541666666666666</v>
      </c>
      <c r="S666" s="6" t="s">
        <v>33</v>
      </c>
      <c r="T666" s="7">
        <v>7.7</v>
      </c>
      <c r="U666" s="6">
        <f>IF(_xlfn.XLOOKUP(A666,[1]Data2!$A:$A,[1]Data2!$B:$B,"no")="yes",1,0)</f>
        <v>1</v>
      </c>
    </row>
    <row r="667" spans="1:21" s="6" customFormat="1" x14ac:dyDescent="0.3">
      <c r="A667" s="6" t="s">
        <v>705</v>
      </c>
      <c r="B667" s="6" t="s">
        <v>22</v>
      </c>
      <c r="C667" s="6" t="s">
        <v>23</v>
      </c>
      <c r="D667" s="6" t="s">
        <v>31</v>
      </c>
      <c r="E667" s="6" t="s">
        <v>25</v>
      </c>
      <c r="F667" s="6" t="s">
        <v>50</v>
      </c>
      <c r="G667" s="7">
        <f>Table2[[#This Row],[Unit price]]-10</f>
        <v>38.630000000000003</v>
      </c>
      <c r="H667" s="7">
        <v>48.63</v>
      </c>
      <c r="I667" s="8">
        <v>4</v>
      </c>
      <c r="J667" s="8">
        <f>Table2[[#This Row],[Unit price]]*Table2[[#This Row],[Quantity]]</f>
        <v>194.52</v>
      </c>
      <c r="K667" s="8">
        <f>Table2[[#This Row],[Unit Cost]]*Table2[[#This Row],[Quantity]]</f>
        <v>154.52000000000001</v>
      </c>
      <c r="L667" s="8">
        <f>Table2[[#This Row],[Gross Sales]]-Table2[[#This Row],[COGS]]</f>
        <v>40</v>
      </c>
      <c r="M667" s="9">
        <f t="shared" si="10"/>
        <v>0.20563438206868187</v>
      </c>
      <c r="N667" s="7">
        <v>9.7260000000000009</v>
      </c>
      <c r="O667" s="7">
        <v>204.24600000000001</v>
      </c>
      <c r="P667" s="10">
        <v>43500</v>
      </c>
      <c r="Q667" s="10" t="str">
        <f>TEXT(Table2[[#This Row],[Date]],"mmm")</f>
        <v>Feb</v>
      </c>
      <c r="R667" s="11">
        <v>0.65555555555555556</v>
      </c>
      <c r="S667" s="6" t="s">
        <v>27</v>
      </c>
      <c r="T667" s="7">
        <v>7.6</v>
      </c>
      <c r="U667" s="6">
        <f>IF(_xlfn.XLOOKUP(A667,[1]Data2!$A:$A,[1]Data2!$B:$B,"no")="yes",1,0)</f>
        <v>0</v>
      </c>
    </row>
    <row r="668" spans="1:21" s="6" customFormat="1" x14ac:dyDescent="0.3">
      <c r="A668" s="6" t="s">
        <v>706</v>
      </c>
      <c r="B668" s="6" t="s">
        <v>46</v>
      </c>
      <c r="C668" s="6" t="s">
        <v>47</v>
      </c>
      <c r="D668" s="6" t="s">
        <v>24</v>
      </c>
      <c r="E668" s="6" t="s">
        <v>35</v>
      </c>
      <c r="F668" s="6" t="s">
        <v>48</v>
      </c>
      <c r="G668" s="7">
        <f>Table2[[#This Row],[Unit price]]-10</f>
        <v>47.74</v>
      </c>
      <c r="H668" s="7">
        <v>57.74</v>
      </c>
      <c r="I668" s="8">
        <v>3</v>
      </c>
      <c r="J668" s="8">
        <f>Table2[[#This Row],[Unit price]]*Table2[[#This Row],[Quantity]]</f>
        <v>173.22</v>
      </c>
      <c r="K668" s="8">
        <f>Table2[[#This Row],[Unit Cost]]*Table2[[#This Row],[Quantity]]</f>
        <v>143.22</v>
      </c>
      <c r="L668" s="8">
        <f>Table2[[#This Row],[Gross Sales]]-Table2[[#This Row],[COGS]]</f>
        <v>30</v>
      </c>
      <c r="M668" s="9">
        <f t="shared" si="10"/>
        <v>0.17319016279875304</v>
      </c>
      <c r="N668" s="7">
        <v>8.6609999999999996</v>
      </c>
      <c r="O668" s="7">
        <v>181.881</v>
      </c>
      <c r="P668" s="10">
        <v>43516</v>
      </c>
      <c r="Q668" s="10" t="str">
        <f>TEXT(Table2[[#This Row],[Date]],"mmm")</f>
        <v>Feb</v>
      </c>
      <c r="R668" s="11">
        <v>0.54583333333333328</v>
      </c>
      <c r="S668" s="6" t="s">
        <v>27</v>
      </c>
      <c r="T668" s="7">
        <v>7.7</v>
      </c>
      <c r="U668" s="6">
        <f>IF(_xlfn.XLOOKUP(A668,[1]Data2!$A:$A,[1]Data2!$B:$B,"no")="yes",1,0)</f>
        <v>0</v>
      </c>
    </row>
    <row r="669" spans="1:21" s="6" customFormat="1" x14ac:dyDescent="0.3">
      <c r="A669" s="6" t="s">
        <v>707</v>
      </c>
      <c r="B669" s="6" t="s">
        <v>46</v>
      </c>
      <c r="C669" s="6" t="s">
        <v>47</v>
      </c>
      <c r="D669" s="6" t="s">
        <v>31</v>
      </c>
      <c r="E669" s="6" t="s">
        <v>25</v>
      </c>
      <c r="F669" s="6" t="s">
        <v>26</v>
      </c>
      <c r="G669" s="7">
        <f>Table2[[#This Row],[Unit price]]-10</f>
        <v>7.9699999999999989</v>
      </c>
      <c r="H669" s="7">
        <v>17.97</v>
      </c>
      <c r="I669" s="8">
        <v>4</v>
      </c>
      <c r="J669" s="8">
        <f>Table2[[#This Row],[Unit price]]*Table2[[#This Row],[Quantity]]</f>
        <v>71.88</v>
      </c>
      <c r="K669" s="8">
        <f>Table2[[#This Row],[Unit Cost]]*Table2[[#This Row],[Quantity]]</f>
        <v>31.879999999999995</v>
      </c>
      <c r="L669" s="8">
        <f>Table2[[#This Row],[Gross Sales]]-Table2[[#This Row],[COGS]]</f>
        <v>40</v>
      </c>
      <c r="M669" s="9">
        <f t="shared" si="10"/>
        <v>0.55648302726766841</v>
      </c>
      <c r="N669" s="7">
        <v>3.5939999999999999</v>
      </c>
      <c r="O669" s="7">
        <v>75.474000000000004</v>
      </c>
      <c r="P669" s="10">
        <v>43519</v>
      </c>
      <c r="Q669" s="10" t="str">
        <f>TEXT(Table2[[#This Row],[Date]],"mmm")</f>
        <v>Feb</v>
      </c>
      <c r="R669" s="11">
        <v>0.86319444444444438</v>
      </c>
      <c r="S669" s="6" t="s">
        <v>27</v>
      </c>
      <c r="T669" s="7">
        <v>6.4</v>
      </c>
      <c r="U669" s="6">
        <f>IF(_xlfn.XLOOKUP(A669,[1]Data2!$A:$A,[1]Data2!$B:$B,"no")="yes",1,0)</f>
        <v>0</v>
      </c>
    </row>
    <row r="670" spans="1:21" s="6" customFormat="1" x14ac:dyDescent="0.3">
      <c r="A670" s="6" t="s">
        <v>708</v>
      </c>
      <c r="B670" s="6" t="s">
        <v>29</v>
      </c>
      <c r="C670" s="6" t="s">
        <v>30</v>
      </c>
      <c r="D670" s="6" t="s">
        <v>24</v>
      </c>
      <c r="E670" s="6" t="s">
        <v>25</v>
      </c>
      <c r="F670" s="6" t="s">
        <v>26</v>
      </c>
      <c r="G670" s="7">
        <f>Table2[[#This Row],[Unit price]]-10</f>
        <v>37.71</v>
      </c>
      <c r="H670" s="7">
        <v>47.71</v>
      </c>
      <c r="I670" s="8">
        <v>6</v>
      </c>
      <c r="J670" s="8">
        <f>Table2[[#This Row],[Unit price]]*Table2[[#This Row],[Quantity]]</f>
        <v>286.26</v>
      </c>
      <c r="K670" s="8">
        <f>Table2[[#This Row],[Unit Cost]]*Table2[[#This Row],[Quantity]]</f>
        <v>226.26</v>
      </c>
      <c r="L670" s="8">
        <f>Table2[[#This Row],[Gross Sales]]-Table2[[#This Row],[COGS]]</f>
        <v>60</v>
      </c>
      <c r="M670" s="9">
        <f t="shared" si="10"/>
        <v>0.20959966464053659</v>
      </c>
      <c r="N670" s="7">
        <v>14.313000000000001</v>
      </c>
      <c r="O670" s="7">
        <v>300.57299999999998</v>
      </c>
      <c r="P670" s="10">
        <v>43512</v>
      </c>
      <c r="Q670" s="10" t="str">
        <f>TEXT(Table2[[#This Row],[Date]],"mmm")</f>
        <v>Feb</v>
      </c>
      <c r="R670" s="11">
        <v>0.59652777777777777</v>
      </c>
      <c r="S670" s="6" t="s">
        <v>27</v>
      </c>
      <c r="T670" s="7">
        <v>4.4000000000000004</v>
      </c>
      <c r="U670" s="6">
        <f>IF(_xlfn.XLOOKUP(A670,[1]Data2!$A:$A,[1]Data2!$B:$B,"no")="yes",1,0)</f>
        <v>1</v>
      </c>
    </row>
    <row r="671" spans="1:21" s="6" customFormat="1" x14ac:dyDescent="0.3">
      <c r="A671" s="6" t="s">
        <v>709</v>
      </c>
      <c r="B671" s="6" t="s">
        <v>46</v>
      </c>
      <c r="C671" s="6" t="s">
        <v>47</v>
      </c>
      <c r="D671" s="6" t="s">
        <v>31</v>
      </c>
      <c r="E671" s="6" t="s">
        <v>25</v>
      </c>
      <c r="F671" s="6" t="s">
        <v>40</v>
      </c>
      <c r="G671" s="7">
        <f>Table2[[#This Row],[Unit price]]-10</f>
        <v>30.619999999999997</v>
      </c>
      <c r="H671" s="7">
        <v>40.619999999999997</v>
      </c>
      <c r="I671" s="8">
        <v>2</v>
      </c>
      <c r="J671" s="8">
        <f>Table2[[#This Row],[Unit price]]*Table2[[#This Row],[Quantity]]</f>
        <v>81.239999999999995</v>
      </c>
      <c r="K671" s="8">
        <f>Table2[[#This Row],[Unit Cost]]*Table2[[#This Row],[Quantity]]</f>
        <v>61.239999999999995</v>
      </c>
      <c r="L671" s="8">
        <f>Table2[[#This Row],[Gross Sales]]-Table2[[#This Row],[COGS]]</f>
        <v>20</v>
      </c>
      <c r="M671" s="9">
        <f t="shared" si="10"/>
        <v>0.2461841457410143</v>
      </c>
      <c r="N671" s="7">
        <v>4.0620000000000003</v>
      </c>
      <c r="O671" s="7">
        <v>85.302000000000007</v>
      </c>
      <c r="P671" s="10">
        <v>43482</v>
      </c>
      <c r="Q671" s="10" t="str">
        <f>TEXT(Table2[[#This Row],[Date]],"mmm")</f>
        <v>Jan</v>
      </c>
      <c r="R671" s="11">
        <v>0.41736111111111113</v>
      </c>
      <c r="S671" s="6" t="s">
        <v>37</v>
      </c>
      <c r="T671" s="7">
        <v>4.0999999999999996</v>
      </c>
      <c r="U671" s="6">
        <f>IF(_xlfn.XLOOKUP(A671,[1]Data2!$A:$A,[1]Data2!$B:$B,"no")="yes",1,0)</f>
        <v>0</v>
      </c>
    </row>
    <row r="672" spans="1:21" s="6" customFormat="1" x14ac:dyDescent="0.3">
      <c r="A672" s="6" t="s">
        <v>710</v>
      </c>
      <c r="B672" s="6" t="s">
        <v>22</v>
      </c>
      <c r="C672" s="6" t="s">
        <v>23</v>
      </c>
      <c r="D672" s="6" t="s">
        <v>24</v>
      </c>
      <c r="E672" s="6" t="s">
        <v>35</v>
      </c>
      <c r="F672" s="6" t="s">
        <v>50</v>
      </c>
      <c r="G672" s="7">
        <f>Table2[[#This Row],[Unit price]]-10</f>
        <v>46.04</v>
      </c>
      <c r="H672" s="7">
        <v>56.04</v>
      </c>
      <c r="I672" s="8">
        <v>10</v>
      </c>
      <c r="J672" s="8">
        <f>Table2[[#This Row],[Unit price]]*Table2[[#This Row],[Quantity]]</f>
        <v>560.4</v>
      </c>
      <c r="K672" s="8">
        <f>Table2[[#This Row],[Unit Cost]]*Table2[[#This Row],[Quantity]]</f>
        <v>460.4</v>
      </c>
      <c r="L672" s="8">
        <f>Table2[[#This Row],[Gross Sales]]-Table2[[#This Row],[COGS]]</f>
        <v>100</v>
      </c>
      <c r="M672" s="9">
        <f t="shared" si="10"/>
        <v>0.17844396859386152</v>
      </c>
      <c r="N672" s="7">
        <v>28.02</v>
      </c>
      <c r="O672" s="7">
        <v>588.41999999999996</v>
      </c>
      <c r="P672" s="10">
        <v>43479</v>
      </c>
      <c r="Q672" s="10" t="str">
        <f>TEXT(Table2[[#This Row],[Date]],"mmm")</f>
        <v>Jan</v>
      </c>
      <c r="R672" s="11">
        <v>0.8125</v>
      </c>
      <c r="S672" s="6" t="s">
        <v>27</v>
      </c>
      <c r="T672" s="7">
        <v>4.4000000000000004</v>
      </c>
      <c r="U672" s="6">
        <f>IF(_xlfn.XLOOKUP(A672,[1]Data2!$A:$A,[1]Data2!$B:$B,"no")="yes",1,0)</f>
        <v>0</v>
      </c>
    </row>
    <row r="673" spans="1:21" s="6" customFormat="1" x14ac:dyDescent="0.3">
      <c r="A673" s="6" t="s">
        <v>711</v>
      </c>
      <c r="B673" s="6" t="s">
        <v>46</v>
      </c>
      <c r="C673" s="6" t="s">
        <v>47</v>
      </c>
      <c r="D673" s="6" t="s">
        <v>24</v>
      </c>
      <c r="E673" s="6" t="s">
        <v>35</v>
      </c>
      <c r="F673" s="6" t="s">
        <v>48</v>
      </c>
      <c r="G673" s="7">
        <f>Table2[[#This Row],[Unit price]]-10</f>
        <v>83.4</v>
      </c>
      <c r="H673" s="7">
        <v>93.4</v>
      </c>
      <c r="I673" s="8">
        <v>2</v>
      </c>
      <c r="J673" s="8">
        <f>Table2[[#This Row],[Unit price]]*Table2[[#This Row],[Quantity]]</f>
        <v>186.8</v>
      </c>
      <c r="K673" s="8">
        <f>Table2[[#This Row],[Unit Cost]]*Table2[[#This Row],[Quantity]]</f>
        <v>166.8</v>
      </c>
      <c r="L673" s="8">
        <f>Table2[[#This Row],[Gross Sales]]-Table2[[#This Row],[COGS]]</f>
        <v>20</v>
      </c>
      <c r="M673" s="9">
        <f t="shared" si="10"/>
        <v>0.10706638115631691</v>
      </c>
      <c r="N673" s="7">
        <v>9.34</v>
      </c>
      <c r="O673" s="7">
        <v>196.14</v>
      </c>
      <c r="P673" s="10">
        <v>43554</v>
      </c>
      <c r="Q673" s="10" t="str">
        <f>TEXT(Table2[[#This Row],[Date]],"mmm")</f>
        <v>Mar</v>
      </c>
      <c r="R673" s="11">
        <v>0.69027777777777777</v>
      </c>
      <c r="S673" s="6" t="s">
        <v>33</v>
      </c>
      <c r="T673" s="7">
        <v>5.5</v>
      </c>
      <c r="U673" s="6">
        <f>IF(_xlfn.XLOOKUP(A673,[1]Data2!$A:$A,[1]Data2!$B:$B,"no")="yes",1,0)</f>
        <v>0</v>
      </c>
    </row>
    <row r="674" spans="1:21" s="6" customFormat="1" x14ac:dyDescent="0.3">
      <c r="A674" s="6" t="s">
        <v>712</v>
      </c>
      <c r="B674" s="6" t="s">
        <v>46</v>
      </c>
      <c r="C674" s="6" t="s">
        <v>47</v>
      </c>
      <c r="D674" s="6" t="s">
        <v>31</v>
      </c>
      <c r="E674" s="6" t="s">
        <v>25</v>
      </c>
      <c r="F674" s="6" t="s">
        <v>26</v>
      </c>
      <c r="G674" s="7">
        <f>Table2[[#This Row],[Unit price]]-10</f>
        <v>63.41</v>
      </c>
      <c r="H674" s="7">
        <v>73.41</v>
      </c>
      <c r="I674" s="8">
        <v>3</v>
      </c>
      <c r="J674" s="8">
        <f>Table2[[#This Row],[Unit price]]*Table2[[#This Row],[Quantity]]</f>
        <v>220.23</v>
      </c>
      <c r="K674" s="8">
        <f>Table2[[#This Row],[Unit Cost]]*Table2[[#This Row],[Quantity]]</f>
        <v>190.23</v>
      </c>
      <c r="L674" s="8">
        <f>Table2[[#This Row],[Gross Sales]]-Table2[[#This Row],[COGS]]</f>
        <v>30</v>
      </c>
      <c r="M674" s="9">
        <f t="shared" si="10"/>
        <v>0.13622122326658495</v>
      </c>
      <c r="N674" s="7">
        <v>11.0115</v>
      </c>
      <c r="O674" s="7">
        <v>231.2415</v>
      </c>
      <c r="P674" s="10">
        <v>43526</v>
      </c>
      <c r="Q674" s="10" t="str">
        <f>TEXT(Table2[[#This Row],[Date]],"mmm")</f>
        <v>Mar</v>
      </c>
      <c r="R674" s="11">
        <v>0.54861111111111105</v>
      </c>
      <c r="S674" s="6" t="s">
        <v>27</v>
      </c>
      <c r="T674" s="7">
        <v>4</v>
      </c>
      <c r="U674" s="6">
        <f>IF(_xlfn.XLOOKUP(A674,[1]Data2!$A:$A,[1]Data2!$B:$B,"no")="yes",1,0)</f>
        <v>1</v>
      </c>
    </row>
    <row r="675" spans="1:21" s="6" customFormat="1" x14ac:dyDescent="0.3">
      <c r="A675" s="6" t="s">
        <v>713</v>
      </c>
      <c r="B675" s="6" t="s">
        <v>29</v>
      </c>
      <c r="C675" s="6" t="s">
        <v>30</v>
      </c>
      <c r="D675" s="6" t="s">
        <v>31</v>
      </c>
      <c r="E675" s="6" t="s">
        <v>35</v>
      </c>
      <c r="F675" s="6" t="s">
        <v>26</v>
      </c>
      <c r="G675" s="7">
        <f>Table2[[#This Row],[Unit price]]-10</f>
        <v>23.64</v>
      </c>
      <c r="H675" s="7">
        <v>33.64</v>
      </c>
      <c r="I675" s="8">
        <v>8</v>
      </c>
      <c r="J675" s="8">
        <f>Table2[[#This Row],[Unit price]]*Table2[[#This Row],[Quantity]]</f>
        <v>269.12</v>
      </c>
      <c r="K675" s="8">
        <f>Table2[[#This Row],[Unit Cost]]*Table2[[#This Row],[Quantity]]</f>
        <v>189.12</v>
      </c>
      <c r="L675" s="8">
        <f>Table2[[#This Row],[Gross Sales]]-Table2[[#This Row],[COGS]]</f>
        <v>80</v>
      </c>
      <c r="M675" s="9">
        <f t="shared" si="10"/>
        <v>0.29726516052318669</v>
      </c>
      <c r="N675" s="7">
        <v>13.456</v>
      </c>
      <c r="O675" s="7">
        <v>282.57600000000002</v>
      </c>
      <c r="P675" s="10">
        <v>43511</v>
      </c>
      <c r="Q675" s="10" t="str">
        <f>TEXT(Table2[[#This Row],[Date]],"mmm")</f>
        <v>Feb</v>
      </c>
      <c r="R675" s="11">
        <v>0.71527777777777779</v>
      </c>
      <c r="S675" s="6" t="s">
        <v>37</v>
      </c>
      <c r="T675" s="7">
        <v>9.3000000000000007</v>
      </c>
      <c r="U675" s="6">
        <f>IF(_xlfn.XLOOKUP(A675,[1]Data2!$A:$A,[1]Data2!$B:$B,"no")="yes",1,0)</f>
        <v>0</v>
      </c>
    </row>
    <row r="676" spans="1:21" s="6" customFormat="1" x14ac:dyDescent="0.3">
      <c r="A676" s="6" t="s">
        <v>714</v>
      </c>
      <c r="B676" s="6" t="s">
        <v>22</v>
      </c>
      <c r="C676" s="6" t="s">
        <v>23</v>
      </c>
      <c r="D676" s="6" t="s">
        <v>31</v>
      </c>
      <c r="E676" s="6" t="s">
        <v>25</v>
      </c>
      <c r="F676" s="6" t="s">
        <v>32</v>
      </c>
      <c r="G676" s="7">
        <f>Table2[[#This Row],[Unit price]]-10</f>
        <v>35.479999999999997</v>
      </c>
      <c r="H676" s="7">
        <v>45.48</v>
      </c>
      <c r="I676" s="8">
        <v>10</v>
      </c>
      <c r="J676" s="8">
        <f>Table2[[#This Row],[Unit price]]*Table2[[#This Row],[Quantity]]</f>
        <v>454.79999999999995</v>
      </c>
      <c r="K676" s="8">
        <f>Table2[[#This Row],[Unit Cost]]*Table2[[#This Row],[Quantity]]</f>
        <v>354.79999999999995</v>
      </c>
      <c r="L676" s="8">
        <f>Table2[[#This Row],[Gross Sales]]-Table2[[#This Row],[COGS]]</f>
        <v>100</v>
      </c>
      <c r="M676" s="9">
        <f t="shared" si="10"/>
        <v>0.21987686895338612</v>
      </c>
      <c r="N676" s="7">
        <v>22.74</v>
      </c>
      <c r="O676" s="7">
        <v>477.54</v>
      </c>
      <c r="P676" s="10">
        <v>43525</v>
      </c>
      <c r="Q676" s="10" t="str">
        <f>TEXT(Table2[[#This Row],[Date]],"mmm")</f>
        <v>Mar</v>
      </c>
      <c r="R676" s="11">
        <v>0.43194444444444446</v>
      </c>
      <c r="S676" s="6" t="s">
        <v>37</v>
      </c>
      <c r="T676" s="7">
        <v>4.8</v>
      </c>
      <c r="U676" s="6">
        <f>IF(_xlfn.XLOOKUP(A676,[1]Data2!$A:$A,[1]Data2!$B:$B,"no")="yes",1,0)</f>
        <v>0</v>
      </c>
    </row>
    <row r="677" spans="1:21" s="6" customFormat="1" x14ac:dyDescent="0.3">
      <c r="A677" s="6" t="s">
        <v>715</v>
      </c>
      <c r="B677" s="6" t="s">
        <v>46</v>
      </c>
      <c r="C677" s="6" t="s">
        <v>47</v>
      </c>
      <c r="D677" s="6" t="s">
        <v>24</v>
      </c>
      <c r="E677" s="6" t="s">
        <v>35</v>
      </c>
      <c r="F677" s="6" t="s">
        <v>50</v>
      </c>
      <c r="G677" s="7">
        <f>Table2[[#This Row],[Unit price]]-10</f>
        <v>73.77</v>
      </c>
      <c r="H677" s="7">
        <v>83.77</v>
      </c>
      <c r="I677" s="8">
        <v>2</v>
      </c>
      <c r="J677" s="8">
        <f>Table2[[#This Row],[Unit price]]*Table2[[#This Row],[Quantity]]</f>
        <v>167.54</v>
      </c>
      <c r="K677" s="8">
        <f>Table2[[#This Row],[Unit Cost]]*Table2[[#This Row],[Quantity]]</f>
        <v>147.54</v>
      </c>
      <c r="L677" s="8">
        <f>Table2[[#This Row],[Gross Sales]]-Table2[[#This Row],[COGS]]</f>
        <v>20</v>
      </c>
      <c r="M677" s="9">
        <f t="shared" si="10"/>
        <v>0.11937447773665991</v>
      </c>
      <c r="N677" s="7">
        <v>8.3770000000000007</v>
      </c>
      <c r="O677" s="7">
        <v>175.917</v>
      </c>
      <c r="P677" s="10">
        <v>43520</v>
      </c>
      <c r="Q677" s="10" t="str">
        <f>TEXT(Table2[[#This Row],[Date]],"mmm")</f>
        <v>Feb</v>
      </c>
      <c r="R677" s="11">
        <v>0.83124999999999993</v>
      </c>
      <c r="S677" s="6" t="s">
        <v>33</v>
      </c>
      <c r="T677" s="7">
        <v>4.5999999999999996</v>
      </c>
      <c r="U677" s="6">
        <f>IF(_xlfn.XLOOKUP(A677,[1]Data2!$A:$A,[1]Data2!$B:$B,"no")="yes",1,0)</f>
        <v>0</v>
      </c>
    </row>
    <row r="678" spans="1:21" s="6" customFormat="1" x14ac:dyDescent="0.3">
      <c r="A678" s="6" t="s">
        <v>716</v>
      </c>
      <c r="B678" s="6" t="s">
        <v>46</v>
      </c>
      <c r="C678" s="6" t="s">
        <v>47</v>
      </c>
      <c r="D678" s="6" t="s">
        <v>24</v>
      </c>
      <c r="E678" s="6" t="s">
        <v>25</v>
      </c>
      <c r="F678" s="6" t="s">
        <v>40</v>
      </c>
      <c r="G678" s="7">
        <f>Table2[[#This Row],[Unit price]]-10</f>
        <v>54.08</v>
      </c>
      <c r="H678" s="7">
        <v>64.08</v>
      </c>
      <c r="I678" s="8">
        <v>7</v>
      </c>
      <c r="J678" s="8">
        <f>Table2[[#This Row],[Unit price]]*Table2[[#This Row],[Quantity]]</f>
        <v>448.56</v>
      </c>
      <c r="K678" s="8">
        <f>Table2[[#This Row],[Unit Cost]]*Table2[[#This Row],[Quantity]]</f>
        <v>378.56</v>
      </c>
      <c r="L678" s="8">
        <f>Table2[[#This Row],[Gross Sales]]-Table2[[#This Row],[COGS]]</f>
        <v>70</v>
      </c>
      <c r="M678" s="9">
        <f t="shared" si="10"/>
        <v>0.1560549313358302</v>
      </c>
      <c r="N678" s="7">
        <v>22.428000000000001</v>
      </c>
      <c r="O678" s="7">
        <v>470.988</v>
      </c>
      <c r="P678" s="10">
        <v>43515</v>
      </c>
      <c r="Q678" s="10" t="str">
        <f>TEXT(Table2[[#This Row],[Date]],"mmm")</f>
        <v>Feb</v>
      </c>
      <c r="R678" s="11">
        <v>0.81180555555555556</v>
      </c>
      <c r="S678" s="6" t="s">
        <v>37</v>
      </c>
      <c r="T678" s="7">
        <v>7.3</v>
      </c>
      <c r="U678" s="6">
        <f>IF(_xlfn.XLOOKUP(A678,[1]Data2!$A:$A,[1]Data2!$B:$B,"no")="yes",1,0)</f>
        <v>1</v>
      </c>
    </row>
    <row r="679" spans="1:21" s="6" customFormat="1" x14ac:dyDescent="0.3">
      <c r="A679" s="6" t="s">
        <v>717</v>
      </c>
      <c r="B679" s="6" t="s">
        <v>22</v>
      </c>
      <c r="C679" s="6" t="s">
        <v>23</v>
      </c>
      <c r="D679" s="6" t="s">
        <v>24</v>
      </c>
      <c r="E679" s="6" t="s">
        <v>25</v>
      </c>
      <c r="F679" s="6" t="s">
        <v>48</v>
      </c>
      <c r="G679" s="7">
        <f>Table2[[#This Row],[Unit price]]-10</f>
        <v>63.47</v>
      </c>
      <c r="H679" s="7">
        <v>73.47</v>
      </c>
      <c r="I679" s="8">
        <v>4</v>
      </c>
      <c r="J679" s="8">
        <f>Table2[[#This Row],[Unit price]]*Table2[[#This Row],[Quantity]]</f>
        <v>293.88</v>
      </c>
      <c r="K679" s="8">
        <f>Table2[[#This Row],[Unit Cost]]*Table2[[#This Row],[Quantity]]</f>
        <v>253.88</v>
      </c>
      <c r="L679" s="8">
        <f>Table2[[#This Row],[Gross Sales]]-Table2[[#This Row],[COGS]]</f>
        <v>40</v>
      </c>
      <c r="M679" s="9">
        <f t="shared" si="10"/>
        <v>0.13610997686130394</v>
      </c>
      <c r="N679" s="7">
        <v>14.694000000000001</v>
      </c>
      <c r="O679" s="7">
        <v>308.57400000000001</v>
      </c>
      <c r="P679" s="10">
        <v>43519</v>
      </c>
      <c r="Q679" s="10" t="str">
        <f>TEXT(Table2[[#This Row],[Date]],"mmm")</f>
        <v>Feb</v>
      </c>
      <c r="R679" s="11">
        <v>0.77083333333333337</v>
      </c>
      <c r="S679" s="6" t="s">
        <v>33</v>
      </c>
      <c r="T679" s="7">
        <v>6</v>
      </c>
      <c r="U679" s="6">
        <f>IF(_xlfn.XLOOKUP(A679,[1]Data2!$A:$A,[1]Data2!$B:$B,"no")="yes",1,0)</f>
        <v>0</v>
      </c>
    </row>
    <row r="680" spans="1:21" s="6" customFormat="1" x14ac:dyDescent="0.3">
      <c r="A680" s="6" t="s">
        <v>718</v>
      </c>
      <c r="B680" s="6" t="s">
        <v>29</v>
      </c>
      <c r="C680" s="6" t="s">
        <v>30</v>
      </c>
      <c r="D680" s="6" t="s">
        <v>31</v>
      </c>
      <c r="E680" s="6" t="s">
        <v>35</v>
      </c>
      <c r="F680" s="6" t="s">
        <v>26</v>
      </c>
      <c r="G680" s="7">
        <f>Table2[[#This Row],[Unit price]]-10</f>
        <v>48.95</v>
      </c>
      <c r="H680" s="7">
        <v>58.95</v>
      </c>
      <c r="I680" s="8">
        <v>10</v>
      </c>
      <c r="J680" s="8">
        <f>Table2[[#This Row],[Unit price]]*Table2[[#This Row],[Quantity]]</f>
        <v>589.5</v>
      </c>
      <c r="K680" s="8">
        <f>Table2[[#This Row],[Unit Cost]]*Table2[[#This Row],[Quantity]]</f>
        <v>489.5</v>
      </c>
      <c r="L680" s="8">
        <f>Table2[[#This Row],[Gross Sales]]-Table2[[#This Row],[COGS]]</f>
        <v>100</v>
      </c>
      <c r="M680" s="9">
        <f t="shared" si="10"/>
        <v>0.16963528413910092</v>
      </c>
      <c r="N680" s="7">
        <v>29.475000000000001</v>
      </c>
      <c r="O680" s="7">
        <v>618.97500000000002</v>
      </c>
      <c r="P680" s="10">
        <v>43503</v>
      </c>
      <c r="Q680" s="10" t="str">
        <f>TEXT(Table2[[#This Row],[Date]],"mmm")</f>
        <v>Feb</v>
      </c>
      <c r="R680" s="11">
        <v>0.6020833333333333</v>
      </c>
      <c r="S680" s="6" t="s">
        <v>27</v>
      </c>
      <c r="T680" s="7">
        <v>8.1</v>
      </c>
      <c r="U680" s="6">
        <f>IF(_xlfn.XLOOKUP(A680,[1]Data2!$A:$A,[1]Data2!$B:$B,"no")="yes",1,0)</f>
        <v>0</v>
      </c>
    </row>
    <row r="681" spans="1:21" s="6" customFormat="1" x14ac:dyDescent="0.3">
      <c r="A681" s="6" t="s">
        <v>719</v>
      </c>
      <c r="B681" s="6" t="s">
        <v>22</v>
      </c>
      <c r="C681" s="6" t="s">
        <v>23</v>
      </c>
      <c r="D681" s="6" t="s">
        <v>24</v>
      </c>
      <c r="E681" s="6" t="s">
        <v>35</v>
      </c>
      <c r="F681" s="6" t="s">
        <v>48</v>
      </c>
      <c r="G681" s="7">
        <f>Table2[[#This Row],[Unit price]]-10</f>
        <v>38.5</v>
      </c>
      <c r="H681" s="7">
        <v>48.5</v>
      </c>
      <c r="I681" s="8">
        <v>6</v>
      </c>
      <c r="J681" s="8">
        <f>Table2[[#This Row],[Unit price]]*Table2[[#This Row],[Quantity]]</f>
        <v>291</v>
      </c>
      <c r="K681" s="8">
        <f>Table2[[#This Row],[Unit Cost]]*Table2[[#This Row],[Quantity]]</f>
        <v>231</v>
      </c>
      <c r="L681" s="8">
        <f>Table2[[#This Row],[Gross Sales]]-Table2[[#This Row],[COGS]]</f>
        <v>60</v>
      </c>
      <c r="M681" s="9">
        <f t="shared" si="10"/>
        <v>0.20618556701030927</v>
      </c>
      <c r="N681" s="7">
        <v>14.55</v>
      </c>
      <c r="O681" s="7">
        <v>305.55</v>
      </c>
      <c r="P681" s="10">
        <v>43476</v>
      </c>
      <c r="Q681" s="10" t="str">
        <f>TEXT(Table2[[#This Row],[Date]],"mmm")</f>
        <v>Jan</v>
      </c>
      <c r="R681" s="11">
        <v>0.58124999999999993</v>
      </c>
      <c r="S681" s="6" t="s">
        <v>27</v>
      </c>
      <c r="T681" s="7">
        <v>9.4</v>
      </c>
      <c r="U681" s="6">
        <f>IF(_xlfn.XLOOKUP(A681,[1]Data2!$A:$A,[1]Data2!$B:$B,"no")="yes",1,0)</f>
        <v>0</v>
      </c>
    </row>
    <row r="682" spans="1:21" s="6" customFormat="1" x14ac:dyDescent="0.3">
      <c r="A682" s="6" t="s">
        <v>720</v>
      </c>
      <c r="B682" s="6" t="s">
        <v>46</v>
      </c>
      <c r="C682" s="6" t="s">
        <v>47</v>
      </c>
      <c r="D682" s="6" t="s">
        <v>24</v>
      </c>
      <c r="E682" s="6" t="s">
        <v>25</v>
      </c>
      <c r="F682" s="6" t="s">
        <v>32</v>
      </c>
      <c r="G682" s="7">
        <f>Table2[[#This Row],[Unit price]]-10</f>
        <v>29.479999999999997</v>
      </c>
      <c r="H682" s="7">
        <v>39.479999999999997</v>
      </c>
      <c r="I682" s="8">
        <v>1</v>
      </c>
      <c r="J682" s="8">
        <f>Table2[[#This Row],[Unit price]]*Table2[[#This Row],[Quantity]]</f>
        <v>39.479999999999997</v>
      </c>
      <c r="K682" s="8">
        <f>Table2[[#This Row],[Unit Cost]]*Table2[[#This Row],[Quantity]]</f>
        <v>29.479999999999997</v>
      </c>
      <c r="L682" s="8">
        <f>Table2[[#This Row],[Gross Sales]]-Table2[[#This Row],[COGS]]</f>
        <v>10</v>
      </c>
      <c r="M682" s="9">
        <f t="shared" si="10"/>
        <v>0.25329280648429586</v>
      </c>
      <c r="N682" s="7">
        <v>1.974</v>
      </c>
      <c r="O682" s="7">
        <v>41.454000000000001</v>
      </c>
      <c r="P682" s="10">
        <v>43508</v>
      </c>
      <c r="Q682" s="10" t="str">
        <f>TEXT(Table2[[#This Row],[Date]],"mmm")</f>
        <v>Feb</v>
      </c>
      <c r="R682" s="11">
        <v>0.82152777777777775</v>
      </c>
      <c r="S682" s="6" t="s">
        <v>33</v>
      </c>
      <c r="T682" s="7">
        <v>6.5</v>
      </c>
      <c r="U682" s="6">
        <f>IF(_xlfn.XLOOKUP(A682,[1]Data2!$A:$A,[1]Data2!$B:$B,"no")="yes",1,0)</f>
        <v>1</v>
      </c>
    </row>
    <row r="683" spans="1:21" s="6" customFormat="1" x14ac:dyDescent="0.3">
      <c r="A683" s="6" t="s">
        <v>721</v>
      </c>
      <c r="B683" s="6" t="s">
        <v>46</v>
      </c>
      <c r="C683" s="6" t="s">
        <v>47</v>
      </c>
      <c r="D683" s="6" t="s">
        <v>31</v>
      </c>
      <c r="E683" s="6" t="s">
        <v>25</v>
      </c>
      <c r="F683" s="6" t="s">
        <v>40</v>
      </c>
      <c r="G683" s="7">
        <f>Table2[[#This Row],[Unit price]]-10</f>
        <v>24.810000000000002</v>
      </c>
      <c r="H683" s="7">
        <v>34.81</v>
      </c>
      <c r="I683" s="8">
        <v>1</v>
      </c>
      <c r="J683" s="8">
        <f>Table2[[#This Row],[Unit price]]*Table2[[#This Row],[Quantity]]</f>
        <v>34.81</v>
      </c>
      <c r="K683" s="8">
        <f>Table2[[#This Row],[Unit Cost]]*Table2[[#This Row],[Quantity]]</f>
        <v>24.810000000000002</v>
      </c>
      <c r="L683" s="8">
        <f>Table2[[#This Row],[Gross Sales]]-Table2[[#This Row],[COGS]]</f>
        <v>10</v>
      </c>
      <c r="M683" s="9">
        <f t="shared" si="10"/>
        <v>0.28727377190462511</v>
      </c>
      <c r="N683" s="7">
        <v>1.7404999999999999</v>
      </c>
      <c r="O683" s="7">
        <v>36.5505</v>
      </c>
      <c r="P683" s="10">
        <v>43479</v>
      </c>
      <c r="Q683" s="10" t="str">
        <f>TEXT(Table2[[#This Row],[Date]],"mmm")</f>
        <v>Jan</v>
      </c>
      <c r="R683" s="11">
        <v>0.42430555555555555</v>
      </c>
      <c r="S683" s="6" t="s">
        <v>37</v>
      </c>
      <c r="T683" s="7">
        <v>7</v>
      </c>
      <c r="U683" s="6">
        <f>IF(_xlfn.XLOOKUP(A683,[1]Data2!$A:$A,[1]Data2!$B:$B,"no")="yes",1,0)</f>
        <v>0</v>
      </c>
    </row>
    <row r="684" spans="1:21" s="6" customFormat="1" x14ac:dyDescent="0.3">
      <c r="A684" s="6" t="s">
        <v>722</v>
      </c>
      <c r="B684" s="6" t="s">
        <v>29</v>
      </c>
      <c r="C684" s="6" t="s">
        <v>30</v>
      </c>
      <c r="D684" s="6" t="s">
        <v>31</v>
      </c>
      <c r="E684" s="6" t="s">
        <v>25</v>
      </c>
      <c r="F684" s="6" t="s">
        <v>50</v>
      </c>
      <c r="G684" s="7">
        <f>Table2[[#This Row],[Unit price]]-10</f>
        <v>39.32</v>
      </c>
      <c r="H684" s="7">
        <v>49.32</v>
      </c>
      <c r="I684" s="8">
        <v>6</v>
      </c>
      <c r="J684" s="8">
        <f>Table2[[#This Row],[Unit price]]*Table2[[#This Row],[Quantity]]</f>
        <v>295.92</v>
      </c>
      <c r="K684" s="8">
        <f>Table2[[#This Row],[Unit Cost]]*Table2[[#This Row],[Quantity]]</f>
        <v>235.92000000000002</v>
      </c>
      <c r="L684" s="8">
        <f>Table2[[#This Row],[Gross Sales]]-Table2[[#This Row],[COGS]]</f>
        <v>60</v>
      </c>
      <c r="M684" s="9">
        <f t="shared" si="10"/>
        <v>0.202757502027575</v>
      </c>
      <c r="N684" s="7">
        <v>14.795999999999999</v>
      </c>
      <c r="O684" s="7">
        <v>310.71600000000001</v>
      </c>
      <c r="P684" s="10">
        <v>43474</v>
      </c>
      <c r="Q684" s="10" t="str">
        <f>TEXT(Table2[[#This Row],[Date]],"mmm")</f>
        <v>Jan</v>
      </c>
      <c r="R684" s="11">
        <v>0.57361111111111118</v>
      </c>
      <c r="S684" s="6" t="s">
        <v>27</v>
      </c>
      <c r="T684" s="7">
        <v>7.1</v>
      </c>
      <c r="U684" s="6">
        <f>IF(_xlfn.XLOOKUP(A684,[1]Data2!$A:$A,[1]Data2!$B:$B,"no")="yes",1,0)</f>
        <v>0</v>
      </c>
    </row>
    <row r="685" spans="1:21" s="6" customFormat="1" x14ac:dyDescent="0.3">
      <c r="A685" s="6" t="s">
        <v>723</v>
      </c>
      <c r="B685" s="6" t="s">
        <v>22</v>
      </c>
      <c r="C685" s="6" t="s">
        <v>23</v>
      </c>
      <c r="D685" s="6" t="s">
        <v>24</v>
      </c>
      <c r="E685" s="6" t="s">
        <v>35</v>
      </c>
      <c r="F685" s="6" t="s">
        <v>50</v>
      </c>
      <c r="G685" s="7">
        <f>Table2[[#This Row],[Unit price]]-10</f>
        <v>11.48</v>
      </c>
      <c r="H685" s="7">
        <v>21.48</v>
      </c>
      <c r="I685" s="8">
        <v>2</v>
      </c>
      <c r="J685" s="8">
        <f>Table2[[#This Row],[Unit price]]*Table2[[#This Row],[Quantity]]</f>
        <v>42.96</v>
      </c>
      <c r="K685" s="8">
        <f>Table2[[#This Row],[Unit Cost]]*Table2[[#This Row],[Quantity]]</f>
        <v>22.96</v>
      </c>
      <c r="L685" s="8">
        <f>Table2[[#This Row],[Gross Sales]]-Table2[[#This Row],[COGS]]</f>
        <v>20</v>
      </c>
      <c r="M685" s="9">
        <f t="shared" si="10"/>
        <v>0.46554934823091249</v>
      </c>
      <c r="N685" s="7">
        <v>2.1480000000000001</v>
      </c>
      <c r="O685" s="7">
        <v>45.107999999999997</v>
      </c>
      <c r="P685" s="10">
        <v>43523</v>
      </c>
      <c r="Q685" s="10" t="str">
        <f>TEXT(Table2[[#This Row],[Date]],"mmm")</f>
        <v>Feb</v>
      </c>
      <c r="R685" s="11">
        <v>0.51527777777777783</v>
      </c>
      <c r="S685" s="6" t="s">
        <v>27</v>
      </c>
      <c r="T685" s="7">
        <v>6.6</v>
      </c>
      <c r="U685" s="6">
        <f>IF(_xlfn.XLOOKUP(A685,[1]Data2!$A:$A,[1]Data2!$B:$B,"no")="yes",1,0)</f>
        <v>0</v>
      </c>
    </row>
    <row r="686" spans="1:21" s="6" customFormat="1" x14ac:dyDescent="0.3">
      <c r="A686" s="6" t="s">
        <v>724</v>
      </c>
      <c r="B686" s="6" t="s">
        <v>46</v>
      </c>
      <c r="C686" s="6" t="s">
        <v>47</v>
      </c>
      <c r="D686" s="6" t="s">
        <v>24</v>
      </c>
      <c r="E686" s="6" t="s">
        <v>25</v>
      </c>
      <c r="F686" s="6" t="s">
        <v>40</v>
      </c>
      <c r="G686" s="7">
        <f>Table2[[#This Row],[Unit price]]-10</f>
        <v>13.079999999999998</v>
      </c>
      <c r="H686" s="7">
        <v>23.08</v>
      </c>
      <c r="I686" s="8">
        <v>6</v>
      </c>
      <c r="J686" s="8">
        <f>Table2[[#This Row],[Unit price]]*Table2[[#This Row],[Quantity]]</f>
        <v>138.47999999999999</v>
      </c>
      <c r="K686" s="8">
        <f>Table2[[#This Row],[Unit Cost]]*Table2[[#This Row],[Quantity]]</f>
        <v>78.47999999999999</v>
      </c>
      <c r="L686" s="8">
        <f>Table2[[#This Row],[Gross Sales]]-Table2[[#This Row],[COGS]]</f>
        <v>60</v>
      </c>
      <c r="M686" s="9">
        <f t="shared" si="10"/>
        <v>0.43327556325823224</v>
      </c>
      <c r="N686" s="7">
        <v>6.9240000000000004</v>
      </c>
      <c r="O686" s="7">
        <v>145.404</v>
      </c>
      <c r="P686" s="10">
        <v>43489</v>
      </c>
      <c r="Q686" s="10" t="str">
        <f>TEXT(Table2[[#This Row],[Date]],"mmm")</f>
        <v>Jan</v>
      </c>
      <c r="R686" s="11">
        <v>0.80555555555555547</v>
      </c>
      <c r="S686" s="6" t="s">
        <v>27</v>
      </c>
      <c r="T686" s="7">
        <v>4.9000000000000004</v>
      </c>
      <c r="U686" s="6">
        <f>IF(_xlfn.XLOOKUP(A686,[1]Data2!$A:$A,[1]Data2!$B:$B,"no")="yes",1,0)</f>
        <v>1</v>
      </c>
    </row>
    <row r="687" spans="1:21" s="6" customFormat="1" x14ac:dyDescent="0.3">
      <c r="A687" s="6" t="s">
        <v>725</v>
      </c>
      <c r="B687" s="6" t="s">
        <v>46</v>
      </c>
      <c r="C687" s="6" t="s">
        <v>47</v>
      </c>
      <c r="D687" s="6" t="s">
        <v>24</v>
      </c>
      <c r="E687" s="6" t="s">
        <v>25</v>
      </c>
      <c r="F687" s="6" t="s">
        <v>36</v>
      </c>
      <c r="G687" s="7">
        <f>Table2[[#This Row],[Unit price]]-10</f>
        <v>39.1</v>
      </c>
      <c r="H687" s="7">
        <v>49.1</v>
      </c>
      <c r="I687" s="8">
        <v>2</v>
      </c>
      <c r="J687" s="8">
        <f>Table2[[#This Row],[Unit price]]*Table2[[#This Row],[Quantity]]</f>
        <v>98.2</v>
      </c>
      <c r="K687" s="8">
        <f>Table2[[#This Row],[Unit Cost]]*Table2[[#This Row],[Quantity]]</f>
        <v>78.2</v>
      </c>
      <c r="L687" s="8">
        <f>Table2[[#This Row],[Gross Sales]]-Table2[[#This Row],[COGS]]</f>
        <v>20</v>
      </c>
      <c r="M687" s="9">
        <f t="shared" si="10"/>
        <v>0.20366598778004072</v>
      </c>
      <c r="N687" s="7">
        <v>4.91</v>
      </c>
      <c r="O687" s="7">
        <v>103.11</v>
      </c>
      <c r="P687" s="10">
        <v>43473</v>
      </c>
      <c r="Q687" s="10" t="str">
        <f>TEXT(Table2[[#This Row],[Date]],"mmm")</f>
        <v>Jan</v>
      </c>
      <c r="R687" s="11">
        <v>0.54027777777777775</v>
      </c>
      <c r="S687" s="6" t="s">
        <v>37</v>
      </c>
      <c r="T687" s="7">
        <v>6.4</v>
      </c>
      <c r="U687" s="6">
        <f>IF(_xlfn.XLOOKUP(A687,[1]Data2!$A:$A,[1]Data2!$B:$B,"no")="yes",1,0)</f>
        <v>0</v>
      </c>
    </row>
    <row r="688" spans="1:21" s="6" customFormat="1" x14ac:dyDescent="0.3">
      <c r="A688" s="6" t="s">
        <v>726</v>
      </c>
      <c r="B688" s="6" t="s">
        <v>46</v>
      </c>
      <c r="C688" s="6" t="s">
        <v>47</v>
      </c>
      <c r="D688" s="6" t="s">
        <v>24</v>
      </c>
      <c r="E688" s="6" t="s">
        <v>25</v>
      </c>
      <c r="F688" s="6" t="s">
        <v>40</v>
      </c>
      <c r="G688" s="7">
        <f>Table2[[#This Row],[Unit price]]-10</f>
        <v>54.83</v>
      </c>
      <c r="H688" s="7">
        <v>64.83</v>
      </c>
      <c r="I688" s="8">
        <v>2</v>
      </c>
      <c r="J688" s="8">
        <f>Table2[[#This Row],[Unit price]]*Table2[[#This Row],[Quantity]]</f>
        <v>129.66</v>
      </c>
      <c r="K688" s="8">
        <f>Table2[[#This Row],[Unit Cost]]*Table2[[#This Row],[Quantity]]</f>
        <v>109.66</v>
      </c>
      <c r="L688" s="8">
        <f>Table2[[#This Row],[Gross Sales]]-Table2[[#This Row],[COGS]]</f>
        <v>20</v>
      </c>
      <c r="M688" s="9">
        <f t="shared" si="10"/>
        <v>0.15424957581366652</v>
      </c>
      <c r="N688" s="7">
        <v>6.4829999999999997</v>
      </c>
      <c r="O688" s="7">
        <v>136.143</v>
      </c>
      <c r="P688" s="10">
        <v>43473</v>
      </c>
      <c r="Q688" s="10" t="str">
        <f>TEXT(Table2[[#This Row],[Date]],"mmm")</f>
        <v>Jan</v>
      </c>
      <c r="R688" s="11">
        <v>0.4993055555555555</v>
      </c>
      <c r="S688" s="6" t="s">
        <v>37</v>
      </c>
      <c r="T688" s="7">
        <v>8</v>
      </c>
      <c r="U688" s="6">
        <f>IF(_xlfn.XLOOKUP(A688,[1]Data2!$A:$A,[1]Data2!$B:$B,"no")="yes",1,0)</f>
        <v>0</v>
      </c>
    </row>
    <row r="689" spans="1:21" s="6" customFormat="1" x14ac:dyDescent="0.3">
      <c r="A689" s="6" t="s">
        <v>727</v>
      </c>
      <c r="B689" s="6" t="s">
        <v>22</v>
      </c>
      <c r="C689" s="6" t="s">
        <v>23</v>
      </c>
      <c r="D689" s="6" t="s">
        <v>24</v>
      </c>
      <c r="E689" s="6" t="s">
        <v>35</v>
      </c>
      <c r="F689" s="6" t="s">
        <v>36</v>
      </c>
      <c r="G689" s="7">
        <f>Table2[[#This Row],[Unit price]]-10</f>
        <v>53.56</v>
      </c>
      <c r="H689" s="7">
        <v>63.56</v>
      </c>
      <c r="I689" s="8">
        <v>10</v>
      </c>
      <c r="J689" s="8">
        <f>Table2[[#This Row],[Unit price]]*Table2[[#This Row],[Quantity]]</f>
        <v>635.6</v>
      </c>
      <c r="K689" s="8">
        <f>Table2[[#This Row],[Unit Cost]]*Table2[[#This Row],[Quantity]]</f>
        <v>535.6</v>
      </c>
      <c r="L689" s="8">
        <f>Table2[[#This Row],[Gross Sales]]-Table2[[#This Row],[COGS]]</f>
        <v>100</v>
      </c>
      <c r="M689" s="9">
        <f t="shared" si="10"/>
        <v>0.15733165512901195</v>
      </c>
      <c r="N689" s="7">
        <v>31.78</v>
      </c>
      <c r="O689" s="7">
        <v>667.38</v>
      </c>
      <c r="P689" s="10">
        <v>43481</v>
      </c>
      <c r="Q689" s="10" t="str">
        <f>TEXT(Table2[[#This Row],[Date]],"mmm")</f>
        <v>Jan</v>
      </c>
      <c r="R689" s="11">
        <v>0.74930555555555556</v>
      </c>
      <c r="S689" s="6" t="s">
        <v>33</v>
      </c>
      <c r="T689" s="7">
        <v>4.3</v>
      </c>
      <c r="U689" s="6">
        <f>IF(_xlfn.XLOOKUP(A689,[1]Data2!$A:$A,[1]Data2!$B:$B,"no")="yes",1,0)</f>
        <v>0</v>
      </c>
    </row>
    <row r="690" spans="1:21" s="6" customFormat="1" x14ac:dyDescent="0.3">
      <c r="A690" s="6" t="s">
        <v>728</v>
      </c>
      <c r="B690" s="6" t="s">
        <v>29</v>
      </c>
      <c r="C690" s="6" t="s">
        <v>30</v>
      </c>
      <c r="D690" s="6" t="s">
        <v>24</v>
      </c>
      <c r="E690" s="6" t="s">
        <v>35</v>
      </c>
      <c r="F690" s="6" t="s">
        <v>40</v>
      </c>
      <c r="G690" s="7">
        <f>Table2[[#This Row],[Unit price]]-10</f>
        <v>62.879999999999995</v>
      </c>
      <c r="H690" s="7">
        <v>72.88</v>
      </c>
      <c r="I690" s="8">
        <v>2</v>
      </c>
      <c r="J690" s="8">
        <f>Table2[[#This Row],[Unit price]]*Table2[[#This Row],[Quantity]]</f>
        <v>145.76</v>
      </c>
      <c r="K690" s="8">
        <f>Table2[[#This Row],[Unit Cost]]*Table2[[#This Row],[Quantity]]</f>
        <v>125.75999999999999</v>
      </c>
      <c r="L690" s="8">
        <f>Table2[[#This Row],[Gross Sales]]-Table2[[#This Row],[COGS]]</f>
        <v>20</v>
      </c>
      <c r="M690" s="9">
        <f t="shared" si="10"/>
        <v>0.13721185510428102</v>
      </c>
      <c r="N690" s="7">
        <v>7.2880000000000003</v>
      </c>
      <c r="O690" s="7">
        <v>153.048</v>
      </c>
      <c r="P690" s="10">
        <v>43537</v>
      </c>
      <c r="Q690" s="10" t="str">
        <f>TEXT(Table2[[#This Row],[Date]],"mmm")</f>
        <v>Mar</v>
      </c>
      <c r="R690" s="11">
        <v>0.53541666666666665</v>
      </c>
      <c r="S690" s="6" t="s">
        <v>33</v>
      </c>
      <c r="T690" s="7">
        <v>6.1</v>
      </c>
      <c r="U690" s="6">
        <f>IF(_xlfn.XLOOKUP(A690,[1]Data2!$A:$A,[1]Data2!$B:$B,"no")="yes",1,0)</f>
        <v>1</v>
      </c>
    </row>
    <row r="691" spans="1:21" s="6" customFormat="1" x14ac:dyDescent="0.3">
      <c r="A691" s="6" t="s">
        <v>729</v>
      </c>
      <c r="B691" s="6" t="s">
        <v>22</v>
      </c>
      <c r="C691" s="6" t="s">
        <v>23</v>
      </c>
      <c r="D691" s="6" t="s">
        <v>31</v>
      </c>
      <c r="E691" s="6" t="s">
        <v>25</v>
      </c>
      <c r="F691" s="6" t="s">
        <v>48</v>
      </c>
      <c r="G691" s="7">
        <f>Table2[[#This Row],[Unit price]]-10</f>
        <v>57.099999999999994</v>
      </c>
      <c r="H691" s="7">
        <v>67.099999999999994</v>
      </c>
      <c r="I691" s="8">
        <v>3</v>
      </c>
      <c r="J691" s="8">
        <f>Table2[[#This Row],[Unit price]]*Table2[[#This Row],[Quantity]]</f>
        <v>201.29999999999998</v>
      </c>
      <c r="K691" s="8">
        <f>Table2[[#This Row],[Unit Cost]]*Table2[[#This Row],[Quantity]]</f>
        <v>171.29999999999998</v>
      </c>
      <c r="L691" s="8">
        <f>Table2[[#This Row],[Gross Sales]]-Table2[[#This Row],[COGS]]</f>
        <v>30</v>
      </c>
      <c r="M691" s="9">
        <f t="shared" si="10"/>
        <v>0.1490312965722802</v>
      </c>
      <c r="N691" s="7">
        <v>10.065</v>
      </c>
      <c r="O691" s="7">
        <v>211.36500000000001</v>
      </c>
      <c r="P691" s="10">
        <v>43511</v>
      </c>
      <c r="Q691" s="10" t="str">
        <f>TEXT(Table2[[#This Row],[Date]],"mmm")</f>
        <v>Feb</v>
      </c>
      <c r="R691" s="11">
        <v>0.44166666666666665</v>
      </c>
      <c r="S691" s="6" t="s">
        <v>33</v>
      </c>
      <c r="T691" s="7">
        <v>7.5</v>
      </c>
      <c r="U691" s="6">
        <f>IF(_xlfn.XLOOKUP(A691,[1]Data2!$A:$A,[1]Data2!$B:$B,"no")="yes",1,0)</f>
        <v>0</v>
      </c>
    </row>
    <row r="692" spans="1:21" s="6" customFormat="1" x14ac:dyDescent="0.3">
      <c r="A692" s="6" t="s">
        <v>730</v>
      </c>
      <c r="B692" s="6" t="s">
        <v>29</v>
      </c>
      <c r="C692" s="6" t="s">
        <v>30</v>
      </c>
      <c r="D692" s="6" t="s">
        <v>24</v>
      </c>
      <c r="E692" s="6" t="s">
        <v>25</v>
      </c>
      <c r="F692" s="6" t="s">
        <v>40</v>
      </c>
      <c r="G692" s="7">
        <f>Table2[[#This Row],[Unit price]]-10</f>
        <v>60.19</v>
      </c>
      <c r="H692" s="7">
        <v>70.19</v>
      </c>
      <c r="I692" s="8">
        <v>9</v>
      </c>
      <c r="J692" s="8">
        <f>Table2[[#This Row],[Unit price]]*Table2[[#This Row],[Quantity]]</f>
        <v>631.71</v>
      </c>
      <c r="K692" s="8">
        <f>Table2[[#This Row],[Unit Cost]]*Table2[[#This Row],[Quantity]]</f>
        <v>541.71</v>
      </c>
      <c r="L692" s="8">
        <f>Table2[[#This Row],[Gross Sales]]-Table2[[#This Row],[COGS]]</f>
        <v>90</v>
      </c>
      <c r="M692" s="9">
        <f t="shared" si="10"/>
        <v>0.14247043738424275</v>
      </c>
      <c r="N692" s="7">
        <v>31.5855</v>
      </c>
      <c r="O692" s="7">
        <v>663.29549999999995</v>
      </c>
      <c r="P692" s="10">
        <v>43490</v>
      </c>
      <c r="Q692" s="10" t="str">
        <f>TEXT(Table2[[#This Row],[Date]],"mmm")</f>
        <v>Jan</v>
      </c>
      <c r="R692" s="11">
        <v>0.56805555555555554</v>
      </c>
      <c r="S692" s="6" t="s">
        <v>33</v>
      </c>
      <c r="T692" s="7">
        <v>6.7</v>
      </c>
      <c r="U692" s="6">
        <f>IF(_xlfn.XLOOKUP(A692,[1]Data2!$A:$A,[1]Data2!$B:$B,"no")="yes",1,0)</f>
        <v>0</v>
      </c>
    </row>
    <row r="693" spans="1:21" s="6" customFormat="1" x14ac:dyDescent="0.3">
      <c r="A693" s="6" t="s">
        <v>731</v>
      </c>
      <c r="B693" s="6" t="s">
        <v>29</v>
      </c>
      <c r="C693" s="6" t="s">
        <v>30</v>
      </c>
      <c r="D693" s="6" t="s">
        <v>24</v>
      </c>
      <c r="E693" s="6" t="s">
        <v>35</v>
      </c>
      <c r="F693" s="6" t="s">
        <v>48</v>
      </c>
      <c r="G693" s="7">
        <f>Table2[[#This Row],[Unit price]]-10</f>
        <v>45.04</v>
      </c>
      <c r="H693" s="7">
        <v>55.04</v>
      </c>
      <c r="I693" s="8">
        <v>7</v>
      </c>
      <c r="J693" s="8">
        <f>Table2[[#This Row],[Unit price]]*Table2[[#This Row],[Quantity]]</f>
        <v>385.28</v>
      </c>
      <c r="K693" s="8">
        <f>Table2[[#This Row],[Unit Cost]]*Table2[[#This Row],[Quantity]]</f>
        <v>315.27999999999997</v>
      </c>
      <c r="L693" s="8">
        <f>Table2[[#This Row],[Gross Sales]]-Table2[[#This Row],[COGS]]</f>
        <v>70</v>
      </c>
      <c r="M693" s="9">
        <f t="shared" si="10"/>
        <v>0.18168604651162792</v>
      </c>
      <c r="N693" s="7">
        <v>19.263999999999999</v>
      </c>
      <c r="O693" s="7">
        <v>404.54399999999998</v>
      </c>
      <c r="P693" s="10">
        <v>43536</v>
      </c>
      <c r="Q693" s="10" t="str">
        <f>TEXT(Table2[[#This Row],[Date]],"mmm")</f>
        <v>Mar</v>
      </c>
      <c r="R693" s="11">
        <v>0.81874999999999998</v>
      </c>
      <c r="S693" s="6" t="s">
        <v>27</v>
      </c>
      <c r="T693" s="7">
        <v>5.2</v>
      </c>
      <c r="U693" s="6">
        <f>IF(_xlfn.XLOOKUP(A693,[1]Data2!$A:$A,[1]Data2!$B:$B,"no")="yes",1,0)</f>
        <v>0</v>
      </c>
    </row>
    <row r="694" spans="1:21" s="6" customFormat="1" x14ac:dyDescent="0.3">
      <c r="A694" s="6" t="s">
        <v>732</v>
      </c>
      <c r="B694" s="6" t="s">
        <v>22</v>
      </c>
      <c r="C694" s="6" t="s">
        <v>23</v>
      </c>
      <c r="D694" s="6" t="s">
        <v>24</v>
      </c>
      <c r="E694" s="6" t="s">
        <v>35</v>
      </c>
      <c r="F694" s="6" t="s">
        <v>26</v>
      </c>
      <c r="G694" s="7">
        <f>Table2[[#This Row],[Unit price]]-10</f>
        <v>38.630000000000003</v>
      </c>
      <c r="H694" s="7">
        <v>48.63</v>
      </c>
      <c r="I694" s="8">
        <v>10</v>
      </c>
      <c r="J694" s="8">
        <f>Table2[[#This Row],[Unit price]]*Table2[[#This Row],[Quantity]]</f>
        <v>486.3</v>
      </c>
      <c r="K694" s="8">
        <f>Table2[[#This Row],[Unit Cost]]*Table2[[#This Row],[Quantity]]</f>
        <v>386.3</v>
      </c>
      <c r="L694" s="8">
        <f>Table2[[#This Row],[Gross Sales]]-Table2[[#This Row],[COGS]]</f>
        <v>100</v>
      </c>
      <c r="M694" s="9">
        <f t="shared" si="10"/>
        <v>0.20563438206868187</v>
      </c>
      <c r="N694" s="7">
        <v>24.315000000000001</v>
      </c>
      <c r="O694" s="7">
        <v>510.61500000000001</v>
      </c>
      <c r="P694" s="10">
        <v>43528</v>
      </c>
      <c r="Q694" s="10" t="str">
        <f>TEXT(Table2[[#This Row],[Date]],"mmm")</f>
        <v>Mar</v>
      </c>
      <c r="R694" s="11">
        <v>0.53055555555555556</v>
      </c>
      <c r="S694" s="6" t="s">
        <v>33</v>
      </c>
      <c r="T694" s="7">
        <v>8.8000000000000007</v>
      </c>
      <c r="U694" s="6">
        <f>IF(_xlfn.XLOOKUP(A694,[1]Data2!$A:$A,[1]Data2!$B:$B,"no")="yes",1,0)</f>
        <v>1</v>
      </c>
    </row>
    <row r="695" spans="1:21" s="6" customFormat="1" x14ac:dyDescent="0.3">
      <c r="A695" s="6" t="s">
        <v>733</v>
      </c>
      <c r="B695" s="6" t="s">
        <v>29</v>
      </c>
      <c r="C695" s="6" t="s">
        <v>30</v>
      </c>
      <c r="D695" s="6" t="s">
        <v>24</v>
      </c>
      <c r="E695" s="6" t="s">
        <v>25</v>
      </c>
      <c r="F695" s="6" t="s">
        <v>50</v>
      </c>
      <c r="G695" s="7">
        <f>Table2[[#This Row],[Unit price]]-10</f>
        <v>63.379999999999995</v>
      </c>
      <c r="H695" s="7">
        <v>73.38</v>
      </c>
      <c r="I695" s="8">
        <v>7</v>
      </c>
      <c r="J695" s="8">
        <f>Table2[[#This Row],[Unit price]]*Table2[[#This Row],[Quantity]]</f>
        <v>513.66</v>
      </c>
      <c r="K695" s="8">
        <f>Table2[[#This Row],[Unit Cost]]*Table2[[#This Row],[Quantity]]</f>
        <v>443.65999999999997</v>
      </c>
      <c r="L695" s="8">
        <f>Table2[[#This Row],[Gross Sales]]-Table2[[#This Row],[COGS]]</f>
        <v>70</v>
      </c>
      <c r="M695" s="9">
        <f t="shared" si="10"/>
        <v>0.13627691469065142</v>
      </c>
      <c r="N695" s="7">
        <v>25.683</v>
      </c>
      <c r="O695" s="7">
        <v>539.34299999999996</v>
      </c>
      <c r="P695" s="10">
        <v>43506</v>
      </c>
      <c r="Q695" s="10" t="str">
        <f>TEXT(Table2[[#This Row],[Date]],"mmm")</f>
        <v>Feb</v>
      </c>
      <c r="R695" s="11">
        <v>0.5805555555555556</v>
      </c>
      <c r="S695" s="6" t="s">
        <v>33</v>
      </c>
      <c r="T695" s="7">
        <v>9.5</v>
      </c>
      <c r="U695" s="6">
        <f>IF(_xlfn.XLOOKUP(A695,[1]Data2!$A:$A,[1]Data2!$B:$B,"no")="yes",1,0)</f>
        <v>0</v>
      </c>
    </row>
    <row r="696" spans="1:21" s="6" customFormat="1" x14ac:dyDescent="0.3">
      <c r="A696" s="6" t="s">
        <v>734</v>
      </c>
      <c r="B696" s="6" t="s">
        <v>29</v>
      </c>
      <c r="C696" s="6" t="s">
        <v>30</v>
      </c>
      <c r="D696" s="6" t="s">
        <v>31</v>
      </c>
      <c r="E696" s="6" t="s">
        <v>25</v>
      </c>
      <c r="F696" s="6" t="s">
        <v>48</v>
      </c>
      <c r="G696" s="7">
        <f>Table2[[#This Row],[Unit price]]-10</f>
        <v>42.6</v>
      </c>
      <c r="H696" s="7">
        <v>52.6</v>
      </c>
      <c r="I696" s="8">
        <v>9</v>
      </c>
      <c r="J696" s="8">
        <f>Table2[[#This Row],[Unit price]]*Table2[[#This Row],[Quantity]]</f>
        <v>473.40000000000003</v>
      </c>
      <c r="K696" s="8">
        <f>Table2[[#This Row],[Unit Cost]]*Table2[[#This Row],[Quantity]]</f>
        <v>383.40000000000003</v>
      </c>
      <c r="L696" s="8">
        <f>Table2[[#This Row],[Gross Sales]]-Table2[[#This Row],[COGS]]</f>
        <v>90</v>
      </c>
      <c r="M696" s="9">
        <f t="shared" si="10"/>
        <v>0.19011406844106463</v>
      </c>
      <c r="N696" s="7">
        <v>23.67</v>
      </c>
      <c r="O696" s="7">
        <v>497.07</v>
      </c>
      <c r="P696" s="10">
        <v>43481</v>
      </c>
      <c r="Q696" s="10" t="str">
        <f>TEXT(Table2[[#This Row],[Date]],"mmm")</f>
        <v>Jan</v>
      </c>
      <c r="R696" s="11">
        <v>0.61249999999999993</v>
      </c>
      <c r="S696" s="6" t="s">
        <v>33</v>
      </c>
      <c r="T696" s="7">
        <v>7.6</v>
      </c>
      <c r="U696" s="6">
        <f>IF(_xlfn.XLOOKUP(A696,[1]Data2!$A:$A,[1]Data2!$B:$B,"no")="yes",1,0)</f>
        <v>0</v>
      </c>
    </row>
    <row r="697" spans="1:21" s="6" customFormat="1" x14ac:dyDescent="0.3">
      <c r="A697" s="6" t="s">
        <v>735</v>
      </c>
      <c r="B697" s="6" t="s">
        <v>22</v>
      </c>
      <c r="C697" s="6" t="s">
        <v>23</v>
      </c>
      <c r="D697" s="6" t="s">
        <v>24</v>
      </c>
      <c r="E697" s="6" t="s">
        <v>25</v>
      </c>
      <c r="F697" s="6" t="s">
        <v>36</v>
      </c>
      <c r="G697" s="7">
        <f>Table2[[#This Row],[Unit price]]-10</f>
        <v>77.37</v>
      </c>
      <c r="H697" s="7">
        <v>87.37</v>
      </c>
      <c r="I697" s="8">
        <v>5</v>
      </c>
      <c r="J697" s="8">
        <f>Table2[[#This Row],[Unit price]]*Table2[[#This Row],[Quantity]]</f>
        <v>436.85</v>
      </c>
      <c r="K697" s="8">
        <f>Table2[[#This Row],[Unit Cost]]*Table2[[#This Row],[Quantity]]</f>
        <v>386.85</v>
      </c>
      <c r="L697" s="8">
        <f>Table2[[#This Row],[Gross Sales]]-Table2[[#This Row],[COGS]]</f>
        <v>50</v>
      </c>
      <c r="M697" s="9">
        <f t="shared" si="10"/>
        <v>0.11445576284765938</v>
      </c>
      <c r="N697" s="7">
        <v>21.842500000000001</v>
      </c>
      <c r="O697" s="7">
        <v>458.6925</v>
      </c>
      <c r="P697" s="10">
        <v>43494</v>
      </c>
      <c r="Q697" s="10" t="str">
        <f>TEXT(Table2[[#This Row],[Date]],"mmm")</f>
        <v>Jan</v>
      </c>
      <c r="R697" s="11">
        <v>0.82291666666666663</v>
      </c>
      <c r="S697" s="6" t="s">
        <v>33</v>
      </c>
      <c r="T697" s="7">
        <v>6.6</v>
      </c>
      <c r="U697" s="6">
        <f>IF(_xlfn.XLOOKUP(A697,[1]Data2!$A:$A,[1]Data2!$B:$B,"no")="yes",1,0)</f>
        <v>0</v>
      </c>
    </row>
    <row r="698" spans="1:21" s="6" customFormat="1" x14ac:dyDescent="0.3">
      <c r="A698" s="6" t="s">
        <v>736</v>
      </c>
      <c r="B698" s="6" t="s">
        <v>22</v>
      </c>
      <c r="C698" s="6" t="s">
        <v>23</v>
      </c>
      <c r="D698" s="6" t="s">
        <v>24</v>
      </c>
      <c r="E698" s="6" t="s">
        <v>25</v>
      </c>
      <c r="F698" s="6" t="s">
        <v>40</v>
      </c>
      <c r="G698" s="7">
        <f>Table2[[#This Row],[Unit price]]-10</f>
        <v>17.04</v>
      </c>
      <c r="H698" s="7">
        <v>27.04</v>
      </c>
      <c r="I698" s="8">
        <v>4</v>
      </c>
      <c r="J698" s="8">
        <f>Table2[[#This Row],[Unit price]]*Table2[[#This Row],[Quantity]]</f>
        <v>108.16</v>
      </c>
      <c r="K698" s="8">
        <f>Table2[[#This Row],[Unit Cost]]*Table2[[#This Row],[Quantity]]</f>
        <v>68.16</v>
      </c>
      <c r="L698" s="8">
        <f>Table2[[#This Row],[Gross Sales]]-Table2[[#This Row],[COGS]]</f>
        <v>40</v>
      </c>
      <c r="M698" s="9">
        <f t="shared" si="10"/>
        <v>0.36982248520710059</v>
      </c>
      <c r="N698" s="7">
        <v>5.4080000000000004</v>
      </c>
      <c r="O698" s="7">
        <v>113.568</v>
      </c>
      <c r="P698" s="10">
        <v>43466</v>
      </c>
      <c r="Q698" s="10" t="str">
        <f>TEXT(Table2[[#This Row],[Date]],"mmm")</f>
        <v>Jan</v>
      </c>
      <c r="R698" s="11">
        <v>0.85138888888888886</v>
      </c>
      <c r="S698" s="6" t="s">
        <v>27</v>
      </c>
      <c r="T698" s="7">
        <v>6.9</v>
      </c>
      <c r="U698" s="6">
        <f>IF(_xlfn.XLOOKUP(A698,[1]Data2!$A:$A,[1]Data2!$B:$B,"no")="yes",1,0)</f>
        <v>1</v>
      </c>
    </row>
    <row r="699" spans="1:21" s="6" customFormat="1" x14ac:dyDescent="0.3">
      <c r="A699" s="6" t="s">
        <v>737</v>
      </c>
      <c r="B699" s="6" t="s">
        <v>46</v>
      </c>
      <c r="C699" s="6" t="s">
        <v>47</v>
      </c>
      <c r="D699" s="6" t="s">
        <v>31</v>
      </c>
      <c r="E699" s="6" t="s">
        <v>35</v>
      </c>
      <c r="F699" s="6" t="s">
        <v>36</v>
      </c>
      <c r="G699" s="7">
        <f>Table2[[#This Row],[Unit price]]-10</f>
        <v>52.19</v>
      </c>
      <c r="H699" s="7">
        <v>62.19</v>
      </c>
      <c r="I699" s="8">
        <v>4</v>
      </c>
      <c r="J699" s="8">
        <f>Table2[[#This Row],[Unit price]]*Table2[[#This Row],[Quantity]]</f>
        <v>248.76</v>
      </c>
      <c r="K699" s="8">
        <f>Table2[[#This Row],[Unit Cost]]*Table2[[#This Row],[Quantity]]</f>
        <v>208.76</v>
      </c>
      <c r="L699" s="8">
        <f>Table2[[#This Row],[Gross Sales]]-Table2[[#This Row],[COGS]]</f>
        <v>40</v>
      </c>
      <c r="M699" s="9">
        <f t="shared" si="10"/>
        <v>0.16079755587715067</v>
      </c>
      <c r="N699" s="7">
        <v>12.438000000000001</v>
      </c>
      <c r="O699" s="7">
        <v>261.19799999999998</v>
      </c>
      <c r="P699" s="10">
        <v>43471</v>
      </c>
      <c r="Q699" s="10" t="str">
        <f>TEXT(Table2[[#This Row],[Date]],"mmm")</f>
        <v>Jan</v>
      </c>
      <c r="R699" s="11">
        <v>0.82361111111111107</v>
      </c>
      <c r="S699" s="6" t="s">
        <v>27</v>
      </c>
      <c r="T699" s="7">
        <v>4.3</v>
      </c>
      <c r="U699" s="6">
        <f>IF(_xlfn.XLOOKUP(A699,[1]Data2!$A:$A,[1]Data2!$B:$B,"no")="yes",1,0)</f>
        <v>0</v>
      </c>
    </row>
    <row r="700" spans="1:21" s="6" customFormat="1" x14ac:dyDescent="0.3">
      <c r="A700" s="6" t="s">
        <v>738</v>
      </c>
      <c r="B700" s="6" t="s">
        <v>22</v>
      </c>
      <c r="C700" s="6" t="s">
        <v>23</v>
      </c>
      <c r="D700" s="6" t="s">
        <v>24</v>
      </c>
      <c r="E700" s="6" t="s">
        <v>35</v>
      </c>
      <c r="F700" s="6" t="s">
        <v>32</v>
      </c>
      <c r="G700" s="7">
        <f>Table2[[#This Row],[Unit price]]-10</f>
        <v>59.58</v>
      </c>
      <c r="H700" s="7">
        <v>69.58</v>
      </c>
      <c r="I700" s="8">
        <v>9</v>
      </c>
      <c r="J700" s="8">
        <f>Table2[[#This Row],[Unit price]]*Table2[[#This Row],[Quantity]]</f>
        <v>626.22</v>
      </c>
      <c r="K700" s="8">
        <f>Table2[[#This Row],[Unit Cost]]*Table2[[#This Row],[Quantity]]</f>
        <v>536.22</v>
      </c>
      <c r="L700" s="8">
        <f>Table2[[#This Row],[Gross Sales]]-Table2[[#This Row],[COGS]]</f>
        <v>90</v>
      </c>
      <c r="M700" s="9">
        <f t="shared" si="10"/>
        <v>0.14371945961483185</v>
      </c>
      <c r="N700" s="7">
        <v>31.311</v>
      </c>
      <c r="O700" s="7">
        <v>657.53099999999995</v>
      </c>
      <c r="P700" s="10">
        <v>43515</v>
      </c>
      <c r="Q700" s="10" t="str">
        <f>TEXT(Table2[[#This Row],[Date]],"mmm")</f>
        <v>Feb</v>
      </c>
      <c r="R700" s="11">
        <v>0.81805555555555554</v>
      </c>
      <c r="S700" s="6" t="s">
        <v>37</v>
      </c>
      <c r="T700" s="7">
        <v>7.8</v>
      </c>
      <c r="U700" s="6">
        <f>IF(_xlfn.XLOOKUP(A700,[1]Data2!$A:$A,[1]Data2!$B:$B,"no")="yes",1,0)</f>
        <v>0</v>
      </c>
    </row>
    <row r="701" spans="1:21" s="6" customFormat="1" x14ac:dyDescent="0.3">
      <c r="A701" s="6" t="s">
        <v>739</v>
      </c>
      <c r="B701" s="6" t="s">
        <v>29</v>
      </c>
      <c r="C701" s="6" t="s">
        <v>30</v>
      </c>
      <c r="D701" s="6" t="s">
        <v>31</v>
      </c>
      <c r="E701" s="6" t="s">
        <v>35</v>
      </c>
      <c r="F701" s="6" t="s">
        <v>36</v>
      </c>
      <c r="G701" s="7">
        <f>Table2[[#This Row],[Unit price]]-10</f>
        <v>87.5</v>
      </c>
      <c r="H701" s="7">
        <v>97.5</v>
      </c>
      <c r="I701" s="8">
        <v>10</v>
      </c>
      <c r="J701" s="8">
        <f>Table2[[#This Row],[Unit price]]*Table2[[#This Row],[Quantity]]</f>
        <v>975</v>
      </c>
      <c r="K701" s="8">
        <f>Table2[[#This Row],[Unit Cost]]*Table2[[#This Row],[Quantity]]</f>
        <v>875</v>
      </c>
      <c r="L701" s="8">
        <f>Table2[[#This Row],[Gross Sales]]-Table2[[#This Row],[COGS]]</f>
        <v>100</v>
      </c>
      <c r="M701" s="9">
        <f t="shared" si="10"/>
        <v>0.10256410256410256</v>
      </c>
      <c r="N701" s="7">
        <v>48.75</v>
      </c>
      <c r="O701" s="7">
        <v>1023.75</v>
      </c>
      <c r="P701" s="10">
        <v>43477</v>
      </c>
      <c r="Q701" s="10" t="str">
        <f>TEXT(Table2[[#This Row],[Date]],"mmm")</f>
        <v>Jan</v>
      </c>
      <c r="R701" s="11">
        <v>0.6791666666666667</v>
      </c>
      <c r="S701" s="6" t="s">
        <v>27</v>
      </c>
      <c r="T701" s="7">
        <v>8</v>
      </c>
      <c r="U701" s="6">
        <f>IF(_xlfn.XLOOKUP(A701,[1]Data2!$A:$A,[1]Data2!$B:$B,"no")="yes",1,0)</f>
        <v>0</v>
      </c>
    </row>
    <row r="702" spans="1:21" s="6" customFormat="1" x14ac:dyDescent="0.3">
      <c r="A702" s="6" t="s">
        <v>740</v>
      </c>
      <c r="B702" s="6" t="s">
        <v>29</v>
      </c>
      <c r="C702" s="6" t="s">
        <v>30</v>
      </c>
      <c r="D702" s="6" t="s">
        <v>31</v>
      </c>
      <c r="E702" s="6" t="s">
        <v>25</v>
      </c>
      <c r="F702" s="6" t="s">
        <v>50</v>
      </c>
      <c r="G702" s="7">
        <f>Table2[[#This Row],[Unit price]]-10</f>
        <v>50.41</v>
      </c>
      <c r="H702" s="7">
        <v>60.41</v>
      </c>
      <c r="I702" s="8">
        <v>8</v>
      </c>
      <c r="J702" s="8">
        <f>Table2[[#This Row],[Unit price]]*Table2[[#This Row],[Quantity]]</f>
        <v>483.28</v>
      </c>
      <c r="K702" s="8">
        <f>Table2[[#This Row],[Unit Cost]]*Table2[[#This Row],[Quantity]]</f>
        <v>403.28</v>
      </c>
      <c r="L702" s="8">
        <f>Table2[[#This Row],[Gross Sales]]-Table2[[#This Row],[COGS]]</f>
        <v>80</v>
      </c>
      <c r="M702" s="9">
        <f t="shared" si="10"/>
        <v>0.16553550736633008</v>
      </c>
      <c r="N702" s="7">
        <v>24.164000000000001</v>
      </c>
      <c r="O702" s="7">
        <v>507.44400000000002</v>
      </c>
      <c r="P702" s="10">
        <v>43503</v>
      </c>
      <c r="Q702" s="10" t="str">
        <f>TEXT(Table2[[#This Row],[Date]],"mmm")</f>
        <v>Feb</v>
      </c>
      <c r="R702" s="11">
        <v>0.51597222222222217</v>
      </c>
      <c r="S702" s="6" t="s">
        <v>27</v>
      </c>
      <c r="T702" s="7">
        <v>9.6</v>
      </c>
      <c r="U702" s="6">
        <f>IF(_xlfn.XLOOKUP(A702,[1]Data2!$A:$A,[1]Data2!$B:$B,"no")="yes",1,0)</f>
        <v>1</v>
      </c>
    </row>
    <row r="703" spans="1:21" s="6" customFormat="1" x14ac:dyDescent="0.3">
      <c r="A703" s="6" t="s">
        <v>741</v>
      </c>
      <c r="B703" s="6" t="s">
        <v>46</v>
      </c>
      <c r="C703" s="6" t="s">
        <v>47</v>
      </c>
      <c r="D703" s="6" t="s">
        <v>31</v>
      </c>
      <c r="E703" s="6" t="s">
        <v>35</v>
      </c>
      <c r="F703" s="6" t="s">
        <v>48</v>
      </c>
      <c r="G703" s="7">
        <f>Table2[[#This Row],[Unit price]]-10</f>
        <v>22.32</v>
      </c>
      <c r="H703" s="7">
        <v>32.32</v>
      </c>
      <c r="I703" s="8">
        <v>3</v>
      </c>
      <c r="J703" s="8">
        <f>Table2[[#This Row],[Unit price]]*Table2[[#This Row],[Quantity]]</f>
        <v>96.960000000000008</v>
      </c>
      <c r="K703" s="8">
        <f>Table2[[#This Row],[Unit Cost]]*Table2[[#This Row],[Quantity]]</f>
        <v>66.960000000000008</v>
      </c>
      <c r="L703" s="8">
        <f>Table2[[#This Row],[Gross Sales]]-Table2[[#This Row],[COGS]]</f>
        <v>30</v>
      </c>
      <c r="M703" s="9">
        <f t="shared" si="10"/>
        <v>0.3094059405940594</v>
      </c>
      <c r="N703" s="7">
        <v>4.8479999999999999</v>
      </c>
      <c r="O703" s="7">
        <v>101.80800000000001</v>
      </c>
      <c r="P703" s="10">
        <v>43551</v>
      </c>
      <c r="Q703" s="10" t="str">
        <f>TEXT(Table2[[#This Row],[Date]],"mmm")</f>
        <v>Mar</v>
      </c>
      <c r="R703" s="11">
        <v>0.7993055555555556</v>
      </c>
      <c r="S703" s="6" t="s">
        <v>37</v>
      </c>
      <c r="T703" s="7">
        <v>4.3</v>
      </c>
      <c r="U703" s="6">
        <f>IF(_xlfn.XLOOKUP(A703,[1]Data2!$A:$A,[1]Data2!$B:$B,"no")="yes",1,0)</f>
        <v>0</v>
      </c>
    </row>
    <row r="704" spans="1:21" s="6" customFormat="1" x14ac:dyDescent="0.3">
      <c r="A704" s="6" t="s">
        <v>742</v>
      </c>
      <c r="B704" s="6" t="s">
        <v>46</v>
      </c>
      <c r="C704" s="6" t="s">
        <v>47</v>
      </c>
      <c r="D704" s="6" t="s">
        <v>24</v>
      </c>
      <c r="E704" s="6" t="s">
        <v>25</v>
      </c>
      <c r="F704" s="6" t="s">
        <v>50</v>
      </c>
      <c r="G704" s="7">
        <f>Table2[[#This Row],[Unit price]]-10</f>
        <v>9.77</v>
      </c>
      <c r="H704" s="7">
        <v>19.77</v>
      </c>
      <c r="I704" s="8">
        <v>10</v>
      </c>
      <c r="J704" s="8">
        <f>Table2[[#This Row],[Unit price]]*Table2[[#This Row],[Quantity]]</f>
        <v>197.7</v>
      </c>
      <c r="K704" s="8">
        <f>Table2[[#This Row],[Unit Cost]]*Table2[[#This Row],[Quantity]]</f>
        <v>97.699999999999989</v>
      </c>
      <c r="L704" s="8">
        <f>Table2[[#This Row],[Gross Sales]]-Table2[[#This Row],[COGS]]</f>
        <v>100</v>
      </c>
      <c r="M704" s="9">
        <f t="shared" si="10"/>
        <v>0.50581689428426913</v>
      </c>
      <c r="N704" s="7">
        <v>9.8849999999999998</v>
      </c>
      <c r="O704" s="7">
        <v>207.58500000000001</v>
      </c>
      <c r="P704" s="10">
        <v>43523</v>
      </c>
      <c r="Q704" s="10" t="str">
        <f>TEXT(Table2[[#This Row],[Date]],"mmm")</f>
        <v>Feb</v>
      </c>
      <c r="R704" s="11">
        <v>0.7895833333333333</v>
      </c>
      <c r="S704" s="6" t="s">
        <v>37</v>
      </c>
      <c r="T704" s="7">
        <v>5</v>
      </c>
      <c r="U704" s="6">
        <f>IF(_xlfn.XLOOKUP(A704,[1]Data2!$A:$A,[1]Data2!$B:$B,"no")="yes",1,0)</f>
        <v>0</v>
      </c>
    </row>
    <row r="705" spans="1:21" s="6" customFormat="1" x14ac:dyDescent="0.3">
      <c r="A705" s="6" t="s">
        <v>743</v>
      </c>
      <c r="B705" s="6" t="s">
        <v>46</v>
      </c>
      <c r="C705" s="6" t="s">
        <v>47</v>
      </c>
      <c r="D705" s="6" t="s">
        <v>24</v>
      </c>
      <c r="E705" s="6" t="s">
        <v>35</v>
      </c>
      <c r="F705" s="6" t="s">
        <v>26</v>
      </c>
      <c r="G705" s="7">
        <f>Table2[[#This Row],[Unit price]]-10</f>
        <v>70.47</v>
      </c>
      <c r="H705" s="7">
        <v>80.47</v>
      </c>
      <c r="I705" s="8">
        <v>9</v>
      </c>
      <c r="J705" s="8">
        <f>Table2[[#This Row],[Unit price]]*Table2[[#This Row],[Quantity]]</f>
        <v>724.23</v>
      </c>
      <c r="K705" s="8">
        <f>Table2[[#This Row],[Unit Cost]]*Table2[[#This Row],[Quantity]]</f>
        <v>634.23</v>
      </c>
      <c r="L705" s="8">
        <f>Table2[[#This Row],[Gross Sales]]-Table2[[#This Row],[COGS]]</f>
        <v>90</v>
      </c>
      <c r="M705" s="9">
        <f t="shared" si="10"/>
        <v>0.12426991425375916</v>
      </c>
      <c r="N705" s="7">
        <v>36.211500000000001</v>
      </c>
      <c r="O705" s="7">
        <v>760.44150000000002</v>
      </c>
      <c r="P705" s="10">
        <v>43471</v>
      </c>
      <c r="Q705" s="10" t="str">
        <f>TEXT(Table2[[#This Row],[Date]],"mmm")</f>
        <v>Jan</v>
      </c>
      <c r="R705" s="11">
        <v>0.47083333333333338</v>
      </c>
      <c r="S705" s="6" t="s">
        <v>33</v>
      </c>
      <c r="T705" s="7">
        <v>9.1999999999999993</v>
      </c>
      <c r="U705" s="6">
        <f>IF(_xlfn.XLOOKUP(A705,[1]Data2!$A:$A,[1]Data2!$B:$B,"no")="yes",1,0)</f>
        <v>0</v>
      </c>
    </row>
    <row r="706" spans="1:21" s="6" customFormat="1" x14ac:dyDescent="0.3">
      <c r="A706" s="6" t="s">
        <v>744</v>
      </c>
      <c r="B706" s="6" t="s">
        <v>46</v>
      </c>
      <c r="C706" s="6" t="s">
        <v>47</v>
      </c>
      <c r="D706" s="6" t="s">
        <v>24</v>
      </c>
      <c r="E706" s="6" t="s">
        <v>25</v>
      </c>
      <c r="F706" s="6" t="s">
        <v>36</v>
      </c>
      <c r="G706" s="7">
        <f>Table2[[#This Row],[Unit price]]-10</f>
        <v>78.39</v>
      </c>
      <c r="H706" s="7">
        <v>88.39</v>
      </c>
      <c r="I706" s="8">
        <v>9</v>
      </c>
      <c r="J706" s="8">
        <f>Table2[[#This Row],[Unit price]]*Table2[[#This Row],[Quantity]]</f>
        <v>795.51</v>
      </c>
      <c r="K706" s="8">
        <f>Table2[[#This Row],[Unit Cost]]*Table2[[#This Row],[Quantity]]</f>
        <v>705.51</v>
      </c>
      <c r="L706" s="8">
        <f>Table2[[#This Row],[Gross Sales]]-Table2[[#This Row],[COGS]]</f>
        <v>90</v>
      </c>
      <c r="M706" s="9">
        <f t="shared" si="10"/>
        <v>0.11313497001923295</v>
      </c>
      <c r="N706" s="7">
        <v>39.775500000000001</v>
      </c>
      <c r="O706" s="7">
        <v>835.28549999999996</v>
      </c>
      <c r="P706" s="10">
        <v>43526</v>
      </c>
      <c r="Q706" s="10" t="str">
        <f>TEXT(Table2[[#This Row],[Date]],"mmm")</f>
        <v>Mar</v>
      </c>
      <c r="R706" s="11">
        <v>0.52777777777777779</v>
      </c>
      <c r="S706" s="6" t="s">
        <v>33</v>
      </c>
      <c r="T706" s="7">
        <v>6.3</v>
      </c>
      <c r="U706" s="6">
        <f>IF(_xlfn.XLOOKUP(A706,[1]Data2!$A:$A,[1]Data2!$B:$B,"no")="yes",1,0)</f>
        <v>1</v>
      </c>
    </row>
    <row r="707" spans="1:21" s="6" customFormat="1" x14ac:dyDescent="0.3">
      <c r="A707" s="6" t="s">
        <v>745</v>
      </c>
      <c r="B707" s="6" t="s">
        <v>46</v>
      </c>
      <c r="C707" s="6" t="s">
        <v>47</v>
      </c>
      <c r="D707" s="6" t="s">
        <v>31</v>
      </c>
      <c r="E707" s="6" t="s">
        <v>35</v>
      </c>
      <c r="F707" s="6" t="s">
        <v>26</v>
      </c>
      <c r="G707" s="7">
        <f>Table2[[#This Row],[Unit price]]-10</f>
        <v>61.769999999999996</v>
      </c>
      <c r="H707" s="7">
        <v>71.77</v>
      </c>
      <c r="I707" s="8">
        <v>7</v>
      </c>
      <c r="J707" s="8">
        <f>Table2[[#This Row],[Unit price]]*Table2[[#This Row],[Quantity]]</f>
        <v>502.39</v>
      </c>
      <c r="K707" s="8">
        <f>Table2[[#This Row],[Unit Cost]]*Table2[[#This Row],[Quantity]]</f>
        <v>432.39</v>
      </c>
      <c r="L707" s="8">
        <f>Table2[[#This Row],[Gross Sales]]-Table2[[#This Row],[COGS]]</f>
        <v>70</v>
      </c>
      <c r="M707" s="9">
        <f t="shared" ref="M707:M770" si="11">IFERROR(L707/J707,0)</f>
        <v>0.13933398355858995</v>
      </c>
      <c r="N707" s="7">
        <v>25.119499999999999</v>
      </c>
      <c r="O707" s="7">
        <v>527.5095</v>
      </c>
      <c r="P707" s="10">
        <v>43553</v>
      </c>
      <c r="Q707" s="10" t="str">
        <f>TEXT(Table2[[#This Row],[Date]],"mmm")</f>
        <v>Mar</v>
      </c>
      <c r="R707" s="11">
        <v>0.58750000000000002</v>
      </c>
      <c r="S707" s="6" t="s">
        <v>33</v>
      </c>
      <c r="T707" s="7">
        <v>8.9</v>
      </c>
      <c r="U707" s="6">
        <f>IF(_xlfn.XLOOKUP(A707,[1]Data2!$A:$A,[1]Data2!$B:$B,"no")="yes",1,0)</f>
        <v>0</v>
      </c>
    </row>
    <row r="708" spans="1:21" s="6" customFormat="1" x14ac:dyDescent="0.3">
      <c r="A708" s="6" t="s">
        <v>746</v>
      </c>
      <c r="B708" s="6" t="s">
        <v>46</v>
      </c>
      <c r="C708" s="6" t="s">
        <v>47</v>
      </c>
      <c r="D708" s="6" t="s">
        <v>31</v>
      </c>
      <c r="E708" s="6" t="s">
        <v>25</v>
      </c>
      <c r="F708" s="6" t="s">
        <v>32</v>
      </c>
      <c r="G708" s="7">
        <f>Table2[[#This Row],[Unit price]]-10</f>
        <v>33</v>
      </c>
      <c r="H708" s="7">
        <v>43</v>
      </c>
      <c r="I708" s="8">
        <v>4</v>
      </c>
      <c r="J708" s="8">
        <f>Table2[[#This Row],[Unit price]]*Table2[[#This Row],[Quantity]]</f>
        <v>172</v>
      </c>
      <c r="K708" s="8">
        <f>Table2[[#This Row],[Unit Cost]]*Table2[[#This Row],[Quantity]]</f>
        <v>132</v>
      </c>
      <c r="L708" s="8">
        <f>Table2[[#This Row],[Gross Sales]]-Table2[[#This Row],[COGS]]</f>
        <v>40</v>
      </c>
      <c r="M708" s="9">
        <f t="shared" si="11"/>
        <v>0.23255813953488372</v>
      </c>
      <c r="N708" s="7">
        <v>8.6</v>
      </c>
      <c r="O708" s="7">
        <v>180.6</v>
      </c>
      <c r="P708" s="10">
        <v>43496</v>
      </c>
      <c r="Q708" s="10" t="str">
        <f>TEXT(Table2[[#This Row],[Date]],"mmm")</f>
        <v>Jan</v>
      </c>
      <c r="R708" s="11">
        <v>0.8666666666666667</v>
      </c>
      <c r="S708" s="6" t="s">
        <v>27</v>
      </c>
      <c r="T708" s="7">
        <v>7.6</v>
      </c>
      <c r="U708" s="6">
        <f>IF(_xlfn.XLOOKUP(A708,[1]Data2!$A:$A,[1]Data2!$B:$B,"no")="yes",1,0)</f>
        <v>0</v>
      </c>
    </row>
    <row r="709" spans="1:21" s="6" customFormat="1" x14ac:dyDescent="0.3">
      <c r="A709" s="6" t="s">
        <v>747</v>
      </c>
      <c r="B709" s="6" t="s">
        <v>29</v>
      </c>
      <c r="C709" s="6" t="s">
        <v>30</v>
      </c>
      <c r="D709" s="6" t="s">
        <v>24</v>
      </c>
      <c r="E709" s="6" t="s">
        <v>35</v>
      </c>
      <c r="F709" s="6" t="s">
        <v>48</v>
      </c>
      <c r="G709" s="7">
        <f>Table2[[#This Row],[Unit price]]-10</f>
        <v>58.980000000000004</v>
      </c>
      <c r="H709" s="7">
        <v>68.98</v>
      </c>
      <c r="I709" s="8">
        <v>1</v>
      </c>
      <c r="J709" s="8">
        <f>Table2[[#This Row],[Unit price]]*Table2[[#This Row],[Quantity]]</f>
        <v>68.98</v>
      </c>
      <c r="K709" s="8">
        <f>Table2[[#This Row],[Unit Cost]]*Table2[[#This Row],[Quantity]]</f>
        <v>58.980000000000004</v>
      </c>
      <c r="L709" s="8">
        <f>Table2[[#This Row],[Gross Sales]]-Table2[[#This Row],[COGS]]</f>
        <v>10</v>
      </c>
      <c r="M709" s="9">
        <f t="shared" si="11"/>
        <v>0.14496955639315742</v>
      </c>
      <c r="N709" s="7">
        <v>3.4489999999999998</v>
      </c>
      <c r="O709" s="7">
        <v>72.429000000000002</v>
      </c>
      <c r="P709" s="10">
        <v>43486</v>
      </c>
      <c r="Q709" s="10" t="str">
        <f>TEXT(Table2[[#This Row],[Date]],"mmm")</f>
        <v>Jan</v>
      </c>
      <c r="R709" s="11">
        <v>0.84236111111111101</v>
      </c>
      <c r="S709" s="6" t="s">
        <v>33</v>
      </c>
      <c r="T709" s="7">
        <v>4.8</v>
      </c>
      <c r="U709" s="6">
        <f>IF(_xlfn.XLOOKUP(A709,[1]Data2!$A:$A,[1]Data2!$B:$B,"no")="yes",1,0)</f>
        <v>0</v>
      </c>
    </row>
    <row r="710" spans="1:21" s="6" customFormat="1" x14ac:dyDescent="0.3">
      <c r="A710" s="6" t="s">
        <v>748</v>
      </c>
      <c r="B710" s="6" t="s">
        <v>29</v>
      </c>
      <c r="C710" s="6" t="s">
        <v>30</v>
      </c>
      <c r="D710" s="6" t="s">
        <v>31</v>
      </c>
      <c r="E710" s="6" t="s">
        <v>35</v>
      </c>
      <c r="F710" s="6" t="s">
        <v>50</v>
      </c>
      <c r="G710" s="7">
        <f>Table2[[#This Row],[Unit price]]-10</f>
        <v>5.6199999999999992</v>
      </c>
      <c r="H710" s="7">
        <v>15.62</v>
      </c>
      <c r="I710" s="8">
        <v>8</v>
      </c>
      <c r="J710" s="8">
        <f>Table2[[#This Row],[Unit price]]*Table2[[#This Row],[Quantity]]</f>
        <v>124.96</v>
      </c>
      <c r="K710" s="8">
        <f>Table2[[#This Row],[Unit Cost]]*Table2[[#This Row],[Quantity]]</f>
        <v>44.959999999999994</v>
      </c>
      <c r="L710" s="8">
        <f>Table2[[#This Row],[Gross Sales]]-Table2[[#This Row],[COGS]]</f>
        <v>80</v>
      </c>
      <c r="M710" s="9">
        <f t="shared" si="11"/>
        <v>0.64020486555697831</v>
      </c>
      <c r="N710" s="7">
        <v>6.2480000000000002</v>
      </c>
      <c r="O710" s="7">
        <v>131.208</v>
      </c>
      <c r="P710" s="10">
        <v>43485</v>
      </c>
      <c r="Q710" s="10" t="str">
        <f>TEXT(Table2[[#This Row],[Date]],"mmm")</f>
        <v>Jan</v>
      </c>
      <c r="R710" s="11">
        <v>0.85902777777777783</v>
      </c>
      <c r="S710" s="6" t="s">
        <v>27</v>
      </c>
      <c r="T710" s="7">
        <v>9.1</v>
      </c>
      <c r="U710" s="6">
        <f>IF(_xlfn.XLOOKUP(A710,[1]Data2!$A:$A,[1]Data2!$B:$B,"no")="yes",1,0)</f>
        <v>1</v>
      </c>
    </row>
    <row r="711" spans="1:21" s="6" customFormat="1" x14ac:dyDescent="0.3">
      <c r="A711" s="6" t="s">
        <v>749</v>
      </c>
      <c r="B711" s="6" t="s">
        <v>22</v>
      </c>
      <c r="C711" s="6" t="s">
        <v>23</v>
      </c>
      <c r="D711" s="6" t="s">
        <v>31</v>
      </c>
      <c r="E711" s="6" t="s">
        <v>35</v>
      </c>
      <c r="F711" s="6" t="s">
        <v>40</v>
      </c>
      <c r="G711" s="7">
        <f>Table2[[#This Row],[Unit price]]-10</f>
        <v>15.7</v>
      </c>
      <c r="H711" s="7">
        <v>25.7</v>
      </c>
      <c r="I711" s="8">
        <v>3</v>
      </c>
      <c r="J711" s="8">
        <f>Table2[[#This Row],[Unit price]]*Table2[[#This Row],[Quantity]]</f>
        <v>77.099999999999994</v>
      </c>
      <c r="K711" s="8">
        <f>Table2[[#This Row],[Unit Cost]]*Table2[[#This Row],[Quantity]]</f>
        <v>47.099999999999994</v>
      </c>
      <c r="L711" s="8">
        <f>Table2[[#This Row],[Gross Sales]]-Table2[[#This Row],[COGS]]</f>
        <v>30</v>
      </c>
      <c r="M711" s="9">
        <f t="shared" si="11"/>
        <v>0.38910505836575876</v>
      </c>
      <c r="N711" s="7">
        <v>3.855</v>
      </c>
      <c r="O711" s="7">
        <v>80.954999999999998</v>
      </c>
      <c r="P711" s="10">
        <v>43482</v>
      </c>
      <c r="Q711" s="10" t="str">
        <f>TEXT(Table2[[#This Row],[Date]],"mmm")</f>
        <v>Jan</v>
      </c>
      <c r="R711" s="11">
        <v>0.74930555555555556</v>
      </c>
      <c r="S711" s="6" t="s">
        <v>27</v>
      </c>
      <c r="T711" s="7">
        <v>6.1</v>
      </c>
      <c r="U711" s="6">
        <f>IF(_xlfn.XLOOKUP(A711,[1]Data2!$A:$A,[1]Data2!$B:$B,"no")="yes",1,0)</f>
        <v>0</v>
      </c>
    </row>
    <row r="712" spans="1:21" s="6" customFormat="1" x14ac:dyDescent="0.3">
      <c r="A712" s="6" t="s">
        <v>750</v>
      </c>
      <c r="B712" s="6" t="s">
        <v>22</v>
      </c>
      <c r="C712" s="6" t="s">
        <v>23</v>
      </c>
      <c r="D712" s="6" t="s">
        <v>24</v>
      </c>
      <c r="E712" s="6" t="s">
        <v>35</v>
      </c>
      <c r="F712" s="6" t="s">
        <v>48</v>
      </c>
      <c r="G712" s="7">
        <f>Table2[[#This Row],[Unit price]]-10</f>
        <v>70.62</v>
      </c>
      <c r="H712" s="7">
        <v>80.62</v>
      </c>
      <c r="I712" s="8">
        <v>6</v>
      </c>
      <c r="J712" s="8">
        <f>Table2[[#This Row],[Unit price]]*Table2[[#This Row],[Quantity]]</f>
        <v>483.72</v>
      </c>
      <c r="K712" s="8">
        <f>Table2[[#This Row],[Unit Cost]]*Table2[[#This Row],[Quantity]]</f>
        <v>423.72</v>
      </c>
      <c r="L712" s="8">
        <f>Table2[[#This Row],[Gross Sales]]-Table2[[#This Row],[COGS]]</f>
        <v>60</v>
      </c>
      <c r="M712" s="9">
        <f t="shared" si="11"/>
        <v>0.12403870007442322</v>
      </c>
      <c r="N712" s="7">
        <v>24.186</v>
      </c>
      <c r="O712" s="7">
        <v>507.90600000000001</v>
      </c>
      <c r="P712" s="10">
        <v>43524</v>
      </c>
      <c r="Q712" s="10" t="str">
        <f>TEXT(Table2[[#This Row],[Date]],"mmm")</f>
        <v>Feb</v>
      </c>
      <c r="R712" s="11">
        <v>0.84583333333333333</v>
      </c>
      <c r="S712" s="6" t="s">
        <v>33</v>
      </c>
      <c r="T712" s="7">
        <v>9.1</v>
      </c>
      <c r="U712" s="6">
        <f>IF(_xlfn.XLOOKUP(A712,[1]Data2!$A:$A,[1]Data2!$B:$B,"no")="yes",1,0)</f>
        <v>0</v>
      </c>
    </row>
    <row r="713" spans="1:21" s="6" customFormat="1" x14ac:dyDescent="0.3">
      <c r="A713" s="6" t="s">
        <v>751</v>
      </c>
      <c r="B713" s="6" t="s">
        <v>29</v>
      </c>
      <c r="C713" s="6" t="s">
        <v>30</v>
      </c>
      <c r="D713" s="6" t="s">
        <v>24</v>
      </c>
      <c r="E713" s="6" t="s">
        <v>25</v>
      </c>
      <c r="F713" s="6" t="s">
        <v>36</v>
      </c>
      <c r="G713" s="7">
        <f>Table2[[#This Row],[Unit price]]-10</f>
        <v>65.53</v>
      </c>
      <c r="H713" s="7">
        <v>75.53</v>
      </c>
      <c r="I713" s="8">
        <v>4</v>
      </c>
      <c r="J713" s="8">
        <f>Table2[[#This Row],[Unit price]]*Table2[[#This Row],[Quantity]]</f>
        <v>302.12</v>
      </c>
      <c r="K713" s="8">
        <f>Table2[[#This Row],[Unit Cost]]*Table2[[#This Row],[Quantity]]</f>
        <v>262.12</v>
      </c>
      <c r="L713" s="8">
        <f>Table2[[#This Row],[Gross Sales]]-Table2[[#This Row],[COGS]]</f>
        <v>40</v>
      </c>
      <c r="M713" s="9">
        <f t="shared" si="11"/>
        <v>0.13239772275916853</v>
      </c>
      <c r="N713" s="7">
        <v>15.106</v>
      </c>
      <c r="O713" s="7">
        <v>317.226</v>
      </c>
      <c r="P713" s="10">
        <v>43543</v>
      </c>
      <c r="Q713" s="10" t="str">
        <f>TEXT(Table2[[#This Row],[Date]],"mmm")</f>
        <v>Mar</v>
      </c>
      <c r="R713" s="11">
        <v>0.66111111111111109</v>
      </c>
      <c r="S713" s="6" t="s">
        <v>27</v>
      </c>
      <c r="T713" s="7">
        <v>8.3000000000000007</v>
      </c>
      <c r="U713" s="6">
        <f>IF(_xlfn.XLOOKUP(A713,[1]Data2!$A:$A,[1]Data2!$B:$B,"no")="yes",1,0)</f>
        <v>0</v>
      </c>
    </row>
    <row r="714" spans="1:21" s="6" customFormat="1" x14ac:dyDescent="0.3">
      <c r="A714" s="6" t="s">
        <v>752</v>
      </c>
      <c r="B714" s="6" t="s">
        <v>29</v>
      </c>
      <c r="C714" s="6" t="s">
        <v>30</v>
      </c>
      <c r="D714" s="6" t="s">
        <v>31</v>
      </c>
      <c r="E714" s="6" t="s">
        <v>25</v>
      </c>
      <c r="F714" s="6" t="s">
        <v>32</v>
      </c>
      <c r="G714" s="7">
        <f>Table2[[#This Row],[Unit price]]-10</f>
        <v>67.63</v>
      </c>
      <c r="H714" s="7">
        <v>77.63</v>
      </c>
      <c r="I714" s="8">
        <v>9</v>
      </c>
      <c r="J714" s="8">
        <f>Table2[[#This Row],[Unit price]]*Table2[[#This Row],[Quantity]]</f>
        <v>698.67</v>
      </c>
      <c r="K714" s="8">
        <f>Table2[[#This Row],[Unit Cost]]*Table2[[#This Row],[Quantity]]</f>
        <v>608.66999999999996</v>
      </c>
      <c r="L714" s="8">
        <f>Table2[[#This Row],[Gross Sales]]-Table2[[#This Row],[COGS]]</f>
        <v>90</v>
      </c>
      <c r="M714" s="9">
        <f t="shared" si="11"/>
        <v>0.12881617931212161</v>
      </c>
      <c r="N714" s="7">
        <v>34.933500000000002</v>
      </c>
      <c r="O714" s="7">
        <v>733.60350000000005</v>
      </c>
      <c r="P714" s="10">
        <v>43515</v>
      </c>
      <c r="Q714" s="10" t="str">
        <f>TEXT(Table2[[#This Row],[Date]],"mmm")</f>
        <v>Feb</v>
      </c>
      <c r="R714" s="11">
        <v>0.63472222222222219</v>
      </c>
      <c r="S714" s="6" t="s">
        <v>27</v>
      </c>
      <c r="T714" s="7">
        <v>7.2</v>
      </c>
      <c r="U714" s="6">
        <f>IF(_xlfn.XLOOKUP(A714,[1]Data2!$A:$A,[1]Data2!$B:$B,"no")="yes",1,0)</f>
        <v>1</v>
      </c>
    </row>
    <row r="715" spans="1:21" s="6" customFormat="1" x14ac:dyDescent="0.3">
      <c r="A715" s="6" t="s">
        <v>753</v>
      </c>
      <c r="B715" s="6" t="s">
        <v>29</v>
      </c>
      <c r="C715" s="6" t="s">
        <v>30</v>
      </c>
      <c r="D715" s="6" t="s">
        <v>31</v>
      </c>
      <c r="E715" s="6" t="s">
        <v>25</v>
      </c>
      <c r="F715" s="6" t="s">
        <v>26</v>
      </c>
      <c r="G715" s="7">
        <f>Table2[[#This Row],[Unit price]]-10</f>
        <v>3.8499999999999996</v>
      </c>
      <c r="H715" s="7">
        <v>13.85</v>
      </c>
      <c r="I715" s="8">
        <v>9</v>
      </c>
      <c r="J715" s="8">
        <f>Table2[[#This Row],[Unit price]]*Table2[[#This Row],[Quantity]]</f>
        <v>124.64999999999999</v>
      </c>
      <c r="K715" s="8">
        <f>Table2[[#This Row],[Unit Cost]]*Table2[[#This Row],[Quantity]]</f>
        <v>34.65</v>
      </c>
      <c r="L715" s="8">
        <f>Table2[[#This Row],[Gross Sales]]-Table2[[#This Row],[COGS]]</f>
        <v>90</v>
      </c>
      <c r="M715" s="9">
        <f t="shared" si="11"/>
        <v>0.72202166064981954</v>
      </c>
      <c r="N715" s="7">
        <v>6.2324999999999999</v>
      </c>
      <c r="O715" s="7">
        <v>130.88249999999999</v>
      </c>
      <c r="P715" s="10">
        <v>43500</v>
      </c>
      <c r="Q715" s="10" t="str">
        <f>TEXT(Table2[[#This Row],[Date]],"mmm")</f>
        <v>Feb</v>
      </c>
      <c r="R715" s="11">
        <v>0.53472222222222221</v>
      </c>
      <c r="S715" s="6" t="s">
        <v>27</v>
      </c>
      <c r="T715" s="7">
        <v>6</v>
      </c>
      <c r="U715" s="6">
        <f>IF(_xlfn.XLOOKUP(A715,[1]Data2!$A:$A,[1]Data2!$B:$B,"no")="yes",1,0)</f>
        <v>0</v>
      </c>
    </row>
    <row r="716" spans="1:21" s="6" customFormat="1" x14ac:dyDescent="0.3">
      <c r="A716" s="6" t="s">
        <v>754</v>
      </c>
      <c r="B716" s="6" t="s">
        <v>29</v>
      </c>
      <c r="C716" s="6" t="s">
        <v>30</v>
      </c>
      <c r="D716" s="6" t="s">
        <v>24</v>
      </c>
      <c r="E716" s="6" t="s">
        <v>35</v>
      </c>
      <c r="F716" s="6" t="s">
        <v>50</v>
      </c>
      <c r="G716" s="7">
        <f>Table2[[#This Row],[Unit price]]-10</f>
        <v>88.7</v>
      </c>
      <c r="H716" s="7">
        <v>98.7</v>
      </c>
      <c r="I716" s="8">
        <v>8</v>
      </c>
      <c r="J716" s="8">
        <f>Table2[[#This Row],[Unit price]]*Table2[[#This Row],[Quantity]]</f>
        <v>789.6</v>
      </c>
      <c r="K716" s="8">
        <f>Table2[[#This Row],[Unit Cost]]*Table2[[#This Row],[Quantity]]</f>
        <v>709.6</v>
      </c>
      <c r="L716" s="8">
        <f>Table2[[#This Row],[Gross Sales]]-Table2[[#This Row],[COGS]]</f>
        <v>80</v>
      </c>
      <c r="M716" s="9">
        <f t="shared" si="11"/>
        <v>0.10131712259371833</v>
      </c>
      <c r="N716" s="7">
        <v>39.479999999999997</v>
      </c>
      <c r="O716" s="7">
        <v>829.08</v>
      </c>
      <c r="P716" s="10">
        <v>43496</v>
      </c>
      <c r="Q716" s="10" t="str">
        <f>TEXT(Table2[[#This Row],[Date]],"mmm")</f>
        <v>Jan</v>
      </c>
      <c r="R716" s="11">
        <v>0.44166666666666665</v>
      </c>
      <c r="S716" s="6" t="s">
        <v>27</v>
      </c>
      <c r="T716" s="7">
        <v>8.5</v>
      </c>
      <c r="U716" s="6">
        <f>IF(_xlfn.XLOOKUP(A716,[1]Data2!$A:$A,[1]Data2!$B:$B,"no")="yes",1,0)</f>
        <v>0</v>
      </c>
    </row>
    <row r="717" spans="1:21" s="6" customFormat="1" x14ac:dyDescent="0.3">
      <c r="A717" s="6" t="s">
        <v>755</v>
      </c>
      <c r="B717" s="6" t="s">
        <v>22</v>
      </c>
      <c r="C717" s="6" t="s">
        <v>23</v>
      </c>
      <c r="D717" s="6" t="s">
        <v>31</v>
      </c>
      <c r="E717" s="6" t="s">
        <v>25</v>
      </c>
      <c r="F717" s="6" t="s">
        <v>26</v>
      </c>
      <c r="G717" s="7">
        <f>Table2[[#This Row],[Unit price]]-10</f>
        <v>25.68</v>
      </c>
      <c r="H717" s="7">
        <v>35.68</v>
      </c>
      <c r="I717" s="8">
        <v>5</v>
      </c>
      <c r="J717" s="8">
        <f>Table2[[#This Row],[Unit price]]*Table2[[#This Row],[Quantity]]</f>
        <v>178.4</v>
      </c>
      <c r="K717" s="8">
        <f>Table2[[#This Row],[Unit Cost]]*Table2[[#This Row],[Quantity]]</f>
        <v>128.4</v>
      </c>
      <c r="L717" s="8">
        <f>Table2[[#This Row],[Gross Sales]]-Table2[[#This Row],[COGS]]</f>
        <v>50</v>
      </c>
      <c r="M717" s="9">
        <f t="shared" si="11"/>
        <v>0.2802690582959641</v>
      </c>
      <c r="N717" s="7">
        <v>8.92</v>
      </c>
      <c r="O717" s="7">
        <v>187.32</v>
      </c>
      <c r="P717" s="10">
        <v>43502</v>
      </c>
      <c r="Q717" s="10" t="str">
        <f>TEXT(Table2[[#This Row],[Date]],"mmm")</f>
        <v>Feb</v>
      </c>
      <c r="R717" s="11">
        <v>0.7729166666666667</v>
      </c>
      <c r="S717" s="6" t="s">
        <v>37</v>
      </c>
      <c r="T717" s="7">
        <v>6.6</v>
      </c>
      <c r="U717" s="6">
        <f>IF(_xlfn.XLOOKUP(A717,[1]Data2!$A:$A,[1]Data2!$B:$B,"no")="yes",1,0)</f>
        <v>0</v>
      </c>
    </row>
    <row r="718" spans="1:21" s="6" customFormat="1" x14ac:dyDescent="0.3">
      <c r="A718" s="6" t="s">
        <v>756</v>
      </c>
      <c r="B718" s="6" t="s">
        <v>22</v>
      </c>
      <c r="C718" s="6" t="s">
        <v>23</v>
      </c>
      <c r="D718" s="6" t="s">
        <v>24</v>
      </c>
      <c r="E718" s="6" t="s">
        <v>25</v>
      </c>
      <c r="F718" s="6" t="s">
        <v>50</v>
      </c>
      <c r="G718" s="7">
        <f>Table2[[#This Row],[Unit price]]-10</f>
        <v>61.459999999999994</v>
      </c>
      <c r="H718" s="7">
        <v>71.459999999999994</v>
      </c>
      <c r="I718" s="8">
        <v>7</v>
      </c>
      <c r="J718" s="8">
        <f>Table2[[#This Row],[Unit price]]*Table2[[#This Row],[Quantity]]</f>
        <v>500.21999999999997</v>
      </c>
      <c r="K718" s="8">
        <f>Table2[[#This Row],[Unit Cost]]*Table2[[#This Row],[Quantity]]</f>
        <v>430.21999999999997</v>
      </c>
      <c r="L718" s="8">
        <f>Table2[[#This Row],[Gross Sales]]-Table2[[#This Row],[COGS]]</f>
        <v>70</v>
      </c>
      <c r="M718" s="9">
        <f t="shared" si="11"/>
        <v>0.13993842709207949</v>
      </c>
      <c r="N718" s="7">
        <v>25.010999999999999</v>
      </c>
      <c r="O718" s="7">
        <v>525.23099999999999</v>
      </c>
      <c r="P718" s="10">
        <v>43552</v>
      </c>
      <c r="Q718" s="10" t="str">
        <f>TEXT(Table2[[#This Row],[Date]],"mmm")</f>
        <v>Mar</v>
      </c>
      <c r="R718" s="11">
        <v>0.67083333333333339</v>
      </c>
      <c r="S718" s="6" t="s">
        <v>27</v>
      </c>
      <c r="T718" s="7">
        <v>4.5</v>
      </c>
      <c r="U718" s="6">
        <f>IF(_xlfn.XLOOKUP(A718,[1]Data2!$A:$A,[1]Data2!$B:$B,"no")="yes",1,0)</f>
        <v>1</v>
      </c>
    </row>
    <row r="719" spans="1:21" s="6" customFormat="1" x14ac:dyDescent="0.3">
      <c r="A719" s="6" t="s">
        <v>757</v>
      </c>
      <c r="B719" s="6" t="s">
        <v>22</v>
      </c>
      <c r="C719" s="6" t="s">
        <v>23</v>
      </c>
      <c r="D719" s="6" t="s">
        <v>24</v>
      </c>
      <c r="E719" s="6" t="s">
        <v>35</v>
      </c>
      <c r="F719" s="6" t="s">
        <v>32</v>
      </c>
      <c r="G719" s="7">
        <f>Table2[[#This Row],[Unit price]]-10</f>
        <v>1.9399999999999995</v>
      </c>
      <c r="H719" s="7">
        <v>11.94</v>
      </c>
      <c r="I719" s="8">
        <v>3</v>
      </c>
      <c r="J719" s="8">
        <f>Table2[[#This Row],[Unit price]]*Table2[[#This Row],[Quantity]]</f>
        <v>35.82</v>
      </c>
      <c r="K719" s="8">
        <f>Table2[[#This Row],[Unit Cost]]*Table2[[#This Row],[Quantity]]</f>
        <v>5.8199999999999985</v>
      </c>
      <c r="L719" s="8">
        <f>Table2[[#This Row],[Gross Sales]]-Table2[[#This Row],[COGS]]</f>
        <v>30</v>
      </c>
      <c r="M719" s="9">
        <f t="shared" si="11"/>
        <v>0.83752093802345062</v>
      </c>
      <c r="N719" s="7">
        <v>1.7909999999999999</v>
      </c>
      <c r="O719" s="7">
        <v>37.610999999999997</v>
      </c>
      <c r="P719" s="10">
        <v>43484</v>
      </c>
      <c r="Q719" s="10" t="str">
        <f>TEXT(Table2[[#This Row],[Date]],"mmm")</f>
        <v>Jan</v>
      </c>
      <c r="R719" s="11">
        <v>0.53263888888888888</v>
      </c>
      <c r="S719" s="6" t="s">
        <v>37</v>
      </c>
      <c r="T719" s="7">
        <v>8.1</v>
      </c>
      <c r="U719" s="6">
        <f>IF(_xlfn.XLOOKUP(A719,[1]Data2!$A:$A,[1]Data2!$B:$B,"no")="yes",1,0)</f>
        <v>0</v>
      </c>
    </row>
    <row r="720" spans="1:21" s="6" customFormat="1" x14ac:dyDescent="0.3">
      <c r="A720" s="6" t="s">
        <v>758</v>
      </c>
      <c r="B720" s="6" t="s">
        <v>22</v>
      </c>
      <c r="C720" s="6" t="s">
        <v>23</v>
      </c>
      <c r="D720" s="6" t="s">
        <v>31</v>
      </c>
      <c r="E720" s="6" t="s">
        <v>35</v>
      </c>
      <c r="F720" s="6" t="s">
        <v>50</v>
      </c>
      <c r="G720" s="7">
        <f>Table2[[#This Row],[Unit price]]-10</f>
        <v>35.380000000000003</v>
      </c>
      <c r="H720" s="7">
        <v>45.38</v>
      </c>
      <c r="I720" s="8">
        <v>3</v>
      </c>
      <c r="J720" s="8">
        <f>Table2[[#This Row],[Unit price]]*Table2[[#This Row],[Quantity]]</f>
        <v>136.14000000000001</v>
      </c>
      <c r="K720" s="8">
        <f>Table2[[#This Row],[Unit Cost]]*Table2[[#This Row],[Quantity]]</f>
        <v>106.14000000000001</v>
      </c>
      <c r="L720" s="8">
        <f>Table2[[#This Row],[Gross Sales]]-Table2[[#This Row],[COGS]]</f>
        <v>30</v>
      </c>
      <c r="M720" s="9">
        <f t="shared" si="11"/>
        <v>0.22036139268400173</v>
      </c>
      <c r="N720" s="7">
        <v>6.8070000000000004</v>
      </c>
      <c r="O720" s="7">
        <v>142.947</v>
      </c>
      <c r="P720" s="10">
        <v>43513</v>
      </c>
      <c r="Q720" s="10" t="str">
        <f>TEXT(Table2[[#This Row],[Date]],"mmm")</f>
        <v>Feb</v>
      </c>
      <c r="R720" s="11">
        <v>0.56527777777777777</v>
      </c>
      <c r="S720" s="6" t="s">
        <v>37</v>
      </c>
      <c r="T720" s="7">
        <v>7.2</v>
      </c>
      <c r="U720" s="6">
        <f>IF(_xlfn.XLOOKUP(A720,[1]Data2!$A:$A,[1]Data2!$B:$B,"no")="yes",1,0)</f>
        <v>0</v>
      </c>
    </row>
    <row r="721" spans="1:21" s="6" customFormat="1" x14ac:dyDescent="0.3">
      <c r="A721" s="6" t="s">
        <v>759</v>
      </c>
      <c r="B721" s="6" t="s">
        <v>46</v>
      </c>
      <c r="C721" s="6" t="s">
        <v>47</v>
      </c>
      <c r="D721" s="6" t="s">
        <v>24</v>
      </c>
      <c r="E721" s="6" t="s">
        <v>25</v>
      </c>
      <c r="F721" s="6" t="s">
        <v>50</v>
      </c>
      <c r="G721" s="7">
        <f>Table2[[#This Row],[Unit price]]-10</f>
        <v>7.48</v>
      </c>
      <c r="H721" s="7">
        <v>17.48</v>
      </c>
      <c r="I721" s="8">
        <v>6</v>
      </c>
      <c r="J721" s="8">
        <f>Table2[[#This Row],[Unit price]]*Table2[[#This Row],[Quantity]]</f>
        <v>104.88</v>
      </c>
      <c r="K721" s="8">
        <f>Table2[[#This Row],[Unit Cost]]*Table2[[#This Row],[Quantity]]</f>
        <v>44.88</v>
      </c>
      <c r="L721" s="8">
        <f>Table2[[#This Row],[Gross Sales]]-Table2[[#This Row],[COGS]]</f>
        <v>59.999999999999993</v>
      </c>
      <c r="M721" s="9">
        <f t="shared" si="11"/>
        <v>0.57208237986270016</v>
      </c>
      <c r="N721" s="7">
        <v>5.2439999999999998</v>
      </c>
      <c r="O721" s="7">
        <v>110.124</v>
      </c>
      <c r="P721" s="10">
        <v>43483</v>
      </c>
      <c r="Q721" s="10" t="str">
        <f>TEXT(Table2[[#This Row],[Date]],"mmm")</f>
        <v>Jan</v>
      </c>
      <c r="R721" s="11">
        <v>0.62777777777777777</v>
      </c>
      <c r="S721" s="6" t="s">
        <v>37</v>
      </c>
      <c r="T721" s="7">
        <v>6.1</v>
      </c>
      <c r="U721" s="6">
        <f>IF(_xlfn.XLOOKUP(A721,[1]Data2!$A:$A,[1]Data2!$B:$B,"no")="yes",1,0)</f>
        <v>0</v>
      </c>
    </row>
    <row r="722" spans="1:21" s="6" customFormat="1" x14ac:dyDescent="0.3">
      <c r="A722" s="6" t="s">
        <v>760</v>
      </c>
      <c r="B722" s="6" t="s">
        <v>46</v>
      </c>
      <c r="C722" s="6" t="s">
        <v>47</v>
      </c>
      <c r="D722" s="6" t="s">
        <v>31</v>
      </c>
      <c r="E722" s="6" t="s">
        <v>25</v>
      </c>
      <c r="F722" s="6" t="s">
        <v>50</v>
      </c>
      <c r="G722" s="7">
        <f>Table2[[#This Row],[Unit price]]-10</f>
        <v>15.559999999999999</v>
      </c>
      <c r="H722" s="7">
        <v>25.56</v>
      </c>
      <c r="I722" s="8">
        <v>7</v>
      </c>
      <c r="J722" s="8">
        <f>Table2[[#This Row],[Unit price]]*Table2[[#This Row],[Quantity]]</f>
        <v>178.92</v>
      </c>
      <c r="K722" s="8">
        <f>Table2[[#This Row],[Unit Cost]]*Table2[[#This Row],[Quantity]]</f>
        <v>108.91999999999999</v>
      </c>
      <c r="L722" s="8">
        <f>Table2[[#This Row],[Gross Sales]]-Table2[[#This Row],[COGS]]</f>
        <v>70</v>
      </c>
      <c r="M722" s="9">
        <f t="shared" si="11"/>
        <v>0.39123630672926452</v>
      </c>
      <c r="N722" s="7">
        <v>8.9459999999999997</v>
      </c>
      <c r="O722" s="7">
        <v>187.86600000000001</v>
      </c>
      <c r="P722" s="10">
        <v>43498</v>
      </c>
      <c r="Q722" s="10" t="str">
        <f>TEXT(Table2[[#This Row],[Date]],"mmm")</f>
        <v>Feb</v>
      </c>
      <c r="R722" s="11">
        <v>0.86249999999999993</v>
      </c>
      <c r="S722" s="6" t="s">
        <v>33</v>
      </c>
      <c r="T722" s="7">
        <v>7.1</v>
      </c>
      <c r="U722" s="6">
        <f>IF(_xlfn.XLOOKUP(A722,[1]Data2!$A:$A,[1]Data2!$B:$B,"no")="yes",1,0)</f>
        <v>1</v>
      </c>
    </row>
    <row r="723" spans="1:21" s="6" customFormat="1" x14ac:dyDescent="0.3">
      <c r="A723" s="6" t="s">
        <v>761</v>
      </c>
      <c r="B723" s="6" t="s">
        <v>29</v>
      </c>
      <c r="C723" s="6" t="s">
        <v>30</v>
      </c>
      <c r="D723" s="6" t="s">
        <v>24</v>
      </c>
      <c r="E723" s="6" t="s">
        <v>25</v>
      </c>
      <c r="F723" s="6" t="s">
        <v>40</v>
      </c>
      <c r="G723" s="7">
        <f>Table2[[#This Row],[Unit price]]-10</f>
        <v>80.63</v>
      </c>
      <c r="H723" s="7">
        <v>90.63</v>
      </c>
      <c r="I723" s="8">
        <v>9</v>
      </c>
      <c r="J723" s="8">
        <f>Table2[[#This Row],[Unit price]]*Table2[[#This Row],[Quantity]]</f>
        <v>815.67</v>
      </c>
      <c r="K723" s="8">
        <f>Table2[[#This Row],[Unit Cost]]*Table2[[#This Row],[Quantity]]</f>
        <v>725.67</v>
      </c>
      <c r="L723" s="8">
        <f>Table2[[#This Row],[Gross Sales]]-Table2[[#This Row],[COGS]]</f>
        <v>90</v>
      </c>
      <c r="M723" s="9">
        <f t="shared" si="11"/>
        <v>0.11033873993158999</v>
      </c>
      <c r="N723" s="7">
        <v>40.783499999999997</v>
      </c>
      <c r="O723" s="7">
        <v>856.45349999999996</v>
      </c>
      <c r="P723" s="10">
        <v>43483</v>
      </c>
      <c r="Q723" s="10" t="str">
        <f>TEXT(Table2[[#This Row],[Date]],"mmm")</f>
        <v>Jan</v>
      </c>
      <c r="R723" s="11">
        <v>0.64444444444444449</v>
      </c>
      <c r="S723" s="6" t="s">
        <v>33</v>
      </c>
      <c r="T723" s="7">
        <v>5.0999999999999996</v>
      </c>
      <c r="U723" s="6">
        <f>IF(_xlfn.XLOOKUP(A723,[1]Data2!$A:$A,[1]Data2!$B:$B,"no")="yes",1,0)</f>
        <v>0</v>
      </c>
    </row>
    <row r="724" spans="1:21" s="6" customFormat="1" x14ac:dyDescent="0.3">
      <c r="A724" s="6" t="s">
        <v>762</v>
      </c>
      <c r="B724" s="6" t="s">
        <v>46</v>
      </c>
      <c r="C724" s="6" t="s">
        <v>47</v>
      </c>
      <c r="D724" s="6" t="s">
        <v>31</v>
      </c>
      <c r="E724" s="6" t="s">
        <v>35</v>
      </c>
      <c r="F724" s="6" t="s">
        <v>36</v>
      </c>
      <c r="G724" s="7">
        <f>Table2[[#This Row],[Unit price]]-10</f>
        <v>34.119999999999997</v>
      </c>
      <c r="H724" s="7">
        <v>44.12</v>
      </c>
      <c r="I724" s="8">
        <v>3</v>
      </c>
      <c r="J724" s="8">
        <f>Table2[[#This Row],[Unit price]]*Table2[[#This Row],[Quantity]]</f>
        <v>132.35999999999999</v>
      </c>
      <c r="K724" s="8">
        <f>Table2[[#This Row],[Unit Cost]]*Table2[[#This Row],[Quantity]]</f>
        <v>102.35999999999999</v>
      </c>
      <c r="L724" s="8">
        <f>Table2[[#This Row],[Gross Sales]]-Table2[[#This Row],[COGS]]</f>
        <v>30</v>
      </c>
      <c r="M724" s="9">
        <f t="shared" si="11"/>
        <v>0.22665457842248415</v>
      </c>
      <c r="N724" s="7">
        <v>6.6180000000000003</v>
      </c>
      <c r="O724" s="7">
        <v>138.97800000000001</v>
      </c>
      <c r="P724" s="10">
        <v>43542</v>
      </c>
      <c r="Q724" s="10" t="str">
        <f>TEXT(Table2[[#This Row],[Date]],"mmm")</f>
        <v>Mar</v>
      </c>
      <c r="R724" s="11">
        <v>0.57291666666666663</v>
      </c>
      <c r="S724" s="6" t="s">
        <v>37</v>
      </c>
      <c r="T724" s="7">
        <v>7.9</v>
      </c>
      <c r="U724" s="6">
        <f>IF(_xlfn.XLOOKUP(A724,[1]Data2!$A:$A,[1]Data2!$B:$B,"no")="yes",1,0)</f>
        <v>0</v>
      </c>
    </row>
    <row r="725" spans="1:21" s="6" customFormat="1" x14ac:dyDescent="0.3">
      <c r="A725" s="6" t="s">
        <v>763</v>
      </c>
      <c r="B725" s="6" t="s">
        <v>29</v>
      </c>
      <c r="C725" s="6" t="s">
        <v>30</v>
      </c>
      <c r="D725" s="6" t="s">
        <v>24</v>
      </c>
      <c r="E725" s="6" t="s">
        <v>25</v>
      </c>
      <c r="F725" s="6" t="s">
        <v>48</v>
      </c>
      <c r="G725" s="7">
        <f>Table2[[#This Row],[Unit price]]-10</f>
        <v>26.770000000000003</v>
      </c>
      <c r="H725" s="7">
        <v>36.770000000000003</v>
      </c>
      <c r="I725" s="8">
        <v>7</v>
      </c>
      <c r="J725" s="8">
        <f>Table2[[#This Row],[Unit price]]*Table2[[#This Row],[Quantity]]</f>
        <v>257.39000000000004</v>
      </c>
      <c r="K725" s="8">
        <f>Table2[[#This Row],[Unit Cost]]*Table2[[#This Row],[Quantity]]</f>
        <v>187.39000000000001</v>
      </c>
      <c r="L725" s="8">
        <f>Table2[[#This Row],[Gross Sales]]-Table2[[#This Row],[COGS]]</f>
        <v>70.000000000000028</v>
      </c>
      <c r="M725" s="9">
        <f t="shared" si="11"/>
        <v>0.27196083763938</v>
      </c>
      <c r="N725" s="7">
        <v>12.8695</v>
      </c>
      <c r="O725" s="7">
        <v>270.2595</v>
      </c>
      <c r="P725" s="10">
        <v>43476</v>
      </c>
      <c r="Q725" s="10" t="str">
        <f>TEXT(Table2[[#This Row],[Date]],"mmm")</f>
        <v>Jan</v>
      </c>
      <c r="R725" s="11">
        <v>0.84027777777777779</v>
      </c>
      <c r="S725" s="6" t="s">
        <v>33</v>
      </c>
      <c r="T725" s="7">
        <v>7.4</v>
      </c>
      <c r="U725" s="6">
        <f>IF(_xlfn.XLOOKUP(A725,[1]Data2!$A:$A,[1]Data2!$B:$B,"no")="yes",1,0)</f>
        <v>0</v>
      </c>
    </row>
    <row r="726" spans="1:21" s="6" customFormat="1" x14ac:dyDescent="0.3">
      <c r="A726" s="6" t="s">
        <v>764</v>
      </c>
      <c r="B726" s="6" t="s">
        <v>46</v>
      </c>
      <c r="C726" s="6" t="s">
        <v>47</v>
      </c>
      <c r="D726" s="6" t="s">
        <v>24</v>
      </c>
      <c r="E726" s="6" t="s">
        <v>35</v>
      </c>
      <c r="F726" s="6" t="s">
        <v>48</v>
      </c>
      <c r="G726" s="7">
        <f>Table2[[#This Row],[Unit price]]-10</f>
        <v>13.34</v>
      </c>
      <c r="H726" s="7">
        <v>23.34</v>
      </c>
      <c r="I726" s="8">
        <v>4</v>
      </c>
      <c r="J726" s="8">
        <f>Table2[[#This Row],[Unit price]]*Table2[[#This Row],[Quantity]]</f>
        <v>93.36</v>
      </c>
      <c r="K726" s="8">
        <f>Table2[[#This Row],[Unit Cost]]*Table2[[#This Row],[Quantity]]</f>
        <v>53.36</v>
      </c>
      <c r="L726" s="8">
        <f>Table2[[#This Row],[Gross Sales]]-Table2[[#This Row],[COGS]]</f>
        <v>40</v>
      </c>
      <c r="M726" s="9">
        <f t="shared" si="11"/>
        <v>0.42844901456726647</v>
      </c>
      <c r="N726" s="7">
        <v>4.6680000000000001</v>
      </c>
      <c r="O726" s="7">
        <v>98.028000000000006</v>
      </c>
      <c r="P726" s="10">
        <v>43500</v>
      </c>
      <c r="Q726" s="10" t="str">
        <f>TEXT(Table2[[#This Row],[Date]],"mmm")</f>
        <v>Feb</v>
      </c>
      <c r="R726" s="11">
        <v>0.78680555555555554</v>
      </c>
      <c r="S726" s="6" t="s">
        <v>27</v>
      </c>
      <c r="T726" s="7">
        <v>7.4</v>
      </c>
      <c r="U726" s="6">
        <f>IF(_xlfn.XLOOKUP(A726,[1]Data2!$A:$A,[1]Data2!$B:$B,"no")="yes",1,0)</f>
        <v>1</v>
      </c>
    </row>
    <row r="727" spans="1:21" s="6" customFormat="1" x14ac:dyDescent="0.3">
      <c r="A727" s="6" t="s">
        <v>765</v>
      </c>
      <c r="B727" s="6" t="s">
        <v>29</v>
      </c>
      <c r="C727" s="6" t="s">
        <v>30</v>
      </c>
      <c r="D727" s="6" t="s">
        <v>24</v>
      </c>
      <c r="E727" s="6" t="s">
        <v>25</v>
      </c>
      <c r="F727" s="6" t="s">
        <v>26</v>
      </c>
      <c r="G727" s="7">
        <f>Table2[[#This Row],[Unit price]]-10</f>
        <v>18.5</v>
      </c>
      <c r="H727" s="7">
        <v>28.5</v>
      </c>
      <c r="I727" s="8">
        <v>8</v>
      </c>
      <c r="J727" s="8">
        <f>Table2[[#This Row],[Unit price]]*Table2[[#This Row],[Quantity]]</f>
        <v>228</v>
      </c>
      <c r="K727" s="8">
        <f>Table2[[#This Row],[Unit Cost]]*Table2[[#This Row],[Quantity]]</f>
        <v>148</v>
      </c>
      <c r="L727" s="8">
        <f>Table2[[#This Row],[Gross Sales]]-Table2[[#This Row],[COGS]]</f>
        <v>80</v>
      </c>
      <c r="M727" s="9">
        <f t="shared" si="11"/>
        <v>0.35087719298245612</v>
      </c>
      <c r="N727" s="7">
        <v>11.4</v>
      </c>
      <c r="O727" s="7">
        <v>239.4</v>
      </c>
      <c r="P727" s="10">
        <v>43502</v>
      </c>
      <c r="Q727" s="10" t="str">
        <f>TEXT(Table2[[#This Row],[Date]],"mmm")</f>
        <v>Feb</v>
      </c>
      <c r="R727" s="11">
        <v>0.6</v>
      </c>
      <c r="S727" s="6" t="s">
        <v>33</v>
      </c>
      <c r="T727" s="7">
        <v>6.6</v>
      </c>
      <c r="U727" s="6">
        <f>IF(_xlfn.XLOOKUP(A727,[1]Data2!$A:$A,[1]Data2!$B:$B,"no")="yes",1,0)</f>
        <v>0</v>
      </c>
    </row>
    <row r="728" spans="1:21" s="6" customFormat="1" x14ac:dyDescent="0.3">
      <c r="A728" s="6" t="s">
        <v>766</v>
      </c>
      <c r="B728" s="6" t="s">
        <v>29</v>
      </c>
      <c r="C728" s="6" t="s">
        <v>30</v>
      </c>
      <c r="D728" s="6" t="s">
        <v>24</v>
      </c>
      <c r="E728" s="6" t="s">
        <v>35</v>
      </c>
      <c r="F728" s="6" t="s">
        <v>36</v>
      </c>
      <c r="G728" s="7">
        <f>Table2[[#This Row],[Unit price]]-10</f>
        <v>45.57</v>
      </c>
      <c r="H728" s="7">
        <v>55.57</v>
      </c>
      <c r="I728" s="8">
        <v>3</v>
      </c>
      <c r="J728" s="8">
        <f>Table2[[#This Row],[Unit price]]*Table2[[#This Row],[Quantity]]</f>
        <v>166.71</v>
      </c>
      <c r="K728" s="8">
        <f>Table2[[#This Row],[Unit Cost]]*Table2[[#This Row],[Quantity]]</f>
        <v>136.71</v>
      </c>
      <c r="L728" s="8">
        <f>Table2[[#This Row],[Gross Sales]]-Table2[[#This Row],[COGS]]</f>
        <v>30</v>
      </c>
      <c r="M728" s="9">
        <f t="shared" si="11"/>
        <v>0.17995321216483715</v>
      </c>
      <c r="N728" s="7">
        <v>8.3354999999999997</v>
      </c>
      <c r="O728" s="7">
        <v>175.0455</v>
      </c>
      <c r="P728" s="10">
        <v>43473</v>
      </c>
      <c r="Q728" s="10" t="str">
        <f>TEXT(Table2[[#This Row],[Date]],"mmm")</f>
        <v>Jan</v>
      </c>
      <c r="R728" s="11">
        <v>0.48749999999999999</v>
      </c>
      <c r="S728" s="6" t="s">
        <v>37</v>
      </c>
      <c r="T728" s="7">
        <v>5.9</v>
      </c>
      <c r="U728" s="6">
        <f>IF(_xlfn.XLOOKUP(A728,[1]Data2!$A:$A,[1]Data2!$B:$B,"no")="yes",1,0)</f>
        <v>0</v>
      </c>
    </row>
    <row r="729" spans="1:21" s="6" customFormat="1" x14ac:dyDescent="0.3">
      <c r="A729" s="6" t="s">
        <v>767</v>
      </c>
      <c r="B729" s="6" t="s">
        <v>46</v>
      </c>
      <c r="C729" s="6" t="s">
        <v>47</v>
      </c>
      <c r="D729" s="6" t="s">
        <v>31</v>
      </c>
      <c r="E729" s="6" t="s">
        <v>35</v>
      </c>
      <c r="F729" s="6" t="s">
        <v>40</v>
      </c>
      <c r="G729" s="7">
        <f>Table2[[#This Row],[Unit price]]-10</f>
        <v>59.739999999999995</v>
      </c>
      <c r="H729" s="7">
        <v>69.739999999999995</v>
      </c>
      <c r="I729" s="8">
        <v>10</v>
      </c>
      <c r="J729" s="8">
        <f>Table2[[#This Row],[Unit price]]*Table2[[#This Row],[Quantity]]</f>
        <v>697.4</v>
      </c>
      <c r="K729" s="8">
        <f>Table2[[#This Row],[Unit Cost]]*Table2[[#This Row],[Quantity]]</f>
        <v>597.4</v>
      </c>
      <c r="L729" s="8">
        <f>Table2[[#This Row],[Gross Sales]]-Table2[[#This Row],[COGS]]</f>
        <v>100</v>
      </c>
      <c r="M729" s="9">
        <f t="shared" si="11"/>
        <v>0.14338973329509608</v>
      </c>
      <c r="N729" s="7">
        <v>34.869999999999997</v>
      </c>
      <c r="O729" s="7">
        <v>732.27</v>
      </c>
      <c r="P729" s="10">
        <v>43529</v>
      </c>
      <c r="Q729" s="10" t="str">
        <f>TEXT(Table2[[#This Row],[Date]],"mmm")</f>
        <v>Mar</v>
      </c>
      <c r="R729" s="11">
        <v>0.74236111111111114</v>
      </c>
      <c r="S729" s="6" t="s">
        <v>37</v>
      </c>
      <c r="T729" s="7">
        <v>8.9</v>
      </c>
      <c r="U729" s="6">
        <f>IF(_xlfn.XLOOKUP(A729,[1]Data2!$A:$A,[1]Data2!$B:$B,"no")="yes",1,0)</f>
        <v>0</v>
      </c>
    </row>
    <row r="730" spans="1:21" s="6" customFormat="1" x14ac:dyDescent="0.3">
      <c r="A730" s="6" t="s">
        <v>768</v>
      </c>
      <c r="B730" s="6" t="s">
        <v>29</v>
      </c>
      <c r="C730" s="6" t="s">
        <v>30</v>
      </c>
      <c r="D730" s="6" t="s">
        <v>31</v>
      </c>
      <c r="E730" s="6" t="s">
        <v>35</v>
      </c>
      <c r="F730" s="6" t="s">
        <v>50</v>
      </c>
      <c r="G730" s="7">
        <f>Table2[[#This Row],[Unit price]]-10</f>
        <v>87.26</v>
      </c>
      <c r="H730" s="7">
        <v>97.26</v>
      </c>
      <c r="I730" s="8">
        <v>4</v>
      </c>
      <c r="J730" s="8">
        <f>Table2[[#This Row],[Unit price]]*Table2[[#This Row],[Quantity]]</f>
        <v>389.04</v>
      </c>
      <c r="K730" s="8">
        <f>Table2[[#This Row],[Unit Cost]]*Table2[[#This Row],[Quantity]]</f>
        <v>349.04</v>
      </c>
      <c r="L730" s="8">
        <f>Table2[[#This Row],[Gross Sales]]-Table2[[#This Row],[COGS]]</f>
        <v>40</v>
      </c>
      <c r="M730" s="9">
        <f t="shared" si="11"/>
        <v>0.10281719103434094</v>
      </c>
      <c r="N730" s="7">
        <v>19.452000000000002</v>
      </c>
      <c r="O730" s="7">
        <v>408.49200000000002</v>
      </c>
      <c r="P730" s="10">
        <v>43540</v>
      </c>
      <c r="Q730" s="10" t="str">
        <f>TEXT(Table2[[#This Row],[Date]],"mmm")</f>
        <v>Mar</v>
      </c>
      <c r="R730" s="11">
        <v>0.6479166666666667</v>
      </c>
      <c r="S730" s="6" t="s">
        <v>27</v>
      </c>
      <c r="T730" s="7">
        <v>6.8</v>
      </c>
      <c r="U730" s="6">
        <f>IF(_xlfn.XLOOKUP(A730,[1]Data2!$A:$A,[1]Data2!$B:$B,"no")="yes",1,0)</f>
        <v>1</v>
      </c>
    </row>
    <row r="731" spans="1:21" s="6" customFormat="1" x14ac:dyDescent="0.3">
      <c r="A731" s="6" t="s">
        <v>769</v>
      </c>
      <c r="B731" s="6" t="s">
        <v>46</v>
      </c>
      <c r="C731" s="6" t="s">
        <v>47</v>
      </c>
      <c r="D731" s="6" t="s">
        <v>24</v>
      </c>
      <c r="E731" s="6" t="s">
        <v>25</v>
      </c>
      <c r="F731" s="6" t="s">
        <v>36</v>
      </c>
      <c r="G731" s="7">
        <f>Table2[[#This Row],[Unit price]]-10</f>
        <v>42.18</v>
      </c>
      <c r="H731" s="7">
        <v>52.18</v>
      </c>
      <c r="I731" s="8">
        <v>7</v>
      </c>
      <c r="J731" s="8">
        <f>Table2[[#This Row],[Unit price]]*Table2[[#This Row],[Quantity]]</f>
        <v>365.26</v>
      </c>
      <c r="K731" s="8">
        <f>Table2[[#This Row],[Unit Cost]]*Table2[[#This Row],[Quantity]]</f>
        <v>295.26</v>
      </c>
      <c r="L731" s="8">
        <f>Table2[[#This Row],[Gross Sales]]-Table2[[#This Row],[COGS]]</f>
        <v>70</v>
      </c>
      <c r="M731" s="9">
        <f t="shared" si="11"/>
        <v>0.19164430816404754</v>
      </c>
      <c r="N731" s="7">
        <v>18.263000000000002</v>
      </c>
      <c r="O731" s="7">
        <v>383.52300000000002</v>
      </c>
      <c r="P731" s="10">
        <v>43533</v>
      </c>
      <c r="Q731" s="10" t="str">
        <f>TEXT(Table2[[#This Row],[Date]],"mmm")</f>
        <v>Mar</v>
      </c>
      <c r="R731" s="11">
        <v>0.45416666666666666</v>
      </c>
      <c r="S731" s="6" t="s">
        <v>33</v>
      </c>
      <c r="T731" s="7">
        <v>9.3000000000000007</v>
      </c>
      <c r="U731" s="6">
        <f>IF(_xlfn.XLOOKUP(A731,[1]Data2!$A:$A,[1]Data2!$B:$B,"no")="yes",1,0)</f>
        <v>0</v>
      </c>
    </row>
    <row r="732" spans="1:21" s="6" customFormat="1" x14ac:dyDescent="0.3">
      <c r="A732" s="6" t="s">
        <v>770</v>
      </c>
      <c r="B732" s="6" t="s">
        <v>22</v>
      </c>
      <c r="C732" s="6" t="s">
        <v>23</v>
      </c>
      <c r="D732" s="6" t="s">
        <v>24</v>
      </c>
      <c r="E732" s="6" t="s">
        <v>25</v>
      </c>
      <c r="F732" s="6" t="s">
        <v>50</v>
      </c>
      <c r="G732" s="7">
        <f>Table2[[#This Row],[Unit price]]-10</f>
        <v>12.32</v>
      </c>
      <c r="H732" s="7">
        <v>22.32</v>
      </c>
      <c r="I732" s="8">
        <v>4</v>
      </c>
      <c r="J732" s="8">
        <f>Table2[[#This Row],[Unit price]]*Table2[[#This Row],[Quantity]]</f>
        <v>89.28</v>
      </c>
      <c r="K732" s="8">
        <f>Table2[[#This Row],[Unit Cost]]*Table2[[#This Row],[Quantity]]</f>
        <v>49.28</v>
      </c>
      <c r="L732" s="8">
        <f>Table2[[#This Row],[Gross Sales]]-Table2[[#This Row],[COGS]]</f>
        <v>40</v>
      </c>
      <c r="M732" s="9">
        <f t="shared" si="11"/>
        <v>0.44802867383512546</v>
      </c>
      <c r="N732" s="7">
        <v>4.4640000000000004</v>
      </c>
      <c r="O732" s="7">
        <v>93.744</v>
      </c>
      <c r="P732" s="10">
        <v>43525</v>
      </c>
      <c r="Q732" s="10" t="str">
        <f>TEXT(Table2[[#This Row],[Date]],"mmm")</f>
        <v>Mar</v>
      </c>
      <c r="R732" s="11">
        <v>0.68263888888888891</v>
      </c>
      <c r="S732" s="6" t="s">
        <v>37</v>
      </c>
      <c r="T732" s="7">
        <v>4.4000000000000004</v>
      </c>
      <c r="U732" s="6">
        <f>IF(_xlfn.XLOOKUP(A732,[1]Data2!$A:$A,[1]Data2!$B:$B,"no")="yes",1,0)</f>
        <v>0</v>
      </c>
    </row>
    <row r="733" spans="1:21" s="6" customFormat="1" x14ac:dyDescent="0.3">
      <c r="A733" s="6" t="s">
        <v>771</v>
      </c>
      <c r="B733" s="6" t="s">
        <v>22</v>
      </c>
      <c r="C733" s="6" t="s">
        <v>23</v>
      </c>
      <c r="D733" s="6" t="s">
        <v>31</v>
      </c>
      <c r="E733" s="6" t="s">
        <v>35</v>
      </c>
      <c r="F733" s="6" t="s">
        <v>26</v>
      </c>
      <c r="G733" s="7">
        <f>Table2[[#This Row],[Unit price]]-10</f>
        <v>46</v>
      </c>
      <c r="H733" s="7">
        <v>56</v>
      </c>
      <c r="I733" s="8">
        <v>3</v>
      </c>
      <c r="J733" s="8">
        <f>Table2[[#This Row],[Unit price]]*Table2[[#This Row],[Quantity]]</f>
        <v>168</v>
      </c>
      <c r="K733" s="8">
        <f>Table2[[#This Row],[Unit Cost]]*Table2[[#This Row],[Quantity]]</f>
        <v>138</v>
      </c>
      <c r="L733" s="8">
        <f>Table2[[#This Row],[Gross Sales]]-Table2[[#This Row],[COGS]]</f>
        <v>30</v>
      </c>
      <c r="M733" s="9">
        <f t="shared" si="11"/>
        <v>0.17857142857142858</v>
      </c>
      <c r="N733" s="7">
        <v>8.4</v>
      </c>
      <c r="O733" s="7">
        <v>176.4</v>
      </c>
      <c r="P733" s="10">
        <v>43524</v>
      </c>
      <c r="Q733" s="10" t="str">
        <f>TEXT(Table2[[#This Row],[Date]],"mmm")</f>
        <v>Feb</v>
      </c>
      <c r="R733" s="11">
        <v>0.81458333333333333</v>
      </c>
      <c r="S733" s="6" t="s">
        <v>27</v>
      </c>
      <c r="T733" s="7">
        <v>4.8</v>
      </c>
      <c r="U733" s="6">
        <f>IF(_xlfn.XLOOKUP(A733,[1]Data2!$A:$A,[1]Data2!$B:$B,"no")="yes",1,0)</f>
        <v>0</v>
      </c>
    </row>
    <row r="734" spans="1:21" s="6" customFormat="1" x14ac:dyDescent="0.3">
      <c r="A734" s="6" t="s">
        <v>772</v>
      </c>
      <c r="B734" s="6" t="s">
        <v>22</v>
      </c>
      <c r="C734" s="6" t="s">
        <v>23</v>
      </c>
      <c r="D734" s="6" t="s">
        <v>24</v>
      </c>
      <c r="E734" s="6" t="s">
        <v>35</v>
      </c>
      <c r="F734" s="6" t="s">
        <v>50</v>
      </c>
      <c r="G734" s="7">
        <f>Table2[[#This Row],[Unit price]]-10</f>
        <v>9.6999999999999993</v>
      </c>
      <c r="H734" s="7">
        <v>19.7</v>
      </c>
      <c r="I734" s="8">
        <v>1</v>
      </c>
      <c r="J734" s="8">
        <f>Table2[[#This Row],[Unit price]]*Table2[[#This Row],[Quantity]]</f>
        <v>19.7</v>
      </c>
      <c r="K734" s="8">
        <f>Table2[[#This Row],[Unit Cost]]*Table2[[#This Row],[Quantity]]</f>
        <v>9.6999999999999993</v>
      </c>
      <c r="L734" s="8">
        <f>Table2[[#This Row],[Gross Sales]]-Table2[[#This Row],[COGS]]</f>
        <v>10</v>
      </c>
      <c r="M734" s="9">
        <f t="shared" si="11"/>
        <v>0.50761421319796951</v>
      </c>
      <c r="N734" s="7">
        <v>0.98499999999999999</v>
      </c>
      <c r="O734" s="7">
        <v>20.684999999999999</v>
      </c>
      <c r="P734" s="10">
        <v>43504</v>
      </c>
      <c r="Q734" s="10" t="str">
        <f>TEXT(Table2[[#This Row],[Date]],"mmm")</f>
        <v>Feb</v>
      </c>
      <c r="R734" s="11">
        <v>0.48541666666666666</v>
      </c>
      <c r="S734" s="6" t="s">
        <v>27</v>
      </c>
      <c r="T734" s="7">
        <v>9.5</v>
      </c>
      <c r="U734" s="6">
        <f>IF(_xlfn.XLOOKUP(A734,[1]Data2!$A:$A,[1]Data2!$B:$B,"no")="yes",1,0)</f>
        <v>1</v>
      </c>
    </row>
    <row r="735" spans="1:21" s="6" customFormat="1" x14ac:dyDescent="0.3">
      <c r="A735" s="6" t="s">
        <v>773</v>
      </c>
      <c r="B735" s="6" t="s">
        <v>46</v>
      </c>
      <c r="C735" s="6" t="s">
        <v>47</v>
      </c>
      <c r="D735" s="6" t="s">
        <v>31</v>
      </c>
      <c r="E735" s="6" t="s">
        <v>35</v>
      </c>
      <c r="F735" s="6" t="s">
        <v>32</v>
      </c>
      <c r="G735" s="7">
        <f>Table2[[#This Row],[Unit price]]-10</f>
        <v>65.88</v>
      </c>
      <c r="H735" s="7">
        <v>75.88</v>
      </c>
      <c r="I735" s="8">
        <v>7</v>
      </c>
      <c r="J735" s="8">
        <f>Table2[[#This Row],[Unit price]]*Table2[[#This Row],[Quantity]]</f>
        <v>531.16</v>
      </c>
      <c r="K735" s="8">
        <f>Table2[[#This Row],[Unit Cost]]*Table2[[#This Row],[Quantity]]</f>
        <v>461.15999999999997</v>
      </c>
      <c r="L735" s="8">
        <f>Table2[[#This Row],[Gross Sales]]-Table2[[#This Row],[COGS]]</f>
        <v>70</v>
      </c>
      <c r="M735" s="9">
        <f t="shared" si="11"/>
        <v>0.13178703215603585</v>
      </c>
      <c r="N735" s="7">
        <v>26.558</v>
      </c>
      <c r="O735" s="7">
        <v>557.71799999999996</v>
      </c>
      <c r="P735" s="10">
        <v>43489</v>
      </c>
      <c r="Q735" s="10" t="str">
        <f>TEXT(Table2[[#This Row],[Date]],"mmm")</f>
        <v>Jan</v>
      </c>
      <c r="R735" s="11">
        <v>0.44305555555555554</v>
      </c>
      <c r="S735" s="6" t="s">
        <v>27</v>
      </c>
      <c r="T735" s="7">
        <v>8.9</v>
      </c>
      <c r="U735" s="6">
        <f>IF(_xlfn.XLOOKUP(A735,[1]Data2!$A:$A,[1]Data2!$B:$B,"no")="yes",1,0)</f>
        <v>0</v>
      </c>
    </row>
    <row r="736" spans="1:21" s="6" customFormat="1" x14ac:dyDescent="0.3">
      <c r="A736" s="6" t="s">
        <v>774</v>
      </c>
      <c r="B736" s="6" t="s">
        <v>46</v>
      </c>
      <c r="C736" s="6" t="s">
        <v>47</v>
      </c>
      <c r="D736" s="6" t="s">
        <v>24</v>
      </c>
      <c r="E736" s="6" t="s">
        <v>35</v>
      </c>
      <c r="F736" s="6" t="s">
        <v>48</v>
      </c>
      <c r="G736" s="7">
        <f>Table2[[#This Row],[Unit price]]-10</f>
        <v>43.72</v>
      </c>
      <c r="H736" s="7">
        <v>53.72</v>
      </c>
      <c r="I736" s="8">
        <v>1</v>
      </c>
      <c r="J736" s="8">
        <f>Table2[[#This Row],[Unit price]]*Table2[[#This Row],[Quantity]]</f>
        <v>53.72</v>
      </c>
      <c r="K736" s="8">
        <f>Table2[[#This Row],[Unit Cost]]*Table2[[#This Row],[Quantity]]</f>
        <v>43.72</v>
      </c>
      <c r="L736" s="8">
        <f>Table2[[#This Row],[Gross Sales]]-Table2[[#This Row],[COGS]]</f>
        <v>10</v>
      </c>
      <c r="M736" s="9">
        <f t="shared" si="11"/>
        <v>0.18615040953090098</v>
      </c>
      <c r="N736" s="7">
        <v>2.6859999999999999</v>
      </c>
      <c r="O736" s="7">
        <v>56.405999999999999</v>
      </c>
      <c r="P736" s="10">
        <v>43525</v>
      </c>
      <c r="Q736" s="10" t="str">
        <f>TEXT(Table2[[#This Row],[Date]],"mmm")</f>
        <v>Mar</v>
      </c>
      <c r="R736" s="11">
        <v>0.8354166666666667</v>
      </c>
      <c r="S736" s="6" t="s">
        <v>27</v>
      </c>
      <c r="T736" s="7">
        <v>6.4</v>
      </c>
      <c r="U736" s="6">
        <f>IF(_xlfn.XLOOKUP(A736,[1]Data2!$A:$A,[1]Data2!$B:$B,"no")="yes",1,0)</f>
        <v>0</v>
      </c>
    </row>
    <row r="737" spans="1:21" s="6" customFormat="1" x14ac:dyDescent="0.3">
      <c r="A737" s="6" t="s">
        <v>775</v>
      </c>
      <c r="B737" s="6" t="s">
        <v>29</v>
      </c>
      <c r="C737" s="6" t="s">
        <v>30</v>
      </c>
      <c r="D737" s="6" t="s">
        <v>24</v>
      </c>
      <c r="E737" s="6" t="s">
        <v>35</v>
      </c>
      <c r="F737" s="6" t="s">
        <v>26</v>
      </c>
      <c r="G737" s="7">
        <f>Table2[[#This Row],[Unit price]]-10</f>
        <v>71.95</v>
      </c>
      <c r="H737" s="7">
        <v>81.95</v>
      </c>
      <c r="I737" s="8">
        <v>10</v>
      </c>
      <c r="J737" s="8">
        <f>Table2[[#This Row],[Unit price]]*Table2[[#This Row],[Quantity]]</f>
        <v>819.5</v>
      </c>
      <c r="K737" s="8">
        <f>Table2[[#This Row],[Unit Cost]]*Table2[[#This Row],[Quantity]]</f>
        <v>719.5</v>
      </c>
      <c r="L737" s="8">
        <f>Table2[[#This Row],[Gross Sales]]-Table2[[#This Row],[COGS]]</f>
        <v>100</v>
      </c>
      <c r="M737" s="9">
        <f t="shared" si="11"/>
        <v>0.12202562538133008</v>
      </c>
      <c r="N737" s="7">
        <v>40.975000000000001</v>
      </c>
      <c r="O737" s="7">
        <v>860.47500000000002</v>
      </c>
      <c r="P737" s="10">
        <v>43534</v>
      </c>
      <c r="Q737" s="10" t="str">
        <f>TEXT(Table2[[#This Row],[Date]],"mmm")</f>
        <v>Mar</v>
      </c>
      <c r="R737" s="11">
        <v>0.52708333333333335</v>
      </c>
      <c r="S737" s="6" t="s">
        <v>37</v>
      </c>
      <c r="T737" s="7">
        <v>6</v>
      </c>
      <c r="U737" s="6">
        <f>IF(_xlfn.XLOOKUP(A737,[1]Data2!$A:$A,[1]Data2!$B:$B,"no")="yes",1,0)</f>
        <v>0</v>
      </c>
    </row>
    <row r="738" spans="1:21" s="6" customFormat="1" x14ac:dyDescent="0.3">
      <c r="A738" s="6" t="s">
        <v>776</v>
      </c>
      <c r="B738" s="6" t="s">
        <v>29</v>
      </c>
      <c r="C738" s="6" t="s">
        <v>30</v>
      </c>
      <c r="D738" s="6" t="s">
        <v>24</v>
      </c>
      <c r="E738" s="6" t="s">
        <v>25</v>
      </c>
      <c r="F738" s="6" t="s">
        <v>36</v>
      </c>
      <c r="G738" s="7">
        <f>Table2[[#This Row],[Unit price]]-10</f>
        <v>71.2</v>
      </c>
      <c r="H738" s="7">
        <v>81.2</v>
      </c>
      <c r="I738" s="8">
        <v>7</v>
      </c>
      <c r="J738" s="8">
        <f>Table2[[#This Row],[Unit price]]*Table2[[#This Row],[Quantity]]</f>
        <v>568.4</v>
      </c>
      <c r="K738" s="8">
        <f>Table2[[#This Row],[Unit Cost]]*Table2[[#This Row],[Quantity]]</f>
        <v>498.40000000000003</v>
      </c>
      <c r="L738" s="8">
        <f>Table2[[#This Row],[Gross Sales]]-Table2[[#This Row],[COGS]]</f>
        <v>69.999999999999943</v>
      </c>
      <c r="M738" s="9">
        <f t="shared" si="11"/>
        <v>0.12315270935960582</v>
      </c>
      <c r="N738" s="7">
        <v>28.42</v>
      </c>
      <c r="O738" s="7">
        <v>596.82000000000005</v>
      </c>
      <c r="P738" s="10">
        <v>43547</v>
      </c>
      <c r="Q738" s="10" t="str">
        <f>TEXT(Table2[[#This Row],[Date]],"mmm")</f>
        <v>Mar</v>
      </c>
      <c r="R738" s="11">
        <v>0.66597222222222219</v>
      </c>
      <c r="S738" s="6" t="s">
        <v>37</v>
      </c>
      <c r="T738" s="7">
        <v>8.1</v>
      </c>
      <c r="U738" s="6">
        <f>IF(_xlfn.XLOOKUP(A738,[1]Data2!$A:$A,[1]Data2!$B:$B,"no")="yes",1,0)</f>
        <v>1</v>
      </c>
    </row>
    <row r="739" spans="1:21" s="6" customFormat="1" x14ac:dyDescent="0.3">
      <c r="A739" s="6" t="s">
        <v>777</v>
      </c>
      <c r="B739" s="6" t="s">
        <v>29</v>
      </c>
      <c r="C739" s="6" t="s">
        <v>30</v>
      </c>
      <c r="D739" s="6" t="s">
        <v>31</v>
      </c>
      <c r="E739" s="6" t="s">
        <v>35</v>
      </c>
      <c r="F739" s="6" t="s">
        <v>32</v>
      </c>
      <c r="G739" s="7">
        <f>Table2[[#This Row],[Unit price]]-10</f>
        <v>48.76</v>
      </c>
      <c r="H739" s="7">
        <v>58.76</v>
      </c>
      <c r="I739" s="8">
        <v>10</v>
      </c>
      <c r="J739" s="8">
        <f>Table2[[#This Row],[Unit price]]*Table2[[#This Row],[Quantity]]</f>
        <v>587.6</v>
      </c>
      <c r="K739" s="8">
        <f>Table2[[#This Row],[Unit Cost]]*Table2[[#This Row],[Quantity]]</f>
        <v>487.59999999999997</v>
      </c>
      <c r="L739" s="8">
        <f>Table2[[#This Row],[Gross Sales]]-Table2[[#This Row],[COGS]]</f>
        <v>100.00000000000006</v>
      </c>
      <c r="M739" s="9">
        <f t="shared" si="11"/>
        <v>0.17018379850238266</v>
      </c>
      <c r="N739" s="7">
        <v>29.38</v>
      </c>
      <c r="O739" s="7">
        <v>616.98</v>
      </c>
      <c r="P739" s="10">
        <v>43494</v>
      </c>
      <c r="Q739" s="10" t="str">
        <f>TEXT(Table2[[#This Row],[Date]],"mmm")</f>
        <v>Jan</v>
      </c>
      <c r="R739" s="11">
        <v>0.60138888888888886</v>
      </c>
      <c r="S739" s="6" t="s">
        <v>27</v>
      </c>
      <c r="T739" s="7">
        <v>9</v>
      </c>
      <c r="U739" s="6">
        <f>IF(_xlfn.XLOOKUP(A739,[1]Data2!$A:$A,[1]Data2!$B:$B,"no")="yes",1,0)</f>
        <v>0</v>
      </c>
    </row>
    <row r="740" spans="1:21" s="6" customFormat="1" x14ac:dyDescent="0.3">
      <c r="A740" s="6" t="s">
        <v>778</v>
      </c>
      <c r="B740" s="6" t="s">
        <v>46</v>
      </c>
      <c r="C740" s="6" t="s">
        <v>47</v>
      </c>
      <c r="D740" s="6" t="s">
        <v>24</v>
      </c>
      <c r="E740" s="6" t="s">
        <v>35</v>
      </c>
      <c r="F740" s="6" t="s">
        <v>32</v>
      </c>
      <c r="G740" s="7">
        <f>Table2[[#This Row],[Unit price]]-10</f>
        <v>81.56</v>
      </c>
      <c r="H740" s="7">
        <v>91.56</v>
      </c>
      <c r="I740" s="8">
        <v>8</v>
      </c>
      <c r="J740" s="8">
        <f>Table2[[#This Row],[Unit price]]*Table2[[#This Row],[Quantity]]</f>
        <v>732.48</v>
      </c>
      <c r="K740" s="8">
        <f>Table2[[#This Row],[Unit Cost]]*Table2[[#This Row],[Quantity]]</f>
        <v>652.48</v>
      </c>
      <c r="L740" s="8">
        <f>Table2[[#This Row],[Gross Sales]]-Table2[[#This Row],[COGS]]</f>
        <v>80</v>
      </c>
      <c r="M740" s="9">
        <f t="shared" si="11"/>
        <v>0.109217999126256</v>
      </c>
      <c r="N740" s="7">
        <v>36.624000000000002</v>
      </c>
      <c r="O740" s="7">
        <v>769.10400000000004</v>
      </c>
      <c r="P740" s="10">
        <v>43477</v>
      </c>
      <c r="Q740" s="10" t="str">
        <f>TEXT(Table2[[#This Row],[Date]],"mmm")</f>
        <v>Jan</v>
      </c>
      <c r="R740" s="11">
        <v>0.76527777777777783</v>
      </c>
      <c r="S740" s="6" t="s">
        <v>27</v>
      </c>
      <c r="T740" s="7">
        <v>6</v>
      </c>
      <c r="U740" s="6">
        <f>IF(_xlfn.XLOOKUP(A740,[1]Data2!$A:$A,[1]Data2!$B:$B,"no")="yes",1,0)</f>
        <v>0</v>
      </c>
    </row>
    <row r="741" spans="1:21" s="6" customFormat="1" x14ac:dyDescent="0.3">
      <c r="A741" s="6" t="s">
        <v>779</v>
      </c>
      <c r="B741" s="6" t="s">
        <v>22</v>
      </c>
      <c r="C741" s="6" t="s">
        <v>23</v>
      </c>
      <c r="D741" s="6" t="s">
        <v>31</v>
      </c>
      <c r="E741" s="6" t="s">
        <v>35</v>
      </c>
      <c r="F741" s="6" t="s">
        <v>36</v>
      </c>
      <c r="G741" s="7">
        <f>Table2[[#This Row],[Unit price]]-10</f>
        <v>83.96</v>
      </c>
      <c r="H741" s="7">
        <v>93.96</v>
      </c>
      <c r="I741" s="8">
        <v>9</v>
      </c>
      <c r="J741" s="8">
        <f>Table2[[#This Row],[Unit price]]*Table2[[#This Row],[Quantity]]</f>
        <v>845.64</v>
      </c>
      <c r="K741" s="8">
        <f>Table2[[#This Row],[Unit Cost]]*Table2[[#This Row],[Quantity]]</f>
        <v>755.64</v>
      </c>
      <c r="L741" s="8">
        <f>Table2[[#This Row],[Gross Sales]]-Table2[[#This Row],[COGS]]</f>
        <v>90</v>
      </c>
      <c r="M741" s="9">
        <f t="shared" si="11"/>
        <v>0.10642826734780758</v>
      </c>
      <c r="N741" s="7">
        <v>42.281999999999996</v>
      </c>
      <c r="O741" s="7">
        <v>887.92200000000003</v>
      </c>
      <c r="P741" s="10">
        <v>43544</v>
      </c>
      <c r="Q741" s="10" t="str">
        <f>TEXT(Table2[[#This Row],[Date]],"mmm")</f>
        <v>Mar</v>
      </c>
      <c r="R741" s="11">
        <v>0.48055555555555557</v>
      </c>
      <c r="S741" s="6" t="s">
        <v>33</v>
      </c>
      <c r="T741" s="7">
        <v>9.8000000000000007</v>
      </c>
      <c r="U741" s="6">
        <f>IF(_xlfn.XLOOKUP(A741,[1]Data2!$A:$A,[1]Data2!$B:$B,"no")="yes",1,0)</f>
        <v>0</v>
      </c>
    </row>
    <row r="742" spans="1:21" s="6" customFormat="1" x14ac:dyDescent="0.3">
      <c r="A742" s="6" t="s">
        <v>780</v>
      </c>
      <c r="B742" s="6" t="s">
        <v>29</v>
      </c>
      <c r="C742" s="6" t="s">
        <v>30</v>
      </c>
      <c r="D742" s="6" t="s">
        <v>31</v>
      </c>
      <c r="E742" s="6" t="s">
        <v>35</v>
      </c>
      <c r="F742" s="6" t="s">
        <v>36</v>
      </c>
      <c r="G742" s="7">
        <f>Table2[[#This Row],[Unit price]]-10</f>
        <v>45.61</v>
      </c>
      <c r="H742" s="7">
        <v>55.61</v>
      </c>
      <c r="I742" s="8">
        <v>7</v>
      </c>
      <c r="J742" s="8">
        <f>Table2[[#This Row],[Unit price]]*Table2[[#This Row],[Quantity]]</f>
        <v>389.27</v>
      </c>
      <c r="K742" s="8">
        <f>Table2[[#This Row],[Unit Cost]]*Table2[[#This Row],[Quantity]]</f>
        <v>319.27</v>
      </c>
      <c r="L742" s="8">
        <f>Table2[[#This Row],[Gross Sales]]-Table2[[#This Row],[COGS]]</f>
        <v>70</v>
      </c>
      <c r="M742" s="9">
        <f t="shared" si="11"/>
        <v>0.17982377270275132</v>
      </c>
      <c r="N742" s="7">
        <v>19.4635</v>
      </c>
      <c r="O742" s="7">
        <v>408.73349999999999</v>
      </c>
      <c r="P742" s="10">
        <v>43547</v>
      </c>
      <c r="Q742" s="10" t="str">
        <f>TEXT(Table2[[#This Row],[Date]],"mmm")</f>
        <v>Mar</v>
      </c>
      <c r="R742" s="11">
        <v>0.52847222222222223</v>
      </c>
      <c r="S742" s="6" t="s">
        <v>33</v>
      </c>
      <c r="T742" s="7">
        <v>8.5</v>
      </c>
      <c r="U742" s="6">
        <f>IF(_xlfn.XLOOKUP(A742,[1]Data2!$A:$A,[1]Data2!$B:$B,"no")="yes",1,0)</f>
        <v>1</v>
      </c>
    </row>
    <row r="743" spans="1:21" s="6" customFormat="1" x14ac:dyDescent="0.3">
      <c r="A743" s="6" t="s">
        <v>781</v>
      </c>
      <c r="B743" s="6" t="s">
        <v>29</v>
      </c>
      <c r="C743" s="6" t="s">
        <v>30</v>
      </c>
      <c r="D743" s="6" t="s">
        <v>31</v>
      </c>
      <c r="E743" s="6" t="s">
        <v>35</v>
      </c>
      <c r="F743" s="6" t="s">
        <v>48</v>
      </c>
      <c r="G743" s="7">
        <f>Table2[[#This Row],[Unit price]]-10</f>
        <v>74.83</v>
      </c>
      <c r="H743" s="7">
        <v>84.83</v>
      </c>
      <c r="I743" s="8">
        <v>1</v>
      </c>
      <c r="J743" s="8">
        <f>Table2[[#This Row],[Unit price]]*Table2[[#This Row],[Quantity]]</f>
        <v>84.83</v>
      </c>
      <c r="K743" s="8">
        <f>Table2[[#This Row],[Unit Cost]]*Table2[[#This Row],[Quantity]]</f>
        <v>74.83</v>
      </c>
      <c r="L743" s="8">
        <f>Table2[[#This Row],[Gross Sales]]-Table2[[#This Row],[COGS]]</f>
        <v>10</v>
      </c>
      <c r="M743" s="9">
        <f t="shared" si="11"/>
        <v>0.11788282447247436</v>
      </c>
      <c r="N743" s="7">
        <v>4.2415000000000003</v>
      </c>
      <c r="O743" s="7">
        <v>89.0715</v>
      </c>
      <c r="P743" s="10">
        <v>43479</v>
      </c>
      <c r="Q743" s="10" t="str">
        <f>TEXT(Table2[[#This Row],[Date]],"mmm")</f>
        <v>Jan</v>
      </c>
      <c r="R743" s="11">
        <v>0.63888888888888895</v>
      </c>
      <c r="S743" s="6" t="s">
        <v>27</v>
      </c>
      <c r="T743" s="7">
        <v>8.8000000000000007</v>
      </c>
      <c r="U743" s="6">
        <f>IF(_xlfn.XLOOKUP(A743,[1]Data2!$A:$A,[1]Data2!$B:$B,"no")="yes",1,0)</f>
        <v>0</v>
      </c>
    </row>
    <row r="744" spans="1:21" s="6" customFormat="1" x14ac:dyDescent="0.3">
      <c r="A744" s="6" t="s">
        <v>782</v>
      </c>
      <c r="B744" s="6" t="s">
        <v>22</v>
      </c>
      <c r="C744" s="6" t="s">
        <v>23</v>
      </c>
      <c r="D744" s="6" t="s">
        <v>24</v>
      </c>
      <c r="E744" s="6" t="s">
        <v>25</v>
      </c>
      <c r="F744" s="6" t="s">
        <v>40</v>
      </c>
      <c r="G744" s="7">
        <f>Table2[[#This Row],[Unit price]]-10</f>
        <v>61.629999999999995</v>
      </c>
      <c r="H744" s="7">
        <v>71.63</v>
      </c>
      <c r="I744" s="8">
        <v>2</v>
      </c>
      <c r="J744" s="8">
        <f>Table2[[#This Row],[Unit price]]*Table2[[#This Row],[Quantity]]</f>
        <v>143.26</v>
      </c>
      <c r="K744" s="8">
        <f>Table2[[#This Row],[Unit Cost]]*Table2[[#This Row],[Quantity]]</f>
        <v>123.25999999999999</v>
      </c>
      <c r="L744" s="8">
        <f>Table2[[#This Row],[Gross Sales]]-Table2[[#This Row],[COGS]]</f>
        <v>20</v>
      </c>
      <c r="M744" s="9">
        <f t="shared" si="11"/>
        <v>0.1396063102052213</v>
      </c>
      <c r="N744" s="7">
        <v>7.1630000000000003</v>
      </c>
      <c r="O744" s="7">
        <v>150.423</v>
      </c>
      <c r="P744" s="10">
        <v>43508</v>
      </c>
      <c r="Q744" s="10" t="str">
        <f>TEXT(Table2[[#This Row],[Date]],"mmm")</f>
        <v>Feb</v>
      </c>
      <c r="R744" s="11">
        <v>0.60625000000000007</v>
      </c>
      <c r="S744" s="6" t="s">
        <v>27</v>
      </c>
      <c r="T744" s="7">
        <v>8.8000000000000007</v>
      </c>
      <c r="U744" s="6">
        <f>IF(_xlfn.XLOOKUP(A744,[1]Data2!$A:$A,[1]Data2!$B:$B,"no")="yes",1,0)</f>
        <v>0</v>
      </c>
    </row>
    <row r="745" spans="1:21" s="6" customFormat="1" x14ac:dyDescent="0.3">
      <c r="A745" s="6" t="s">
        <v>783</v>
      </c>
      <c r="B745" s="6" t="s">
        <v>22</v>
      </c>
      <c r="C745" s="6" t="s">
        <v>23</v>
      </c>
      <c r="D745" s="6" t="s">
        <v>24</v>
      </c>
      <c r="E745" s="6" t="s">
        <v>35</v>
      </c>
      <c r="F745" s="6" t="s">
        <v>36</v>
      </c>
      <c r="G745" s="7">
        <f>Table2[[#This Row],[Unit price]]-10</f>
        <v>27.689999999999998</v>
      </c>
      <c r="H745" s="7">
        <v>37.69</v>
      </c>
      <c r="I745" s="8">
        <v>2</v>
      </c>
      <c r="J745" s="8">
        <f>Table2[[#This Row],[Unit price]]*Table2[[#This Row],[Quantity]]</f>
        <v>75.38</v>
      </c>
      <c r="K745" s="8">
        <f>Table2[[#This Row],[Unit Cost]]*Table2[[#This Row],[Quantity]]</f>
        <v>55.379999999999995</v>
      </c>
      <c r="L745" s="8">
        <f>Table2[[#This Row],[Gross Sales]]-Table2[[#This Row],[COGS]]</f>
        <v>20</v>
      </c>
      <c r="M745" s="9">
        <f t="shared" si="11"/>
        <v>0.26532236667551073</v>
      </c>
      <c r="N745" s="7">
        <v>3.7690000000000001</v>
      </c>
      <c r="O745" s="7">
        <v>79.149000000000001</v>
      </c>
      <c r="P745" s="10">
        <v>43516</v>
      </c>
      <c r="Q745" s="10" t="str">
        <f>TEXT(Table2[[#This Row],[Date]],"mmm")</f>
        <v>Feb</v>
      </c>
      <c r="R745" s="11">
        <v>0.64513888888888882</v>
      </c>
      <c r="S745" s="6" t="s">
        <v>27</v>
      </c>
      <c r="T745" s="7">
        <v>9.5</v>
      </c>
      <c r="U745" s="6">
        <f>IF(_xlfn.XLOOKUP(A745,[1]Data2!$A:$A,[1]Data2!$B:$B,"no")="yes",1,0)</f>
        <v>0</v>
      </c>
    </row>
    <row r="746" spans="1:21" s="6" customFormat="1" x14ac:dyDescent="0.3">
      <c r="A746" s="6" t="s">
        <v>784</v>
      </c>
      <c r="B746" s="6" t="s">
        <v>29</v>
      </c>
      <c r="C746" s="6" t="s">
        <v>30</v>
      </c>
      <c r="D746" s="6" t="s">
        <v>24</v>
      </c>
      <c r="E746" s="6" t="s">
        <v>25</v>
      </c>
      <c r="F746" s="6" t="s">
        <v>40</v>
      </c>
      <c r="G746" s="7">
        <f>Table2[[#This Row],[Unit price]]-10</f>
        <v>21.67</v>
      </c>
      <c r="H746" s="7">
        <v>31.67</v>
      </c>
      <c r="I746" s="8">
        <v>8</v>
      </c>
      <c r="J746" s="8">
        <f>Table2[[#This Row],[Unit price]]*Table2[[#This Row],[Quantity]]</f>
        <v>253.36</v>
      </c>
      <c r="K746" s="8">
        <f>Table2[[#This Row],[Unit Cost]]*Table2[[#This Row],[Quantity]]</f>
        <v>173.36</v>
      </c>
      <c r="L746" s="8">
        <f>Table2[[#This Row],[Gross Sales]]-Table2[[#This Row],[COGS]]</f>
        <v>80</v>
      </c>
      <c r="M746" s="9">
        <f t="shared" si="11"/>
        <v>0.31575623618566467</v>
      </c>
      <c r="N746" s="7">
        <v>12.667999999999999</v>
      </c>
      <c r="O746" s="7">
        <v>266.02800000000002</v>
      </c>
      <c r="P746" s="10">
        <v>43467</v>
      </c>
      <c r="Q746" s="10" t="str">
        <f>TEXT(Table2[[#This Row],[Date]],"mmm")</f>
        <v>Jan</v>
      </c>
      <c r="R746" s="11">
        <v>0.67986111111111114</v>
      </c>
      <c r="S746" s="6" t="s">
        <v>37</v>
      </c>
      <c r="T746" s="7">
        <v>5.6</v>
      </c>
      <c r="U746" s="6">
        <f>IF(_xlfn.XLOOKUP(A746,[1]Data2!$A:$A,[1]Data2!$B:$B,"no")="yes",1,0)</f>
        <v>1</v>
      </c>
    </row>
    <row r="747" spans="1:21" s="6" customFormat="1" x14ac:dyDescent="0.3">
      <c r="A747" s="6" t="s">
        <v>785</v>
      </c>
      <c r="B747" s="6" t="s">
        <v>29</v>
      </c>
      <c r="C747" s="6" t="s">
        <v>30</v>
      </c>
      <c r="D747" s="6" t="s">
        <v>24</v>
      </c>
      <c r="E747" s="6" t="s">
        <v>25</v>
      </c>
      <c r="F747" s="6" t="s">
        <v>48</v>
      </c>
      <c r="G747" s="7">
        <f>Table2[[#This Row],[Unit price]]-10</f>
        <v>28.42</v>
      </c>
      <c r="H747" s="7">
        <v>38.42</v>
      </c>
      <c r="I747" s="8">
        <v>1</v>
      </c>
      <c r="J747" s="8">
        <f>Table2[[#This Row],[Unit price]]*Table2[[#This Row],[Quantity]]</f>
        <v>38.42</v>
      </c>
      <c r="K747" s="8">
        <f>Table2[[#This Row],[Unit Cost]]*Table2[[#This Row],[Quantity]]</f>
        <v>28.42</v>
      </c>
      <c r="L747" s="8">
        <f>Table2[[#This Row],[Gross Sales]]-Table2[[#This Row],[COGS]]</f>
        <v>10</v>
      </c>
      <c r="M747" s="9">
        <f t="shared" si="11"/>
        <v>0.26028110359187923</v>
      </c>
      <c r="N747" s="7">
        <v>1.921</v>
      </c>
      <c r="O747" s="7">
        <v>40.341000000000001</v>
      </c>
      <c r="P747" s="10">
        <v>43498</v>
      </c>
      <c r="Q747" s="10" t="str">
        <f>TEXT(Table2[[#This Row],[Date]],"mmm")</f>
        <v>Feb</v>
      </c>
      <c r="R747" s="11">
        <v>0.68958333333333333</v>
      </c>
      <c r="S747" s="6" t="s">
        <v>33</v>
      </c>
      <c r="T747" s="7">
        <v>8.6</v>
      </c>
      <c r="U747" s="6">
        <f>IF(_xlfn.XLOOKUP(A747,[1]Data2!$A:$A,[1]Data2!$B:$B,"no")="yes",1,0)</f>
        <v>0</v>
      </c>
    </row>
    <row r="748" spans="1:21" s="6" customFormat="1" x14ac:dyDescent="0.3">
      <c r="A748" s="6" t="s">
        <v>786</v>
      </c>
      <c r="B748" s="6" t="s">
        <v>46</v>
      </c>
      <c r="C748" s="6" t="s">
        <v>47</v>
      </c>
      <c r="D748" s="6" t="s">
        <v>24</v>
      </c>
      <c r="E748" s="6" t="s">
        <v>35</v>
      </c>
      <c r="F748" s="6" t="s">
        <v>50</v>
      </c>
      <c r="G748" s="7">
        <f>Table2[[#This Row],[Unit price]]-10</f>
        <v>55.230000000000004</v>
      </c>
      <c r="H748" s="7">
        <v>65.23</v>
      </c>
      <c r="I748" s="8">
        <v>10</v>
      </c>
      <c r="J748" s="8">
        <f>Table2[[#This Row],[Unit price]]*Table2[[#This Row],[Quantity]]</f>
        <v>652.30000000000007</v>
      </c>
      <c r="K748" s="8">
        <f>Table2[[#This Row],[Unit Cost]]*Table2[[#This Row],[Quantity]]</f>
        <v>552.30000000000007</v>
      </c>
      <c r="L748" s="8">
        <f>Table2[[#This Row],[Gross Sales]]-Table2[[#This Row],[COGS]]</f>
        <v>100</v>
      </c>
      <c r="M748" s="9">
        <f t="shared" si="11"/>
        <v>0.15330369461904031</v>
      </c>
      <c r="N748" s="7">
        <v>32.615000000000002</v>
      </c>
      <c r="O748" s="7">
        <v>684.91499999999996</v>
      </c>
      <c r="P748" s="10">
        <v>43473</v>
      </c>
      <c r="Q748" s="10" t="str">
        <f>TEXT(Table2[[#This Row],[Date]],"mmm")</f>
        <v>Jan</v>
      </c>
      <c r="R748" s="11">
        <v>0.79652777777777783</v>
      </c>
      <c r="S748" s="6" t="s">
        <v>37</v>
      </c>
      <c r="T748" s="7">
        <v>5.2</v>
      </c>
      <c r="U748" s="6">
        <f>IF(_xlfn.XLOOKUP(A748,[1]Data2!$A:$A,[1]Data2!$B:$B,"no")="yes",1,0)</f>
        <v>0</v>
      </c>
    </row>
    <row r="749" spans="1:21" s="6" customFormat="1" x14ac:dyDescent="0.3">
      <c r="A749" s="6" t="s">
        <v>787</v>
      </c>
      <c r="B749" s="6" t="s">
        <v>29</v>
      </c>
      <c r="C749" s="6" t="s">
        <v>30</v>
      </c>
      <c r="D749" s="6" t="s">
        <v>24</v>
      </c>
      <c r="E749" s="6" t="s">
        <v>25</v>
      </c>
      <c r="F749" s="6" t="s">
        <v>36</v>
      </c>
      <c r="G749" s="7">
        <f>Table2[[#This Row],[Unit price]]-10</f>
        <v>0.52999999999999936</v>
      </c>
      <c r="H749" s="7">
        <v>10.53</v>
      </c>
      <c r="I749" s="8">
        <v>5</v>
      </c>
      <c r="J749" s="8">
        <f>Table2[[#This Row],[Unit price]]*Table2[[#This Row],[Quantity]]</f>
        <v>52.65</v>
      </c>
      <c r="K749" s="8">
        <f>Table2[[#This Row],[Unit Cost]]*Table2[[#This Row],[Quantity]]</f>
        <v>2.6499999999999968</v>
      </c>
      <c r="L749" s="8">
        <f>Table2[[#This Row],[Gross Sales]]-Table2[[#This Row],[COGS]]</f>
        <v>50</v>
      </c>
      <c r="M749" s="9">
        <f t="shared" si="11"/>
        <v>0.94966761633428298</v>
      </c>
      <c r="N749" s="7">
        <v>2.6324999999999998</v>
      </c>
      <c r="O749" s="7">
        <v>55.282499999999999</v>
      </c>
      <c r="P749" s="10">
        <v>43495</v>
      </c>
      <c r="Q749" s="10" t="str">
        <f>TEXT(Table2[[#This Row],[Date]],"mmm")</f>
        <v>Jan</v>
      </c>
      <c r="R749" s="11">
        <v>0.61319444444444449</v>
      </c>
      <c r="S749" s="6" t="s">
        <v>37</v>
      </c>
      <c r="T749" s="7">
        <v>5.8</v>
      </c>
      <c r="U749" s="6">
        <f>IF(_xlfn.XLOOKUP(A749,[1]Data2!$A:$A,[1]Data2!$B:$B,"no")="yes",1,0)</f>
        <v>0</v>
      </c>
    </row>
    <row r="750" spans="1:21" s="6" customFormat="1" x14ac:dyDescent="0.3">
      <c r="A750" s="6" t="s">
        <v>788</v>
      </c>
      <c r="B750" s="6" t="s">
        <v>46</v>
      </c>
      <c r="C750" s="6" t="s">
        <v>47</v>
      </c>
      <c r="D750" s="6" t="s">
        <v>24</v>
      </c>
      <c r="E750" s="6" t="s">
        <v>25</v>
      </c>
      <c r="F750" s="6" t="s">
        <v>36</v>
      </c>
      <c r="G750" s="7">
        <f>Table2[[#This Row],[Unit price]]-10</f>
        <v>2.2899999999999991</v>
      </c>
      <c r="H750" s="7">
        <v>12.29</v>
      </c>
      <c r="I750" s="8">
        <v>9</v>
      </c>
      <c r="J750" s="8">
        <f>Table2[[#This Row],[Unit price]]*Table2[[#This Row],[Quantity]]</f>
        <v>110.60999999999999</v>
      </c>
      <c r="K750" s="8">
        <f>Table2[[#This Row],[Unit Cost]]*Table2[[#This Row],[Quantity]]</f>
        <v>20.609999999999992</v>
      </c>
      <c r="L750" s="8">
        <f>Table2[[#This Row],[Gross Sales]]-Table2[[#This Row],[COGS]]</f>
        <v>90</v>
      </c>
      <c r="M750" s="9">
        <f t="shared" si="11"/>
        <v>0.8136696501220505</v>
      </c>
      <c r="N750" s="7">
        <v>5.5305</v>
      </c>
      <c r="O750" s="7">
        <v>116.1405</v>
      </c>
      <c r="P750" s="10">
        <v>43550</v>
      </c>
      <c r="Q750" s="10" t="str">
        <f>TEXT(Table2[[#This Row],[Date]],"mmm")</f>
        <v>Mar</v>
      </c>
      <c r="R750" s="11">
        <v>0.81111111111111101</v>
      </c>
      <c r="S750" s="6" t="s">
        <v>37</v>
      </c>
      <c r="T750" s="7">
        <v>8</v>
      </c>
      <c r="U750" s="6">
        <f>IF(_xlfn.XLOOKUP(A750,[1]Data2!$A:$A,[1]Data2!$B:$B,"no")="yes",1,0)</f>
        <v>1</v>
      </c>
    </row>
    <row r="751" spans="1:21" s="6" customFormat="1" x14ac:dyDescent="0.3">
      <c r="A751" s="6" t="s">
        <v>789</v>
      </c>
      <c r="B751" s="6" t="s">
        <v>29</v>
      </c>
      <c r="C751" s="6" t="s">
        <v>30</v>
      </c>
      <c r="D751" s="6" t="s">
        <v>24</v>
      </c>
      <c r="E751" s="6" t="s">
        <v>35</v>
      </c>
      <c r="F751" s="6" t="s">
        <v>26</v>
      </c>
      <c r="G751" s="7">
        <f>Table2[[#This Row],[Unit price]]-10</f>
        <v>71.23</v>
      </c>
      <c r="H751" s="7">
        <v>81.23</v>
      </c>
      <c r="I751" s="8">
        <v>7</v>
      </c>
      <c r="J751" s="8">
        <f>Table2[[#This Row],[Unit price]]*Table2[[#This Row],[Quantity]]</f>
        <v>568.61</v>
      </c>
      <c r="K751" s="8">
        <f>Table2[[#This Row],[Unit Cost]]*Table2[[#This Row],[Quantity]]</f>
        <v>498.61</v>
      </c>
      <c r="L751" s="8">
        <f>Table2[[#This Row],[Gross Sales]]-Table2[[#This Row],[COGS]]</f>
        <v>70</v>
      </c>
      <c r="M751" s="9">
        <f t="shared" si="11"/>
        <v>0.12310722639418933</v>
      </c>
      <c r="N751" s="7">
        <v>28.430499999999999</v>
      </c>
      <c r="O751" s="7">
        <v>597.04049999999995</v>
      </c>
      <c r="P751" s="10">
        <v>43480</v>
      </c>
      <c r="Q751" s="10" t="str">
        <f>TEXT(Table2[[#This Row],[Date]],"mmm")</f>
        <v>Jan</v>
      </c>
      <c r="R751" s="11">
        <v>0.86388888888888893</v>
      </c>
      <c r="S751" s="6" t="s">
        <v>33</v>
      </c>
      <c r="T751" s="7">
        <v>9</v>
      </c>
      <c r="U751" s="6">
        <f>IF(_xlfn.XLOOKUP(A751,[1]Data2!$A:$A,[1]Data2!$B:$B,"no")="yes",1,0)</f>
        <v>0</v>
      </c>
    </row>
    <row r="752" spans="1:21" s="6" customFormat="1" x14ac:dyDescent="0.3">
      <c r="A752" s="6" t="s">
        <v>790</v>
      </c>
      <c r="B752" s="6" t="s">
        <v>46</v>
      </c>
      <c r="C752" s="6" t="s">
        <v>47</v>
      </c>
      <c r="D752" s="6" t="s">
        <v>24</v>
      </c>
      <c r="E752" s="6" t="s">
        <v>25</v>
      </c>
      <c r="F752" s="6" t="s">
        <v>50</v>
      </c>
      <c r="G752" s="7">
        <f>Table2[[#This Row],[Unit price]]-10</f>
        <v>12.32</v>
      </c>
      <c r="H752" s="7">
        <v>22.32</v>
      </c>
      <c r="I752" s="8">
        <v>4</v>
      </c>
      <c r="J752" s="8">
        <f>Table2[[#This Row],[Unit price]]*Table2[[#This Row],[Quantity]]</f>
        <v>89.28</v>
      </c>
      <c r="K752" s="8">
        <f>Table2[[#This Row],[Unit Cost]]*Table2[[#This Row],[Quantity]]</f>
        <v>49.28</v>
      </c>
      <c r="L752" s="8">
        <f>Table2[[#This Row],[Gross Sales]]-Table2[[#This Row],[COGS]]</f>
        <v>40</v>
      </c>
      <c r="M752" s="9">
        <f t="shared" si="11"/>
        <v>0.44802867383512546</v>
      </c>
      <c r="N752" s="7">
        <v>4.4640000000000004</v>
      </c>
      <c r="O752" s="7">
        <v>93.744</v>
      </c>
      <c r="P752" s="10">
        <v>43538</v>
      </c>
      <c r="Q752" s="10" t="str">
        <f>TEXT(Table2[[#This Row],[Date]],"mmm")</f>
        <v>Mar</v>
      </c>
      <c r="R752" s="11">
        <v>0.4694444444444445</v>
      </c>
      <c r="S752" s="6" t="s">
        <v>27</v>
      </c>
      <c r="T752" s="7">
        <v>4.0999999999999996</v>
      </c>
      <c r="U752" s="6">
        <f>IF(_xlfn.XLOOKUP(A752,[1]Data2!$A:$A,[1]Data2!$B:$B,"no")="yes",1,0)</f>
        <v>0</v>
      </c>
    </row>
    <row r="753" spans="1:21" s="6" customFormat="1" x14ac:dyDescent="0.3">
      <c r="A753" s="6" t="s">
        <v>791</v>
      </c>
      <c r="B753" s="6" t="s">
        <v>22</v>
      </c>
      <c r="C753" s="6" t="s">
        <v>23</v>
      </c>
      <c r="D753" s="6" t="s">
        <v>31</v>
      </c>
      <c r="E753" s="6" t="s">
        <v>25</v>
      </c>
      <c r="F753" s="6" t="s">
        <v>48</v>
      </c>
      <c r="G753" s="7">
        <f>Table2[[#This Row],[Unit price]]-10</f>
        <v>17.28</v>
      </c>
      <c r="H753" s="7">
        <v>27.28</v>
      </c>
      <c r="I753" s="8">
        <v>5</v>
      </c>
      <c r="J753" s="8">
        <f>Table2[[#This Row],[Unit price]]*Table2[[#This Row],[Quantity]]</f>
        <v>136.4</v>
      </c>
      <c r="K753" s="8">
        <f>Table2[[#This Row],[Unit Cost]]*Table2[[#This Row],[Quantity]]</f>
        <v>86.4</v>
      </c>
      <c r="L753" s="8">
        <f>Table2[[#This Row],[Gross Sales]]-Table2[[#This Row],[COGS]]</f>
        <v>50</v>
      </c>
      <c r="M753" s="9">
        <f t="shared" si="11"/>
        <v>0.36656891495601174</v>
      </c>
      <c r="N753" s="7">
        <v>6.82</v>
      </c>
      <c r="O753" s="7">
        <v>143.22</v>
      </c>
      <c r="P753" s="10">
        <v>43499</v>
      </c>
      <c r="Q753" s="10" t="str">
        <f>TEXT(Table2[[#This Row],[Date]],"mmm")</f>
        <v>Feb</v>
      </c>
      <c r="R753" s="11">
        <v>0.4381944444444445</v>
      </c>
      <c r="S753" s="6" t="s">
        <v>37</v>
      </c>
      <c r="T753" s="7">
        <v>8.6</v>
      </c>
      <c r="U753" s="6">
        <f>IF(_xlfn.XLOOKUP(A753,[1]Data2!$A:$A,[1]Data2!$B:$B,"no")="yes",1,0)</f>
        <v>0</v>
      </c>
    </row>
    <row r="754" spans="1:21" s="6" customFormat="1" x14ac:dyDescent="0.3">
      <c r="A754" s="6" t="s">
        <v>792</v>
      </c>
      <c r="B754" s="6" t="s">
        <v>22</v>
      </c>
      <c r="C754" s="6" t="s">
        <v>23</v>
      </c>
      <c r="D754" s="6" t="s">
        <v>24</v>
      </c>
      <c r="E754" s="6" t="s">
        <v>25</v>
      </c>
      <c r="F754" s="6" t="s">
        <v>32</v>
      </c>
      <c r="G754" s="7">
        <f>Table2[[#This Row],[Unit price]]-10</f>
        <v>7.4200000000000017</v>
      </c>
      <c r="H754" s="7">
        <v>17.420000000000002</v>
      </c>
      <c r="I754" s="8">
        <v>10</v>
      </c>
      <c r="J754" s="8">
        <f>Table2[[#This Row],[Unit price]]*Table2[[#This Row],[Quantity]]</f>
        <v>174.20000000000002</v>
      </c>
      <c r="K754" s="8">
        <f>Table2[[#This Row],[Unit Cost]]*Table2[[#This Row],[Quantity]]</f>
        <v>74.200000000000017</v>
      </c>
      <c r="L754" s="8">
        <f>Table2[[#This Row],[Gross Sales]]-Table2[[#This Row],[COGS]]</f>
        <v>100</v>
      </c>
      <c r="M754" s="9">
        <f t="shared" si="11"/>
        <v>0.57405281285878296</v>
      </c>
      <c r="N754" s="7">
        <v>8.7100000000000009</v>
      </c>
      <c r="O754" s="7">
        <v>182.91</v>
      </c>
      <c r="P754" s="10">
        <v>43518</v>
      </c>
      <c r="Q754" s="10" t="str">
        <f>TEXT(Table2[[#This Row],[Date]],"mmm")</f>
        <v>Feb</v>
      </c>
      <c r="R754" s="11">
        <v>0.52083333333333337</v>
      </c>
      <c r="S754" s="6" t="s">
        <v>27</v>
      </c>
      <c r="T754" s="7">
        <v>7</v>
      </c>
      <c r="U754" s="6">
        <f>IF(_xlfn.XLOOKUP(A754,[1]Data2!$A:$A,[1]Data2!$B:$B,"no")="yes",1,0)</f>
        <v>1</v>
      </c>
    </row>
    <row r="755" spans="1:21" s="6" customFormat="1" x14ac:dyDescent="0.3">
      <c r="A755" s="6" t="s">
        <v>793</v>
      </c>
      <c r="B755" s="6" t="s">
        <v>46</v>
      </c>
      <c r="C755" s="6" t="s">
        <v>47</v>
      </c>
      <c r="D755" s="6" t="s">
        <v>31</v>
      </c>
      <c r="E755" s="6" t="s">
        <v>35</v>
      </c>
      <c r="F755" s="6" t="s">
        <v>36</v>
      </c>
      <c r="G755" s="7">
        <f>Table2[[#This Row],[Unit price]]-10</f>
        <v>63.28</v>
      </c>
      <c r="H755" s="7">
        <v>73.28</v>
      </c>
      <c r="I755" s="8">
        <v>5</v>
      </c>
      <c r="J755" s="8">
        <f>Table2[[#This Row],[Unit price]]*Table2[[#This Row],[Quantity]]</f>
        <v>366.4</v>
      </c>
      <c r="K755" s="8">
        <f>Table2[[#This Row],[Unit Cost]]*Table2[[#This Row],[Quantity]]</f>
        <v>316.39999999999998</v>
      </c>
      <c r="L755" s="8">
        <f>Table2[[#This Row],[Gross Sales]]-Table2[[#This Row],[COGS]]</f>
        <v>50</v>
      </c>
      <c r="M755" s="9">
        <f t="shared" si="11"/>
        <v>0.13646288209606988</v>
      </c>
      <c r="N755" s="7">
        <v>18.32</v>
      </c>
      <c r="O755" s="7">
        <v>384.72</v>
      </c>
      <c r="P755" s="10">
        <v>43489</v>
      </c>
      <c r="Q755" s="10" t="str">
        <f>TEXT(Table2[[#This Row],[Date]],"mmm")</f>
        <v>Jan</v>
      </c>
      <c r="R755" s="11">
        <v>0.62847222222222221</v>
      </c>
      <c r="S755" s="6" t="s">
        <v>27</v>
      </c>
      <c r="T755" s="7">
        <v>8.4</v>
      </c>
      <c r="U755" s="6">
        <f>IF(_xlfn.XLOOKUP(A755,[1]Data2!$A:$A,[1]Data2!$B:$B,"no")="yes",1,0)</f>
        <v>0</v>
      </c>
    </row>
    <row r="756" spans="1:21" s="6" customFormat="1" x14ac:dyDescent="0.3">
      <c r="A756" s="6" t="s">
        <v>794</v>
      </c>
      <c r="B756" s="6" t="s">
        <v>29</v>
      </c>
      <c r="C756" s="6" t="s">
        <v>30</v>
      </c>
      <c r="D756" s="6" t="s">
        <v>24</v>
      </c>
      <c r="E756" s="6" t="s">
        <v>25</v>
      </c>
      <c r="F756" s="6" t="s">
        <v>50</v>
      </c>
      <c r="G756" s="7">
        <f>Table2[[#This Row],[Unit price]]-10</f>
        <v>74.87</v>
      </c>
      <c r="H756" s="7">
        <v>84.87</v>
      </c>
      <c r="I756" s="8">
        <v>3</v>
      </c>
      <c r="J756" s="8">
        <f>Table2[[#This Row],[Unit price]]*Table2[[#This Row],[Quantity]]</f>
        <v>254.61</v>
      </c>
      <c r="K756" s="8">
        <f>Table2[[#This Row],[Unit Cost]]*Table2[[#This Row],[Quantity]]</f>
        <v>224.61</v>
      </c>
      <c r="L756" s="8">
        <f>Table2[[#This Row],[Gross Sales]]-Table2[[#This Row],[COGS]]</f>
        <v>30</v>
      </c>
      <c r="M756" s="9">
        <f t="shared" si="11"/>
        <v>0.11782726522917403</v>
      </c>
      <c r="N756" s="7">
        <v>12.730499999999999</v>
      </c>
      <c r="O756" s="7">
        <v>267.34050000000002</v>
      </c>
      <c r="P756" s="10">
        <v>43490</v>
      </c>
      <c r="Q756" s="10" t="str">
        <f>TEXT(Table2[[#This Row],[Date]],"mmm")</f>
        <v>Jan</v>
      </c>
      <c r="R756" s="11">
        <v>0.77083333333333337</v>
      </c>
      <c r="S756" s="6" t="s">
        <v>27</v>
      </c>
      <c r="T756" s="7">
        <v>7.4</v>
      </c>
      <c r="U756" s="6">
        <f>IF(_xlfn.XLOOKUP(A756,[1]Data2!$A:$A,[1]Data2!$B:$B,"no")="yes",1,0)</f>
        <v>0</v>
      </c>
    </row>
    <row r="757" spans="1:21" s="6" customFormat="1" x14ac:dyDescent="0.3">
      <c r="A757" s="6" t="s">
        <v>795</v>
      </c>
      <c r="B757" s="6" t="s">
        <v>22</v>
      </c>
      <c r="C757" s="6" t="s">
        <v>23</v>
      </c>
      <c r="D757" s="6" t="s">
        <v>31</v>
      </c>
      <c r="E757" s="6" t="s">
        <v>25</v>
      </c>
      <c r="F757" s="6" t="s">
        <v>50</v>
      </c>
      <c r="G757" s="7">
        <f>Table2[[#This Row],[Unit price]]-10</f>
        <v>87.29</v>
      </c>
      <c r="H757" s="7">
        <v>97.29</v>
      </c>
      <c r="I757" s="8">
        <v>8</v>
      </c>
      <c r="J757" s="8">
        <f>Table2[[#This Row],[Unit price]]*Table2[[#This Row],[Quantity]]</f>
        <v>778.32</v>
      </c>
      <c r="K757" s="8">
        <f>Table2[[#This Row],[Unit Cost]]*Table2[[#This Row],[Quantity]]</f>
        <v>698.32</v>
      </c>
      <c r="L757" s="8">
        <f>Table2[[#This Row],[Gross Sales]]-Table2[[#This Row],[COGS]]</f>
        <v>80</v>
      </c>
      <c r="M757" s="9">
        <f t="shared" si="11"/>
        <v>0.10278548668927946</v>
      </c>
      <c r="N757" s="7">
        <v>38.915999999999997</v>
      </c>
      <c r="O757" s="7">
        <v>817.23599999999999</v>
      </c>
      <c r="P757" s="10">
        <v>43533</v>
      </c>
      <c r="Q757" s="10" t="str">
        <f>TEXT(Table2[[#This Row],[Date]],"mmm")</f>
        <v>Mar</v>
      </c>
      <c r="R757" s="11">
        <v>0.5541666666666667</v>
      </c>
      <c r="S757" s="6" t="s">
        <v>37</v>
      </c>
      <c r="T757" s="7">
        <v>6.2</v>
      </c>
      <c r="U757" s="6">
        <f>IF(_xlfn.XLOOKUP(A757,[1]Data2!$A:$A,[1]Data2!$B:$B,"no")="yes",1,0)</f>
        <v>0</v>
      </c>
    </row>
    <row r="758" spans="1:21" s="6" customFormat="1" x14ac:dyDescent="0.3">
      <c r="A758" s="6" t="s">
        <v>796</v>
      </c>
      <c r="B758" s="6" t="s">
        <v>46</v>
      </c>
      <c r="C758" s="6" t="s">
        <v>47</v>
      </c>
      <c r="D758" s="6" t="s">
        <v>24</v>
      </c>
      <c r="E758" s="6" t="s">
        <v>25</v>
      </c>
      <c r="F758" s="6" t="s">
        <v>32</v>
      </c>
      <c r="G758" s="7">
        <f>Table2[[#This Row],[Unit price]]-10</f>
        <v>25.740000000000002</v>
      </c>
      <c r="H758" s="7">
        <v>35.74</v>
      </c>
      <c r="I758" s="8">
        <v>8</v>
      </c>
      <c r="J758" s="8">
        <f>Table2[[#This Row],[Unit price]]*Table2[[#This Row],[Quantity]]</f>
        <v>285.92</v>
      </c>
      <c r="K758" s="8">
        <f>Table2[[#This Row],[Unit Cost]]*Table2[[#This Row],[Quantity]]</f>
        <v>205.92000000000002</v>
      </c>
      <c r="L758" s="8">
        <f>Table2[[#This Row],[Gross Sales]]-Table2[[#This Row],[COGS]]</f>
        <v>80</v>
      </c>
      <c r="M758" s="9">
        <f t="shared" si="11"/>
        <v>0.27979854504756574</v>
      </c>
      <c r="N758" s="7">
        <v>14.295999999999999</v>
      </c>
      <c r="O758" s="7">
        <v>300.21600000000001</v>
      </c>
      <c r="P758" s="10">
        <v>43513</v>
      </c>
      <c r="Q758" s="10" t="str">
        <f>TEXT(Table2[[#This Row],[Date]],"mmm")</f>
        <v>Feb</v>
      </c>
      <c r="R758" s="11">
        <v>0.64444444444444449</v>
      </c>
      <c r="S758" s="6" t="s">
        <v>27</v>
      </c>
      <c r="T758" s="7">
        <v>4.9000000000000004</v>
      </c>
      <c r="U758" s="6">
        <f>IF(_xlfn.XLOOKUP(A758,[1]Data2!$A:$A,[1]Data2!$B:$B,"no")="yes",1,0)</f>
        <v>1</v>
      </c>
    </row>
    <row r="759" spans="1:21" s="6" customFormat="1" x14ac:dyDescent="0.3">
      <c r="A759" s="6" t="s">
        <v>797</v>
      </c>
      <c r="B759" s="6" t="s">
        <v>22</v>
      </c>
      <c r="C759" s="6" t="s">
        <v>23</v>
      </c>
      <c r="D759" s="6" t="s">
        <v>31</v>
      </c>
      <c r="E759" s="6" t="s">
        <v>25</v>
      </c>
      <c r="F759" s="6" t="s">
        <v>36</v>
      </c>
      <c r="G759" s="7">
        <f>Table2[[#This Row],[Unit price]]-10</f>
        <v>86.52</v>
      </c>
      <c r="H759" s="7">
        <v>96.52</v>
      </c>
      <c r="I759" s="8">
        <v>6</v>
      </c>
      <c r="J759" s="8">
        <f>Table2[[#This Row],[Unit price]]*Table2[[#This Row],[Quantity]]</f>
        <v>579.12</v>
      </c>
      <c r="K759" s="8">
        <f>Table2[[#This Row],[Unit Cost]]*Table2[[#This Row],[Quantity]]</f>
        <v>519.12</v>
      </c>
      <c r="L759" s="8">
        <f>Table2[[#This Row],[Gross Sales]]-Table2[[#This Row],[COGS]]</f>
        <v>60</v>
      </c>
      <c r="M759" s="9">
        <f t="shared" si="11"/>
        <v>0.10360547036883547</v>
      </c>
      <c r="N759" s="7">
        <v>28.956</v>
      </c>
      <c r="O759" s="7">
        <v>608.07600000000002</v>
      </c>
      <c r="P759" s="10">
        <v>43476</v>
      </c>
      <c r="Q759" s="10" t="str">
        <f>TEXT(Table2[[#This Row],[Date]],"mmm")</f>
        <v>Jan</v>
      </c>
      <c r="R759" s="11">
        <v>0.49444444444444446</v>
      </c>
      <c r="S759" s="6" t="s">
        <v>33</v>
      </c>
      <c r="T759" s="7">
        <v>4.5</v>
      </c>
      <c r="U759" s="6">
        <f>IF(_xlfn.XLOOKUP(A759,[1]Data2!$A:$A,[1]Data2!$B:$B,"no")="yes",1,0)</f>
        <v>0</v>
      </c>
    </row>
    <row r="760" spans="1:21" s="6" customFormat="1" x14ac:dyDescent="0.3">
      <c r="A760" s="6" t="s">
        <v>798</v>
      </c>
      <c r="B760" s="6" t="s">
        <v>22</v>
      </c>
      <c r="C760" s="6" t="s">
        <v>23</v>
      </c>
      <c r="D760" s="6" t="s">
        <v>24</v>
      </c>
      <c r="E760" s="6" t="s">
        <v>35</v>
      </c>
      <c r="F760" s="6" t="s">
        <v>48</v>
      </c>
      <c r="G760" s="7">
        <f>Table2[[#This Row],[Unit price]]-10</f>
        <v>8.8500000000000014</v>
      </c>
      <c r="H760" s="7">
        <v>18.850000000000001</v>
      </c>
      <c r="I760" s="8">
        <v>10</v>
      </c>
      <c r="J760" s="8">
        <f>Table2[[#This Row],[Unit price]]*Table2[[#This Row],[Quantity]]</f>
        <v>188.5</v>
      </c>
      <c r="K760" s="8">
        <f>Table2[[#This Row],[Unit Cost]]*Table2[[#This Row],[Quantity]]</f>
        <v>88.500000000000014</v>
      </c>
      <c r="L760" s="8">
        <f>Table2[[#This Row],[Gross Sales]]-Table2[[#This Row],[COGS]]</f>
        <v>99.999999999999986</v>
      </c>
      <c r="M760" s="9">
        <f t="shared" si="11"/>
        <v>0.53050397877984079</v>
      </c>
      <c r="N760" s="7">
        <v>9.4250000000000007</v>
      </c>
      <c r="O760" s="7">
        <v>197.92500000000001</v>
      </c>
      <c r="P760" s="10">
        <v>43523</v>
      </c>
      <c r="Q760" s="10" t="str">
        <f>TEXT(Table2[[#This Row],[Date]],"mmm")</f>
        <v>Feb</v>
      </c>
      <c r="R760" s="11">
        <v>0.76666666666666661</v>
      </c>
      <c r="S760" s="6" t="s">
        <v>27</v>
      </c>
      <c r="T760" s="7">
        <v>5.6</v>
      </c>
      <c r="U760" s="6">
        <f>IF(_xlfn.XLOOKUP(A760,[1]Data2!$A:$A,[1]Data2!$B:$B,"no")="yes",1,0)</f>
        <v>0</v>
      </c>
    </row>
    <row r="761" spans="1:21" s="6" customFormat="1" x14ac:dyDescent="0.3">
      <c r="A761" s="6" t="s">
        <v>799</v>
      </c>
      <c r="B761" s="6" t="s">
        <v>22</v>
      </c>
      <c r="C761" s="6" t="s">
        <v>23</v>
      </c>
      <c r="D761" s="6" t="s">
        <v>31</v>
      </c>
      <c r="E761" s="6" t="s">
        <v>25</v>
      </c>
      <c r="F761" s="6" t="s">
        <v>48</v>
      </c>
      <c r="G761" s="7">
        <f>Table2[[#This Row],[Unit price]]-10</f>
        <v>45.39</v>
      </c>
      <c r="H761" s="7">
        <v>55.39</v>
      </c>
      <c r="I761" s="8">
        <v>4</v>
      </c>
      <c r="J761" s="8">
        <f>Table2[[#This Row],[Unit price]]*Table2[[#This Row],[Quantity]]</f>
        <v>221.56</v>
      </c>
      <c r="K761" s="8">
        <f>Table2[[#This Row],[Unit Cost]]*Table2[[#This Row],[Quantity]]</f>
        <v>181.56</v>
      </c>
      <c r="L761" s="8">
        <f>Table2[[#This Row],[Gross Sales]]-Table2[[#This Row],[COGS]]</f>
        <v>40</v>
      </c>
      <c r="M761" s="9">
        <f t="shared" si="11"/>
        <v>0.18053800324968405</v>
      </c>
      <c r="N761" s="7">
        <v>11.077999999999999</v>
      </c>
      <c r="O761" s="7">
        <v>232.63800000000001</v>
      </c>
      <c r="P761" s="10">
        <v>43549</v>
      </c>
      <c r="Q761" s="10" t="str">
        <f>TEXT(Table2[[#This Row],[Date]],"mmm")</f>
        <v>Mar</v>
      </c>
      <c r="R761" s="11">
        <v>0.6381944444444444</v>
      </c>
      <c r="S761" s="6" t="s">
        <v>27</v>
      </c>
      <c r="T761" s="7">
        <v>8</v>
      </c>
      <c r="U761" s="6">
        <f>IF(_xlfn.XLOOKUP(A761,[1]Data2!$A:$A,[1]Data2!$B:$B,"no")="yes",1,0)</f>
        <v>0</v>
      </c>
    </row>
    <row r="762" spans="1:21" s="6" customFormat="1" x14ac:dyDescent="0.3">
      <c r="A762" s="6" t="s">
        <v>800</v>
      </c>
      <c r="B762" s="6" t="s">
        <v>46</v>
      </c>
      <c r="C762" s="6" t="s">
        <v>47</v>
      </c>
      <c r="D762" s="6" t="s">
        <v>24</v>
      </c>
      <c r="E762" s="6" t="s">
        <v>25</v>
      </c>
      <c r="F762" s="6" t="s">
        <v>48</v>
      </c>
      <c r="G762" s="7">
        <f>Table2[[#This Row],[Unit price]]-10</f>
        <v>67.2</v>
      </c>
      <c r="H762" s="7">
        <v>77.2</v>
      </c>
      <c r="I762" s="8">
        <v>10</v>
      </c>
      <c r="J762" s="8">
        <f>Table2[[#This Row],[Unit price]]*Table2[[#This Row],[Quantity]]</f>
        <v>772</v>
      </c>
      <c r="K762" s="8">
        <f>Table2[[#This Row],[Unit Cost]]*Table2[[#This Row],[Quantity]]</f>
        <v>672</v>
      </c>
      <c r="L762" s="8">
        <f>Table2[[#This Row],[Gross Sales]]-Table2[[#This Row],[COGS]]</f>
        <v>100</v>
      </c>
      <c r="M762" s="9">
        <f t="shared" si="11"/>
        <v>0.12953367875647667</v>
      </c>
      <c r="N762" s="7">
        <v>38.6</v>
      </c>
      <c r="O762" s="7">
        <v>810.6</v>
      </c>
      <c r="P762" s="10">
        <v>43507</v>
      </c>
      <c r="Q762" s="10" t="str">
        <f>TEXT(Table2[[#This Row],[Date]],"mmm")</f>
        <v>Feb</v>
      </c>
      <c r="R762" s="11">
        <v>0.44305555555555554</v>
      </c>
      <c r="S762" s="6" t="s">
        <v>37</v>
      </c>
      <c r="T762" s="7">
        <v>5.6</v>
      </c>
      <c r="U762" s="6">
        <f>IF(_xlfn.XLOOKUP(A762,[1]Data2!$A:$A,[1]Data2!$B:$B,"no")="yes",1,0)</f>
        <v>1</v>
      </c>
    </row>
    <row r="763" spans="1:21" s="6" customFormat="1" x14ac:dyDescent="0.3">
      <c r="A763" s="6" t="s">
        <v>801</v>
      </c>
      <c r="B763" s="6" t="s">
        <v>46</v>
      </c>
      <c r="C763" s="6" t="s">
        <v>47</v>
      </c>
      <c r="D763" s="6" t="s">
        <v>31</v>
      </c>
      <c r="E763" s="6" t="s">
        <v>35</v>
      </c>
      <c r="F763" s="6" t="s">
        <v>32</v>
      </c>
      <c r="G763" s="7">
        <f>Table2[[#This Row],[Unit price]]-10</f>
        <v>62.129999999999995</v>
      </c>
      <c r="H763" s="7">
        <v>72.13</v>
      </c>
      <c r="I763" s="8">
        <v>10</v>
      </c>
      <c r="J763" s="8">
        <f>Table2[[#This Row],[Unit price]]*Table2[[#This Row],[Quantity]]</f>
        <v>721.3</v>
      </c>
      <c r="K763" s="8">
        <f>Table2[[#This Row],[Unit Cost]]*Table2[[#This Row],[Quantity]]</f>
        <v>621.29999999999995</v>
      </c>
      <c r="L763" s="8">
        <f>Table2[[#This Row],[Gross Sales]]-Table2[[#This Row],[COGS]]</f>
        <v>100</v>
      </c>
      <c r="M763" s="9">
        <f t="shared" si="11"/>
        <v>0.13863856924996534</v>
      </c>
      <c r="N763" s="7">
        <v>36.064999999999998</v>
      </c>
      <c r="O763" s="7">
        <v>757.36500000000001</v>
      </c>
      <c r="P763" s="10">
        <v>43496</v>
      </c>
      <c r="Q763" s="10" t="str">
        <f>TEXT(Table2[[#This Row],[Date]],"mmm")</f>
        <v>Jan</v>
      </c>
      <c r="R763" s="11">
        <v>0.6333333333333333</v>
      </c>
      <c r="S763" s="6" t="s">
        <v>37</v>
      </c>
      <c r="T763" s="7">
        <v>4.2</v>
      </c>
      <c r="U763" s="6">
        <f>IF(_xlfn.XLOOKUP(A763,[1]Data2!$A:$A,[1]Data2!$B:$B,"no")="yes",1,0)</f>
        <v>0</v>
      </c>
    </row>
    <row r="764" spans="1:21" s="6" customFormat="1" x14ac:dyDescent="0.3">
      <c r="A764" s="6" t="s">
        <v>802</v>
      </c>
      <c r="B764" s="6" t="s">
        <v>22</v>
      </c>
      <c r="C764" s="6" t="s">
        <v>23</v>
      </c>
      <c r="D764" s="6" t="s">
        <v>24</v>
      </c>
      <c r="E764" s="6" t="s">
        <v>25</v>
      </c>
      <c r="F764" s="6" t="s">
        <v>50</v>
      </c>
      <c r="G764" s="7">
        <f>Table2[[#This Row],[Unit price]]-10</f>
        <v>53.88</v>
      </c>
      <c r="H764" s="7">
        <v>63.88</v>
      </c>
      <c r="I764" s="8">
        <v>8</v>
      </c>
      <c r="J764" s="8">
        <f>Table2[[#This Row],[Unit price]]*Table2[[#This Row],[Quantity]]</f>
        <v>511.04</v>
      </c>
      <c r="K764" s="8">
        <f>Table2[[#This Row],[Unit Cost]]*Table2[[#This Row],[Quantity]]</f>
        <v>431.04</v>
      </c>
      <c r="L764" s="8">
        <f>Table2[[#This Row],[Gross Sales]]-Table2[[#This Row],[COGS]]</f>
        <v>80</v>
      </c>
      <c r="M764" s="9">
        <f t="shared" si="11"/>
        <v>0.15654351909830932</v>
      </c>
      <c r="N764" s="7">
        <v>25.552</v>
      </c>
      <c r="O764" s="7">
        <v>536.59199999999998</v>
      </c>
      <c r="P764" s="10">
        <v>43485</v>
      </c>
      <c r="Q764" s="10" t="str">
        <f>TEXT(Table2[[#This Row],[Date]],"mmm")</f>
        <v>Jan</v>
      </c>
      <c r="R764" s="11">
        <v>0.7416666666666667</v>
      </c>
      <c r="S764" s="6" t="s">
        <v>27</v>
      </c>
      <c r="T764" s="7">
        <v>9.9</v>
      </c>
      <c r="U764" s="6">
        <f>IF(_xlfn.XLOOKUP(A764,[1]Data2!$A:$A,[1]Data2!$B:$B,"no")="yes",1,0)</f>
        <v>0</v>
      </c>
    </row>
    <row r="765" spans="1:21" s="6" customFormat="1" x14ac:dyDescent="0.3">
      <c r="A765" s="6" t="s">
        <v>803</v>
      </c>
      <c r="B765" s="6" t="s">
        <v>22</v>
      </c>
      <c r="C765" s="6" t="s">
        <v>23</v>
      </c>
      <c r="D765" s="6" t="s">
        <v>24</v>
      </c>
      <c r="E765" s="6" t="s">
        <v>25</v>
      </c>
      <c r="F765" s="6" t="s">
        <v>26</v>
      </c>
      <c r="G765" s="7">
        <f>Table2[[#This Row],[Unit price]]-10</f>
        <v>0.6899999999999995</v>
      </c>
      <c r="H765" s="7">
        <v>10.69</v>
      </c>
      <c r="I765" s="8">
        <v>5</v>
      </c>
      <c r="J765" s="8">
        <f>Table2[[#This Row],[Unit price]]*Table2[[#This Row],[Quantity]]</f>
        <v>53.449999999999996</v>
      </c>
      <c r="K765" s="8">
        <f>Table2[[#This Row],[Unit Cost]]*Table2[[#This Row],[Quantity]]</f>
        <v>3.4499999999999975</v>
      </c>
      <c r="L765" s="8">
        <f>Table2[[#This Row],[Gross Sales]]-Table2[[#This Row],[COGS]]</f>
        <v>50</v>
      </c>
      <c r="M765" s="9">
        <f t="shared" si="11"/>
        <v>0.93545369504209552</v>
      </c>
      <c r="N765" s="7">
        <v>2.6724999999999999</v>
      </c>
      <c r="O765" s="7">
        <v>56.122500000000002</v>
      </c>
      <c r="P765" s="10">
        <v>43550</v>
      </c>
      <c r="Q765" s="10" t="str">
        <f>TEXT(Table2[[#This Row],[Date]],"mmm")</f>
        <v>Mar</v>
      </c>
      <c r="R765" s="11">
        <v>0.46319444444444446</v>
      </c>
      <c r="S765" s="6" t="s">
        <v>27</v>
      </c>
      <c r="T765" s="7">
        <v>7.6</v>
      </c>
      <c r="U765" s="6">
        <f>IF(_xlfn.XLOOKUP(A765,[1]Data2!$A:$A,[1]Data2!$B:$B,"no")="yes",1,0)</f>
        <v>0</v>
      </c>
    </row>
    <row r="766" spans="1:21" s="6" customFormat="1" x14ac:dyDescent="0.3">
      <c r="A766" s="6" t="s">
        <v>804</v>
      </c>
      <c r="B766" s="6" t="s">
        <v>22</v>
      </c>
      <c r="C766" s="6" t="s">
        <v>23</v>
      </c>
      <c r="D766" s="6" t="s">
        <v>24</v>
      </c>
      <c r="E766" s="6" t="s">
        <v>35</v>
      </c>
      <c r="F766" s="6" t="s">
        <v>26</v>
      </c>
      <c r="G766" s="7">
        <f>Table2[[#This Row],[Unit price]]-10</f>
        <v>45.5</v>
      </c>
      <c r="H766" s="7">
        <v>55.5</v>
      </c>
      <c r="I766" s="8">
        <v>4</v>
      </c>
      <c r="J766" s="8">
        <f>Table2[[#This Row],[Unit price]]*Table2[[#This Row],[Quantity]]</f>
        <v>222</v>
      </c>
      <c r="K766" s="8">
        <f>Table2[[#This Row],[Unit Cost]]*Table2[[#This Row],[Quantity]]</f>
        <v>182</v>
      </c>
      <c r="L766" s="8">
        <f>Table2[[#This Row],[Gross Sales]]-Table2[[#This Row],[COGS]]</f>
        <v>40</v>
      </c>
      <c r="M766" s="9">
        <f t="shared" si="11"/>
        <v>0.18018018018018017</v>
      </c>
      <c r="N766" s="7">
        <v>11.1</v>
      </c>
      <c r="O766" s="7">
        <v>233.1</v>
      </c>
      <c r="P766" s="10">
        <v>43485</v>
      </c>
      <c r="Q766" s="10" t="str">
        <f>TEXT(Table2[[#This Row],[Date]],"mmm")</f>
        <v>Jan</v>
      </c>
      <c r="R766" s="11">
        <v>0.65833333333333333</v>
      </c>
      <c r="S766" s="6" t="s">
        <v>37</v>
      </c>
      <c r="T766" s="7">
        <v>6.6</v>
      </c>
      <c r="U766" s="6">
        <f>IF(_xlfn.XLOOKUP(A766,[1]Data2!$A:$A,[1]Data2!$B:$B,"no")="yes",1,0)</f>
        <v>1</v>
      </c>
    </row>
    <row r="767" spans="1:21" s="6" customFormat="1" x14ac:dyDescent="0.3">
      <c r="A767" s="6" t="s">
        <v>805</v>
      </c>
      <c r="B767" s="6" t="s">
        <v>46</v>
      </c>
      <c r="C767" s="6" t="s">
        <v>47</v>
      </c>
      <c r="D767" s="6" t="s">
        <v>31</v>
      </c>
      <c r="E767" s="6" t="s">
        <v>25</v>
      </c>
      <c r="F767" s="6" t="s">
        <v>36</v>
      </c>
      <c r="G767" s="7">
        <f>Table2[[#This Row],[Unit price]]-10</f>
        <v>85.46</v>
      </c>
      <c r="H767" s="7">
        <v>95.46</v>
      </c>
      <c r="I767" s="8">
        <v>8</v>
      </c>
      <c r="J767" s="8">
        <f>Table2[[#This Row],[Unit price]]*Table2[[#This Row],[Quantity]]</f>
        <v>763.68</v>
      </c>
      <c r="K767" s="8">
        <f>Table2[[#This Row],[Unit Cost]]*Table2[[#This Row],[Quantity]]</f>
        <v>683.68</v>
      </c>
      <c r="L767" s="8">
        <f>Table2[[#This Row],[Gross Sales]]-Table2[[#This Row],[COGS]]</f>
        <v>80</v>
      </c>
      <c r="M767" s="9">
        <f t="shared" si="11"/>
        <v>0.10475591870940709</v>
      </c>
      <c r="N767" s="7">
        <v>38.183999999999997</v>
      </c>
      <c r="O767" s="7">
        <v>801.86400000000003</v>
      </c>
      <c r="P767" s="10">
        <v>43529</v>
      </c>
      <c r="Q767" s="10" t="str">
        <f>TEXT(Table2[[#This Row],[Date]],"mmm")</f>
        <v>Mar</v>
      </c>
      <c r="R767" s="11">
        <v>0.81944444444444453</v>
      </c>
      <c r="S767" s="6" t="s">
        <v>27</v>
      </c>
      <c r="T767" s="7">
        <v>4.7</v>
      </c>
      <c r="U767" s="6">
        <f>IF(_xlfn.XLOOKUP(A767,[1]Data2!$A:$A,[1]Data2!$B:$B,"no")="yes",1,0)</f>
        <v>0</v>
      </c>
    </row>
    <row r="768" spans="1:21" s="6" customFormat="1" x14ac:dyDescent="0.3">
      <c r="A768" s="6" t="s">
        <v>806</v>
      </c>
      <c r="B768" s="6" t="s">
        <v>29</v>
      </c>
      <c r="C768" s="6" t="s">
        <v>30</v>
      </c>
      <c r="D768" s="6" t="s">
        <v>31</v>
      </c>
      <c r="E768" s="6" t="s">
        <v>25</v>
      </c>
      <c r="F768" s="6" t="s">
        <v>50</v>
      </c>
      <c r="G768" s="7">
        <f>Table2[[#This Row],[Unit price]]-10</f>
        <v>66.06</v>
      </c>
      <c r="H768" s="7">
        <v>76.06</v>
      </c>
      <c r="I768" s="8">
        <v>3</v>
      </c>
      <c r="J768" s="8">
        <f>Table2[[#This Row],[Unit price]]*Table2[[#This Row],[Quantity]]</f>
        <v>228.18</v>
      </c>
      <c r="K768" s="8">
        <f>Table2[[#This Row],[Unit Cost]]*Table2[[#This Row],[Quantity]]</f>
        <v>198.18</v>
      </c>
      <c r="L768" s="8">
        <f>Table2[[#This Row],[Gross Sales]]-Table2[[#This Row],[COGS]]</f>
        <v>30</v>
      </c>
      <c r="M768" s="9">
        <f t="shared" si="11"/>
        <v>0.13147515119642386</v>
      </c>
      <c r="N768" s="7">
        <v>11.409000000000001</v>
      </c>
      <c r="O768" s="7">
        <v>239.589</v>
      </c>
      <c r="P768" s="10">
        <v>43470</v>
      </c>
      <c r="Q768" s="10" t="str">
        <f>TEXT(Table2[[#This Row],[Date]],"mmm")</f>
        <v>Jan</v>
      </c>
      <c r="R768" s="11">
        <v>0.85416666666666663</v>
      </c>
      <c r="S768" s="6" t="s">
        <v>37</v>
      </c>
      <c r="T768" s="7">
        <v>9.8000000000000007</v>
      </c>
      <c r="U768" s="6">
        <f>IF(_xlfn.XLOOKUP(A768,[1]Data2!$A:$A,[1]Data2!$B:$B,"no")="yes",1,0)</f>
        <v>0</v>
      </c>
    </row>
    <row r="769" spans="1:21" s="6" customFormat="1" x14ac:dyDescent="0.3">
      <c r="A769" s="6" t="s">
        <v>807</v>
      </c>
      <c r="B769" s="6" t="s">
        <v>46</v>
      </c>
      <c r="C769" s="6" t="s">
        <v>47</v>
      </c>
      <c r="D769" s="6" t="s">
        <v>31</v>
      </c>
      <c r="E769" s="6" t="s">
        <v>35</v>
      </c>
      <c r="F769" s="6" t="s">
        <v>40</v>
      </c>
      <c r="G769" s="7">
        <f>Table2[[#This Row],[Unit price]]-10</f>
        <v>3.6899999999999995</v>
      </c>
      <c r="H769" s="7">
        <v>13.69</v>
      </c>
      <c r="I769" s="8">
        <v>6</v>
      </c>
      <c r="J769" s="8">
        <f>Table2[[#This Row],[Unit price]]*Table2[[#This Row],[Quantity]]</f>
        <v>82.14</v>
      </c>
      <c r="K769" s="8">
        <f>Table2[[#This Row],[Unit Cost]]*Table2[[#This Row],[Quantity]]</f>
        <v>22.139999999999997</v>
      </c>
      <c r="L769" s="8">
        <f>Table2[[#This Row],[Gross Sales]]-Table2[[#This Row],[COGS]]</f>
        <v>60</v>
      </c>
      <c r="M769" s="9">
        <f t="shared" si="11"/>
        <v>0.73046018991964934</v>
      </c>
      <c r="N769" s="7">
        <v>4.1070000000000002</v>
      </c>
      <c r="O769" s="7">
        <v>86.247</v>
      </c>
      <c r="P769" s="10">
        <v>43509</v>
      </c>
      <c r="Q769" s="10" t="str">
        <f>TEXT(Table2[[#This Row],[Date]],"mmm")</f>
        <v>Feb</v>
      </c>
      <c r="R769" s="11">
        <v>0.58263888888888882</v>
      </c>
      <c r="S769" s="6" t="s">
        <v>33</v>
      </c>
      <c r="T769" s="7">
        <v>6.3</v>
      </c>
      <c r="U769" s="6">
        <f>IF(_xlfn.XLOOKUP(A769,[1]Data2!$A:$A,[1]Data2!$B:$B,"no")="yes",1,0)</f>
        <v>0</v>
      </c>
    </row>
    <row r="770" spans="1:21" s="6" customFormat="1" x14ac:dyDescent="0.3">
      <c r="A770" s="6" t="s">
        <v>808</v>
      </c>
      <c r="B770" s="6" t="s">
        <v>46</v>
      </c>
      <c r="C770" s="6" t="s">
        <v>47</v>
      </c>
      <c r="D770" s="6" t="s">
        <v>31</v>
      </c>
      <c r="E770" s="6" t="s">
        <v>25</v>
      </c>
      <c r="F770" s="6" t="s">
        <v>32</v>
      </c>
      <c r="G770" s="7">
        <f>Table2[[#This Row],[Unit price]]-10</f>
        <v>85.64</v>
      </c>
      <c r="H770" s="7">
        <v>95.64</v>
      </c>
      <c r="I770" s="8">
        <v>4</v>
      </c>
      <c r="J770" s="8">
        <f>Table2[[#This Row],[Unit price]]*Table2[[#This Row],[Quantity]]</f>
        <v>382.56</v>
      </c>
      <c r="K770" s="8">
        <f>Table2[[#This Row],[Unit Cost]]*Table2[[#This Row],[Quantity]]</f>
        <v>342.56</v>
      </c>
      <c r="L770" s="8">
        <f>Table2[[#This Row],[Gross Sales]]-Table2[[#This Row],[COGS]]</f>
        <v>40</v>
      </c>
      <c r="M770" s="9">
        <f t="shared" si="11"/>
        <v>0.10455876202425764</v>
      </c>
      <c r="N770" s="7">
        <v>19.128</v>
      </c>
      <c r="O770" s="7">
        <v>401.68799999999999</v>
      </c>
      <c r="P770" s="10">
        <v>43540</v>
      </c>
      <c r="Q770" s="10" t="str">
        <f>TEXT(Table2[[#This Row],[Date]],"mmm")</f>
        <v>Mar</v>
      </c>
      <c r="R770" s="11">
        <v>0.78541666666666676</v>
      </c>
      <c r="S770" s="6" t="s">
        <v>33</v>
      </c>
      <c r="T770" s="7">
        <v>7.9</v>
      </c>
      <c r="U770" s="6">
        <f>IF(_xlfn.XLOOKUP(A770,[1]Data2!$A:$A,[1]Data2!$B:$B,"no")="yes",1,0)</f>
        <v>1</v>
      </c>
    </row>
    <row r="771" spans="1:21" s="6" customFormat="1" x14ac:dyDescent="0.3">
      <c r="A771" s="6" t="s">
        <v>809</v>
      </c>
      <c r="B771" s="6" t="s">
        <v>22</v>
      </c>
      <c r="C771" s="6" t="s">
        <v>23</v>
      </c>
      <c r="D771" s="6" t="s">
        <v>31</v>
      </c>
      <c r="E771" s="6" t="s">
        <v>25</v>
      </c>
      <c r="F771" s="6" t="s">
        <v>36</v>
      </c>
      <c r="G771" s="7">
        <f>Table2[[#This Row],[Unit price]]-10</f>
        <v>1.4299999999999997</v>
      </c>
      <c r="H771" s="7">
        <v>11.43</v>
      </c>
      <c r="I771" s="8">
        <v>6</v>
      </c>
      <c r="J771" s="8">
        <f>Table2[[#This Row],[Unit price]]*Table2[[#This Row],[Quantity]]</f>
        <v>68.58</v>
      </c>
      <c r="K771" s="8">
        <f>Table2[[#This Row],[Unit Cost]]*Table2[[#This Row],[Quantity]]</f>
        <v>8.5799999999999983</v>
      </c>
      <c r="L771" s="8">
        <f>Table2[[#This Row],[Gross Sales]]-Table2[[#This Row],[COGS]]</f>
        <v>60</v>
      </c>
      <c r="M771" s="9">
        <f t="shared" ref="M771:M834" si="12">IFERROR(L771/J771,0)</f>
        <v>0.87489063867016625</v>
      </c>
      <c r="N771" s="7">
        <v>3.4289999999999998</v>
      </c>
      <c r="O771" s="7">
        <v>72.009</v>
      </c>
      <c r="P771" s="10">
        <v>43480</v>
      </c>
      <c r="Q771" s="10" t="str">
        <f>TEXT(Table2[[#This Row],[Date]],"mmm")</f>
        <v>Jan</v>
      </c>
      <c r="R771" s="11">
        <v>0.72499999999999998</v>
      </c>
      <c r="S771" s="6" t="s">
        <v>33</v>
      </c>
      <c r="T771" s="7">
        <v>7.7</v>
      </c>
      <c r="U771" s="6">
        <f>IF(_xlfn.XLOOKUP(A771,[1]Data2!$A:$A,[1]Data2!$B:$B,"no")="yes",1,0)</f>
        <v>0</v>
      </c>
    </row>
    <row r="772" spans="1:21" s="6" customFormat="1" x14ac:dyDescent="0.3">
      <c r="A772" s="6" t="s">
        <v>810</v>
      </c>
      <c r="B772" s="6" t="s">
        <v>46</v>
      </c>
      <c r="C772" s="6" t="s">
        <v>47</v>
      </c>
      <c r="D772" s="6" t="s">
        <v>24</v>
      </c>
      <c r="E772" s="6" t="s">
        <v>25</v>
      </c>
      <c r="F772" s="6" t="s">
        <v>40</v>
      </c>
      <c r="G772" s="7">
        <f>Table2[[#This Row],[Unit price]]-10</f>
        <v>85.54</v>
      </c>
      <c r="H772" s="7">
        <v>95.54</v>
      </c>
      <c r="I772" s="8">
        <v>4</v>
      </c>
      <c r="J772" s="8">
        <f>Table2[[#This Row],[Unit price]]*Table2[[#This Row],[Quantity]]</f>
        <v>382.16</v>
      </c>
      <c r="K772" s="8">
        <f>Table2[[#This Row],[Unit Cost]]*Table2[[#This Row],[Quantity]]</f>
        <v>342.16</v>
      </c>
      <c r="L772" s="8">
        <f>Table2[[#This Row],[Gross Sales]]-Table2[[#This Row],[COGS]]</f>
        <v>40</v>
      </c>
      <c r="M772" s="9">
        <f t="shared" si="12"/>
        <v>0.10466820180029307</v>
      </c>
      <c r="N772" s="7">
        <v>19.108000000000001</v>
      </c>
      <c r="O772" s="7">
        <v>401.26799999999997</v>
      </c>
      <c r="P772" s="10">
        <v>43522</v>
      </c>
      <c r="Q772" s="10" t="str">
        <f>TEXT(Table2[[#This Row],[Date]],"mmm")</f>
        <v>Feb</v>
      </c>
      <c r="R772" s="11">
        <v>0.49861111111111112</v>
      </c>
      <c r="S772" s="6" t="s">
        <v>27</v>
      </c>
      <c r="T772" s="7">
        <v>4.5</v>
      </c>
      <c r="U772" s="6">
        <f>IF(_xlfn.XLOOKUP(A772,[1]Data2!$A:$A,[1]Data2!$B:$B,"no")="yes",1,0)</f>
        <v>0</v>
      </c>
    </row>
    <row r="773" spans="1:21" s="6" customFormat="1" x14ac:dyDescent="0.3">
      <c r="A773" s="6" t="s">
        <v>811</v>
      </c>
      <c r="B773" s="6" t="s">
        <v>29</v>
      </c>
      <c r="C773" s="6" t="s">
        <v>30</v>
      </c>
      <c r="D773" s="6" t="s">
        <v>24</v>
      </c>
      <c r="E773" s="6" t="s">
        <v>25</v>
      </c>
      <c r="F773" s="6" t="s">
        <v>26</v>
      </c>
      <c r="G773" s="7">
        <f>Table2[[#This Row],[Unit price]]-10</f>
        <v>75.87</v>
      </c>
      <c r="H773" s="7">
        <v>85.87</v>
      </c>
      <c r="I773" s="8">
        <v>7</v>
      </c>
      <c r="J773" s="8">
        <f>Table2[[#This Row],[Unit price]]*Table2[[#This Row],[Quantity]]</f>
        <v>601.09</v>
      </c>
      <c r="K773" s="8">
        <f>Table2[[#This Row],[Unit Cost]]*Table2[[#This Row],[Quantity]]</f>
        <v>531.09</v>
      </c>
      <c r="L773" s="8">
        <f>Table2[[#This Row],[Gross Sales]]-Table2[[#This Row],[COGS]]</f>
        <v>70</v>
      </c>
      <c r="M773" s="9">
        <f t="shared" si="12"/>
        <v>0.11645510655642249</v>
      </c>
      <c r="N773" s="7">
        <v>30.054500000000001</v>
      </c>
      <c r="O773" s="7">
        <v>631.14449999999999</v>
      </c>
      <c r="P773" s="10">
        <v>43523</v>
      </c>
      <c r="Q773" s="10" t="str">
        <f>TEXT(Table2[[#This Row],[Date]],"mmm")</f>
        <v>Feb</v>
      </c>
      <c r="R773" s="11">
        <v>0.79236111111111107</v>
      </c>
      <c r="S773" s="6" t="s">
        <v>37</v>
      </c>
      <c r="T773" s="7">
        <v>8</v>
      </c>
      <c r="U773" s="6">
        <f>IF(_xlfn.XLOOKUP(A773,[1]Data2!$A:$A,[1]Data2!$B:$B,"no")="yes",1,0)</f>
        <v>0</v>
      </c>
    </row>
    <row r="774" spans="1:21" s="6" customFormat="1" x14ac:dyDescent="0.3">
      <c r="A774" s="6" t="s">
        <v>812</v>
      </c>
      <c r="B774" s="6" t="s">
        <v>29</v>
      </c>
      <c r="C774" s="6" t="s">
        <v>30</v>
      </c>
      <c r="D774" s="6" t="s">
        <v>24</v>
      </c>
      <c r="E774" s="6" t="s">
        <v>25</v>
      </c>
      <c r="F774" s="6" t="s">
        <v>40</v>
      </c>
      <c r="G774" s="7">
        <f>Table2[[#This Row],[Unit price]]-10</f>
        <v>57.989999999999995</v>
      </c>
      <c r="H774" s="7">
        <v>67.989999999999995</v>
      </c>
      <c r="I774" s="8">
        <v>7</v>
      </c>
      <c r="J774" s="8">
        <f>Table2[[#This Row],[Unit price]]*Table2[[#This Row],[Quantity]]</f>
        <v>475.92999999999995</v>
      </c>
      <c r="K774" s="8">
        <f>Table2[[#This Row],[Unit Cost]]*Table2[[#This Row],[Quantity]]</f>
        <v>405.92999999999995</v>
      </c>
      <c r="L774" s="8">
        <f>Table2[[#This Row],[Gross Sales]]-Table2[[#This Row],[COGS]]</f>
        <v>70</v>
      </c>
      <c r="M774" s="9">
        <f t="shared" si="12"/>
        <v>0.14708045300779529</v>
      </c>
      <c r="N774" s="7">
        <v>23.796500000000002</v>
      </c>
      <c r="O774" s="7">
        <v>499.72649999999999</v>
      </c>
      <c r="P774" s="10">
        <v>43513</v>
      </c>
      <c r="Q774" s="10" t="str">
        <f>TEXT(Table2[[#This Row],[Date]],"mmm")</f>
        <v>Feb</v>
      </c>
      <c r="R774" s="11">
        <v>0.70138888888888884</v>
      </c>
      <c r="S774" s="6" t="s">
        <v>27</v>
      </c>
      <c r="T774" s="7">
        <v>5.7</v>
      </c>
      <c r="U774" s="6">
        <f>IF(_xlfn.XLOOKUP(A774,[1]Data2!$A:$A,[1]Data2!$B:$B,"no")="yes",1,0)</f>
        <v>1</v>
      </c>
    </row>
    <row r="775" spans="1:21" s="6" customFormat="1" x14ac:dyDescent="0.3">
      <c r="A775" s="6" t="s">
        <v>813</v>
      </c>
      <c r="B775" s="6" t="s">
        <v>29</v>
      </c>
      <c r="C775" s="6" t="s">
        <v>30</v>
      </c>
      <c r="D775" s="6" t="s">
        <v>31</v>
      </c>
      <c r="E775" s="6" t="s">
        <v>25</v>
      </c>
      <c r="F775" s="6" t="s">
        <v>48</v>
      </c>
      <c r="G775" s="7">
        <f>Table2[[#This Row],[Unit price]]-10</f>
        <v>42.42</v>
      </c>
      <c r="H775" s="7">
        <v>52.42</v>
      </c>
      <c r="I775" s="8">
        <v>1</v>
      </c>
      <c r="J775" s="8">
        <f>Table2[[#This Row],[Unit price]]*Table2[[#This Row],[Quantity]]</f>
        <v>52.42</v>
      </c>
      <c r="K775" s="8">
        <f>Table2[[#This Row],[Unit Cost]]*Table2[[#This Row],[Quantity]]</f>
        <v>42.42</v>
      </c>
      <c r="L775" s="8">
        <f>Table2[[#This Row],[Gross Sales]]-Table2[[#This Row],[COGS]]</f>
        <v>10</v>
      </c>
      <c r="M775" s="9">
        <f t="shared" si="12"/>
        <v>0.1907668828691339</v>
      </c>
      <c r="N775" s="7">
        <v>2.621</v>
      </c>
      <c r="O775" s="7">
        <v>55.040999999999997</v>
      </c>
      <c r="P775" s="10">
        <v>43502</v>
      </c>
      <c r="Q775" s="10" t="str">
        <f>TEXT(Table2[[#This Row],[Date]],"mmm")</f>
        <v>Feb</v>
      </c>
      <c r="R775" s="11">
        <v>0.43194444444444446</v>
      </c>
      <c r="S775" s="6" t="s">
        <v>37</v>
      </c>
      <c r="T775" s="7">
        <v>6.3</v>
      </c>
      <c r="U775" s="6">
        <f>IF(_xlfn.XLOOKUP(A775,[1]Data2!$A:$A,[1]Data2!$B:$B,"no")="yes",1,0)</f>
        <v>0</v>
      </c>
    </row>
    <row r="776" spans="1:21" s="6" customFormat="1" x14ac:dyDescent="0.3">
      <c r="A776" s="6" t="s">
        <v>814</v>
      </c>
      <c r="B776" s="6" t="s">
        <v>29</v>
      </c>
      <c r="C776" s="6" t="s">
        <v>30</v>
      </c>
      <c r="D776" s="6" t="s">
        <v>24</v>
      </c>
      <c r="E776" s="6" t="s">
        <v>35</v>
      </c>
      <c r="F776" s="6" t="s">
        <v>48</v>
      </c>
      <c r="G776" s="7">
        <f>Table2[[#This Row],[Unit price]]-10</f>
        <v>55.650000000000006</v>
      </c>
      <c r="H776" s="7">
        <v>65.650000000000006</v>
      </c>
      <c r="I776" s="8">
        <v>2</v>
      </c>
      <c r="J776" s="8">
        <f>Table2[[#This Row],[Unit price]]*Table2[[#This Row],[Quantity]]</f>
        <v>131.30000000000001</v>
      </c>
      <c r="K776" s="8">
        <f>Table2[[#This Row],[Unit Cost]]*Table2[[#This Row],[Quantity]]</f>
        <v>111.30000000000001</v>
      </c>
      <c r="L776" s="8">
        <f>Table2[[#This Row],[Gross Sales]]-Table2[[#This Row],[COGS]]</f>
        <v>20</v>
      </c>
      <c r="M776" s="9">
        <f t="shared" si="12"/>
        <v>0.15232292460015232</v>
      </c>
      <c r="N776" s="7">
        <v>6.5650000000000004</v>
      </c>
      <c r="O776" s="7">
        <v>137.86500000000001</v>
      </c>
      <c r="P776" s="10">
        <v>43482</v>
      </c>
      <c r="Q776" s="10" t="str">
        <f>TEXT(Table2[[#This Row],[Date]],"mmm")</f>
        <v>Jan</v>
      </c>
      <c r="R776" s="11">
        <v>0.69861111111111107</v>
      </c>
      <c r="S776" s="6" t="s">
        <v>33</v>
      </c>
      <c r="T776" s="7">
        <v>6</v>
      </c>
      <c r="U776" s="6">
        <f>IF(_xlfn.XLOOKUP(A776,[1]Data2!$A:$A,[1]Data2!$B:$B,"no")="yes",1,0)</f>
        <v>0</v>
      </c>
    </row>
    <row r="777" spans="1:21" s="6" customFormat="1" x14ac:dyDescent="0.3">
      <c r="A777" s="6" t="s">
        <v>815</v>
      </c>
      <c r="B777" s="6" t="s">
        <v>46</v>
      </c>
      <c r="C777" s="6" t="s">
        <v>47</v>
      </c>
      <c r="D777" s="6" t="s">
        <v>31</v>
      </c>
      <c r="E777" s="6" t="s">
        <v>25</v>
      </c>
      <c r="F777" s="6" t="s">
        <v>48</v>
      </c>
      <c r="G777" s="7">
        <f>Table2[[#This Row],[Unit price]]-10</f>
        <v>18.86</v>
      </c>
      <c r="H777" s="7">
        <v>28.86</v>
      </c>
      <c r="I777" s="8">
        <v>5</v>
      </c>
      <c r="J777" s="8">
        <f>Table2[[#This Row],[Unit price]]*Table2[[#This Row],[Quantity]]</f>
        <v>144.30000000000001</v>
      </c>
      <c r="K777" s="8">
        <f>Table2[[#This Row],[Unit Cost]]*Table2[[#This Row],[Quantity]]</f>
        <v>94.3</v>
      </c>
      <c r="L777" s="8">
        <f>Table2[[#This Row],[Gross Sales]]-Table2[[#This Row],[COGS]]</f>
        <v>50.000000000000014</v>
      </c>
      <c r="M777" s="9">
        <f t="shared" si="12"/>
        <v>0.34650034650034656</v>
      </c>
      <c r="N777" s="7">
        <v>7.2149999999999999</v>
      </c>
      <c r="O777" s="7">
        <v>151.51499999999999</v>
      </c>
      <c r="P777" s="10">
        <v>43487</v>
      </c>
      <c r="Q777" s="10" t="str">
        <f>TEXT(Table2[[#This Row],[Date]],"mmm")</f>
        <v>Jan</v>
      </c>
      <c r="R777" s="11">
        <v>0.75555555555555554</v>
      </c>
      <c r="S777" s="6" t="s">
        <v>37</v>
      </c>
      <c r="T777" s="7">
        <v>8</v>
      </c>
      <c r="U777" s="6">
        <f>IF(_xlfn.XLOOKUP(A777,[1]Data2!$A:$A,[1]Data2!$B:$B,"no")="yes",1,0)</f>
        <v>0</v>
      </c>
    </row>
    <row r="778" spans="1:21" s="6" customFormat="1" x14ac:dyDescent="0.3">
      <c r="A778" s="6" t="s">
        <v>816</v>
      </c>
      <c r="B778" s="6" t="s">
        <v>29</v>
      </c>
      <c r="C778" s="6" t="s">
        <v>30</v>
      </c>
      <c r="D778" s="6" t="s">
        <v>24</v>
      </c>
      <c r="E778" s="6" t="s">
        <v>35</v>
      </c>
      <c r="F778" s="6" t="s">
        <v>26</v>
      </c>
      <c r="G778" s="7">
        <f>Table2[[#This Row],[Unit price]]-10</f>
        <v>55.31</v>
      </c>
      <c r="H778" s="7">
        <v>65.31</v>
      </c>
      <c r="I778" s="8">
        <v>7</v>
      </c>
      <c r="J778" s="8">
        <f>Table2[[#This Row],[Unit price]]*Table2[[#This Row],[Quantity]]</f>
        <v>457.17</v>
      </c>
      <c r="K778" s="8">
        <f>Table2[[#This Row],[Unit Cost]]*Table2[[#This Row],[Quantity]]</f>
        <v>387.17</v>
      </c>
      <c r="L778" s="8">
        <f>Table2[[#This Row],[Gross Sales]]-Table2[[#This Row],[COGS]]</f>
        <v>70</v>
      </c>
      <c r="M778" s="9">
        <f t="shared" si="12"/>
        <v>0.15311590874291839</v>
      </c>
      <c r="N778" s="7">
        <v>22.858499999999999</v>
      </c>
      <c r="O778" s="7">
        <v>480.02850000000001</v>
      </c>
      <c r="P778" s="10">
        <v>43529</v>
      </c>
      <c r="Q778" s="10" t="str">
        <f>TEXT(Table2[[#This Row],[Date]],"mmm")</f>
        <v>Mar</v>
      </c>
      <c r="R778" s="11">
        <v>0.75138888888888899</v>
      </c>
      <c r="S778" s="6" t="s">
        <v>37</v>
      </c>
      <c r="T778" s="7">
        <v>4.2</v>
      </c>
      <c r="U778" s="6">
        <f>IF(_xlfn.XLOOKUP(A778,[1]Data2!$A:$A,[1]Data2!$B:$B,"no")="yes",1,0)</f>
        <v>1</v>
      </c>
    </row>
    <row r="779" spans="1:21" s="6" customFormat="1" x14ac:dyDescent="0.3">
      <c r="A779" s="6" t="s">
        <v>817</v>
      </c>
      <c r="B779" s="6" t="s">
        <v>46</v>
      </c>
      <c r="C779" s="6" t="s">
        <v>47</v>
      </c>
      <c r="D779" s="6" t="s">
        <v>31</v>
      </c>
      <c r="E779" s="6" t="s">
        <v>35</v>
      </c>
      <c r="F779" s="6" t="s">
        <v>40</v>
      </c>
      <c r="G779" s="7">
        <f>Table2[[#This Row],[Unit price]]-10</f>
        <v>83.38</v>
      </c>
      <c r="H779" s="7">
        <v>93.38</v>
      </c>
      <c r="I779" s="8">
        <v>1</v>
      </c>
      <c r="J779" s="8">
        <f>Table2[[#This Row],[Unit price]]*Table2[[#This Row],[Quantity]]</f>
        <v>93.38</v>
      </c>
      <c r="K779" s="8">
        <f>Table2[[#This Row],[Unit Cost]]*Table2[[#This Row],[Quantity]]</f>
        <v>83.38</v>
      </c>
      <c r="L779" s="8">
        <f>Table2[[#This Row],[Gross Sales]]-Table2[[#This Row],[COGS]]</f>
        <v>10</v>
      </c>
      <c r="M779" s="9">
        <f t="shared" si="12"/>
        <v>0.10708931248661384</v>
      </c>
      <c r="N779" s="7">
        <v>4.6689999999999996</v>
      </c>
      <c r="O779" s="7">
        <v>98.049000000000007</v>
      </c>
      <c r="P779" s="10">
        <v>43468</v>
      </c>
      <c r="Q779" s="10" t="str">
        <f>TEXT(Table2[[#This Row],[Date]],"mmm")</f>
        <v>Jan</v>
      </c>
      <c r="R779" s="11">
        <v>0.54652777777777783</v>
      </c>
      <c r="S779" s="6" t="s">
        <v>33</v>
      </c>
      <c r="T779" s="7">
        <v>9.6</v>
      </c>
      <c r="U779" s="6">
        <f>IF(_xlfn.XLOOKUP(A779,[1]Data2!$A:$A,[1]Data2!$B:$B,"no")="yes",1,0)</f>
        <v>0</v>
      </c>
    </row>
    <row r="780" spans="1:21" s="6" customFormat="1" x14ac:dyDescent="0.3">
      <c r="A780" s="6" t="s">
        <v>818</v>
      </c>
      <c r="B780" s="6" t="s">
        <v>29</v>
      </c>
      <c r="C780" s="6" t="s">
        <v>30</v>
      </c>
      <c r="D780" s="6" t="s">
        <v>24</v>
      </c>
      <c r="E780" s="6" t="s">
        <v>35</v>
      </c>
      <c r="F780" s="6" t="s">
        <v>40</v>
      </c>
      <c r="G780" s="7">
        <f>Table2[[#This Row],[Unit price]]-10</f>
        <v>15.25</v>
      </c>
      <c r="H780" s="7">
        <v>25.25</v>
      </c>
      <c r="I780" s="8">
        <v>5</v>
      </c>
      <c r="J780" s="8">
        <f>Table2[[#This Row],[Unit price]]*Table2[[#This Row],[Quantity]]</f>
        <v>126.25</v>
      </c>
      <c r="K780" s="8">
        <f>Table2[[#This Row],[Unit Cost]]*Table2[[#This Row],[Quantity]]</f>
        <v>76.25</v>
      </c>
      <c r="L780" s="8">
        <f>Table2[[#This Row],[Gross Sales]]-Table2[[#This Row],[COGS]]</f>
        <v>50</v>
      </c>
      <c r="M780" s="9">
        <f t="shared" si="12"/>
        <v>0.39603960396039606</v>
      </c>
      <c r="N780" s="7">
        <v>6.3125</v>
      </c>
      <c r="O780" s="7">
        <v>132.5625</v>
      </c>
      <c r="P780" s="10">
        <v>43544</v>
      </c>
      <c r="Q780" s="10" t="str">
        <f>TEXT(Table2[[#This Row],[Date]],"mmm")</f>
        <v>Mar</v>
      </c>
      <c r="R780" s="11">
        <v>0.74444444444444446</v>
      </c>
      <c r="S780" s="6" t="s">
        <v>33</v>
      </c>
      <c r="T780" s="7">
        <v>6.1</v>
      </c>
      <c r="U780" s="6">
        <f>IF(_xlfn.XLOOKUP(A780,[1]Data2!$A:$A,[1]Data2!$B:$B,"no")="yes",1,0)</f>
        <v>0</v>
      </c>
    </row>
    <row r="781" spans="1:21" s="6" customFormat="1" x14ac:dyDescent="0.3">
      <c r="A781" s="6" t="s">
        <v>819</v>
      </c>
      <c r="B781" s="6" t="s">
        <v>46</v>
      </c>
      <c r="C781" s="6" t="s">
        <v>47</v>
      </c>
      <c r="D781" s="6" t="s">
        <v>24</v>
      </c>
      <c r="E781" s="6" t="s">
        <v>35</v>
      </c>
      <c r="F781" s="6" t="s">
        <v>32</v>
      </c>
      <c r="G781" s="7">
        <f>Table2[[#This Row],[Unit price]]-10</f>
        <v>77.87</v>
      </c>
      <c r="H781" s="7">
        <v>87.87</v>
      </c>
      <c r="I781" s="8">
        <v>9</v>
      </c>
      <c r="J781" s="8">
        <f>Table2[[#This Row],[Unit price]]*Table2[[#This Row],[Quantity]]</f>
        <v>790.83</v>
      </c>
      <c r="K781" s="8">
        <f>Table2[[#This Row],[Unit Cost]]*Table2[[#This Row],[Quantity]]</f>
        <v>700.83</v>
      </c>
      <c r="L781" s="8">
        <f>Table2[[#This Row],[Gross Sales]]-Table2[[#This Row],[COGS]]</f>
        <v>90</v>
      </c>
      <c r="M781" s="9">
        <f t="shared" si="12"/>
        <v>0.11380448389666552</v>
      </c>
      <c r="N781" s="7">
        <v>39.541499999999999</v>
      </c>
      <c r="O781" s="7">
        <v>830.37149999999997</v>
      </c>
      <c r="P781" s="10">
        <v>43496</v>
      </c>
      <c r="Q781" s="10" t="str">
        <f>TEXT(Table2[[#This Row],[Date]],"mmm")</f>
        <v>Jan</v>
      </c>
      <c r="R781" s="11">
        <v>0.85555555555555562</v>
      </c>
      <c r="S781" s="6" t="s">
        <v>27</v>
      </c>
      <c r="T781" s="7">
        <v>5.6</v>
      </c>
      <c r="U781" s="6">
        <f>IF(_xlfn.XLOOKUP(A781,[1]Data2!$A:$A,[1]Data2!$B:$B,"no")="yes",1,0)</f>
        <v>0</v>
      </c>
    </row>
    <row r="782" spans="1:21" s="6" customFormat="1" x14ac:dyDescent="0.3">
      <c r="A782" s="6" t="s">
        <v>820</v>
      </c>
      <c r="B782" s="6" t="s">
        <v>29</v>
      </c>
      <c r="C782" s="6" t="s">
        <v>30</v>
      </c>
      <c r="D782" s="6" t="s">
        <v>31</v>
      </c>
      <c r="E782" s="6" t="s">
        <v>35</v>
      </c>
      <c r="F782" s="6" t="s">
        <v>26</v>
      </c>
      <c r="G782" s="7">
        <f>Table2[[#This Row],[Unit price]]-10</f>
        <v>11.8</v>
      </c>
      <c r="H782" s="7">
        <v>21.8</v>
      </c>
      <c r="I782" s="8">
        <v>8</v>
      </c>
      <c r="J782" s="8">
        <f>Table2[[#This Row],[Unit price]]*Table2[[#This Row],[Quantity]]</f>
        <v>174.4</v>
      </c>
      <c r="K782" s="8">
        <f>Table2[[#This Row],[Unit Cost]]*Table2[[#This Row],[Quantity]]</f>
        <v>94.4</v>
      </c>
      <c r="L782" s="8">
        <f>Table2[[#This Row],[Gross Sales]]-Table2[[#This Row],[COGS]]</f>
        <v>80</v>
      </c>
      <c r="M782" s="9">
        <f t="shared" si="12"/>
        <v>0.4587155963302752</v>
      </c>
      <c r="N782" s="7">
        <v>8.7200000000000006</v>
      </c>
      <c r="O782" s="7">
        <v>183.12</v>
      </c>
      <c r="P782" s="10">
        <v>43515</v>
      </c>
      <c r="Q782" s="10" t="str">
        <f>TEXT(Table2[[#This Row],[Date]],"mmm")</f>
        <v>Feb</v>
      </c>
      <c r="R782" s="11">
        <v>0.80833333333333324</v>
      </c>
      <c r="S782" s="6" t="s">
        <v>33</v>
      </c>
      <c r="T782" s="7">
        <v>8.3000000000000007</v>
      </c>
      <c r="U782" s="6">
        <f>IF(_xlfn.XLOOKUP(A782,[1]Data2!$A:$A,[1]Data2!$B:$B,"no")="yes",1,0)</f>
        <v>1</v>
      </c>
    </row>
    <row r="783" spans="1:21" s="6" customFormat="1" x14ac:dyDescent="0.3">
      <c r="A783" s="6" t="s">
        <v>821</v>
      </c>
      <c r="B783" s="6" t="s">
        <v>22</v>
      </c>
      <c r="C783" s="6" t="s">
        <v>23</v>
      </c>
      <c r="D783" s="6" t="s">
        <v>31</v>
      </c>
      <c r="E783" s="6" t="s">
        <v>25</v>
      </c>
      <c r="F783" s="6" t="s">
        <v>40</v>
      </c>
      <c r="G783" s="7">
        <f>Table2[[#This Row],[Unit price]]-10</f>
        <v>84.76</v>
      </c>
      <c r="H783" s="7">
        <v>94.76</v>
      </c>
      <c r="I783" s="8">
        <v>4</v>
      </c>
      <c r="J783" s="8">
        <f>Table2[[#This Row],[Unit price]]*Table2[[#This Row],[Quantity]]</f>
        <v>379.04</v>
      </c>
      <c r="K783" s="8">
        <f>Table2[[#This Row],[Unit Cost]]*Table2[[#This Row],[Quantity]]</f>
        <v>339.04</v>
      </c>
      <c r="L783" s="8">
        <f>Table2[[#This Row],[Gross Sales]]-Table2[[#This Row],[COGS]]</f>
        <v>40</v>
      </c>
      <c r="M783" s="9">
        <f t="shared" si="12"/>
        <v>0.10552975939214858</v>
      </c>
      <c r="N783" s="7">
        <v>18.952000000000002</v>
      </c>
      <c r="O783" s="7">
        <v>397.99200000000002</v>
      </c>
      <c r="P783" s="10">
        <v>43507</v>
      </c>
      <c r="Q783" s="10" t="str">
        <f>TEXT(Table2[[#This Row],[Date]],"mmm")</f>
        <v>Feb</v>
      </c>
      <c r="R783" s="11">
        <v>0.67083333333333339</v>
      </c>
      <c r="S783" s="6" t="s">
        <v>27</v>
      </c>
      <c r="T783" s="7">
        <v>7.8</v>
      </c>
      <c r="U783" s="6">
        <f>IF(_xlfn.XLOOKUP(A783,[1]Data2!$A:$A,[1]Data2!$B:$B,"no")="yes",1,0)</f>
        <v>0</v>
      </c>
    </row>
    <row r="784" spans="1:21" s="6" customFormat="1" x14ac:dyDescent="0.3">
      <c r="A784" s="6" t="s">
        <v>822</v>
      </c>
      <c r="B784" s="6" t="s">
        <v>22</v>
      </c>
      <c r="C784" s="6" t="s">
        <v>23</v>
      </c>
      <c r="D784" s="6" t="s">
        <v>24</v>
      </c>
      <c r="E784" s="6" t="s">
        <v>25</v>
      </c>
      <c r="F784" s="6" t="s">
        <v>50</v>
      </c>
      <c r="G784" s="7">
        <f>Table2[[#This Row],[Unit price]]-10</f>
        <v>20.62</v>
      </c>
      <c r="H784" s="7">
        <v>30.62</v>
      </c>
      <c r="I784" s="8">
        <v>1</v>
      </c>
      <c r="J784" s="8">
        <f>Table2[[#This Row],[Unit price]]*Table2[[#This Row],[Quantity]]</f>
        <v>30.62</v>
      </c>
      <c r="K784" s="8">
        <f>Table2[[#This Row],[Unit Cost]]*Table2[[#This Row],[Quantity]]</f>
        <v>20.62</v>
      </c>
      <c r="L784" s="8">
        <f>Table2[[#This Row],[Gross Sales]]-Table2[[#This Row],[COGS]]</f>
        <v>10</v>
      </c>
      <c r="M784" s="9">
        <f t="shared" si="12"/>
        <v>0.32658393207054209</v>
      </c>
      <c r="N784" s="7">
        <v>1.5309999999999999</v>
      </c>
      <c r="O784" s="7">
        <v>32.151000000000003</v>
      </c>
      <c r="P784" s="10">
        <v>43501</v>
      </c>
      <c r="Q784" s="10" t="str">
        <f>TEXT(Table2[[#This Row],[Date]],"mmm")</f>
        <v>Feb</v>
      </c>
      <c r="R784" s="11">
        <v>0.59305555555555556</v>
      </c>
      <c r="S784" s="6" t="s">
        <v>37</v>
      </c>
      <c r="T784" s="7">
        <v>4.0999999999999996</v>
      </c>
      <c r="U784" s="6">
        <f>IF(_xlfn.XLOOKUP(A784,[1]Data2!$A:$A,[1]Data2!$B:$B,"no")="yes",1,0)</f>
        <v>0</v>
      </c>
    </row>
    <row r="785" spans="1:21" s="6" customFormat="1" x14ac:dyDescent="0.3">
      <c r="A785" s="6" t="s">
        <v>823</v>
      </c>
      <c r="B785" s="6" t="s">
        <v>29</v>
      </c>
      <c r="C785" s="6" t="s">
        <v>30</v>
      </c>
      <c r="D785" s="6" t="s">
        <v>31</v>
      </c>
      <c r="E785" s="6" t="s">
        <v>25</v>
      </c>
      <c r="F785" s="6" t="s">
        <v>36</v>
      </c>
      <c r="G785" s="7">
        <f>Table2[[#This Row],[Unit price]]-10</f>
        <v>34.01</v>
      </c>
      <c r="H785" s="7">
        <v>44.01</v>
      </c>
      <c r="I785" s="8">
        <v>8</v>
      </c>
      <c r="J785" s="8">
        <f>Table2[[#This Row],[Unit price]]*Table2[[#This Row],[Quantity]]</f>
        <v>352.08</v>
      </c>
      <c r="K785" s="8">
        <f>Table2[[#This Row],[Unit Cost]]*Table2[[#This Row],[Quantity]]</f>
        <v>272.08</v>
      </c>
      <c r="L785" s="8">
        <f>Table2[[#This Row],[Gross Sales]]-Table2[[#This Row],[COGS]]</f>
        <v>80</v>
      </c>
      <c r="M785" s="9">
        <f t="shared" si="12"/>
        <v>0.22722108611679165</v>
      </c>
      <c r="N785" s="7">
        <v>17.603999999999999</v>
      </c>
      <c r="O785" s="7">
        <v>369.68400000000003</v>
      </c>
      <c r="P785" s="10">
        <v>43527</v>
      </c>
      <c r="Q785" s="10" t="str">
        <f>TEXT(Table2[[#This Row],[Date]],"mmm")</f>
        <v>Mar</v>
      </c>
      <c r="R785" s="11">
        <v>0.73333333333333339</v>
      </c>
      <c r="S785" s="6" t="s">
        <v>33</v>
      </c>
      <c r="T785" s="7">
        <v>8.8000000000000007</v>
      </c>
      <c r="U785" s="6">
        <f>IF(_xlfn.XLOOKUP(A785,[1]Data2!$A:$A,[1]Data2!$B:$B,"no")="yes",1,0)</f>
        <v>0</v>
      </c>
    </row>
    <row r="786" spans="1:21" s="6" customFormat="1" x14ac:dyDescent="0.3">
      <c r="A786" s="6" t="s">
        <v>824</v>
      </c>
      <c r="B786" s="6" t="s">
        <v>29</v>
      </c>
      <c r="C786" s="6" t="s">
        <v>30</v>
      </c>
      <c r="D786" s="6" t="s">
        <v>24</v>
      </c>
      <c r="E786" s="6" t="s">
        <v>25</v>
      </c>
      <c r="F786" s="6" t="s">
        <v>26</v>
      </c>
      <c r="G786" s="7">
        <f>Table2[[#This Row],[Unit price]]-10</f>
        <v>0.16000000000000014</v>
      </c>
      <c r="H786" s="7">
        <v>10.16</v>
      </c>
      <c r="I786" s="8">
        <v>5</v>
      </c>
      <c r="J786" s="8">
        <f>Table2[[#This Row],[Unit price]]*Table2[[#This Row],[Quantity]]</f>
        <v>50.8</v>
      </c>
      <c r="K786" s="8">
        <f>Table2[[#This Row],[Unit Cost]]*Table2[[#This Row],[Quantity]]</f>
        <v>0.80000000000000071</v>
      </c>
      <c r="L786" s="8">
        <f>Table2[[#This Row],[Gross Sales]]-Table2[[#This Row],[COGS]]</f>
        <v>50</v>
      </c>
      <c r="M786" s="9">
        <f t="shared" si="12"/>
        <v>0.98425196850393704</v>
      </c>
      <c r="N786" s="7">
        <v>2.54</v>
      </c>
      <c r="O786" s="7">
        <v>53.34</v>
      </c>
      <c r="P786" s="10">
        <v>43520</v>
      </c>
      <c r="Q786" s="10" t="str">
        <f>TEXT(Table2[[#This Row],[Date]],"mmm")</f>
        <v>Feb</v>
      </c>
      <c r="R786" s="11">
        <v>0.54722222222222217</v>
      </c>
      <c r="S786" s="6" t="s">
        <v>27</v>
      </c>
      <c r="T786" s="7">
        <v>4.0999999999999996</v>
      </c>
      <c r="U786" s="6">
        <f>IF(_xlfn.XLOOKUP(A786,[1]Data2!$A:$A,[1]Data2!$B:$B,"no")="yes",1,0)</f>
        <v>1</v>
      </c>
    </row>
    <row r="787" spans="1:21" s="6" customFormat="1" x14ac:dyDescent="0.3">
      <c r="A787" s="6" t="s">
        <v>825</v>
      </c>
      <c r="B787" s="6" t="s">
        <v>22</v>
      </c>
      <c r="C787" s="6" t="s">
        <v>23</v>
      </c>
      <c r="D787" s="6" t="s">
        <v>31</v>
      </c>
      <c r="E787" s="6" t="s">
        <v>35</v>
      </c>
      <c r="F787" s="6" t="s">
        <v>32</v>
      </c>
      <c r="G787" s="7">
        <f>Table2[[#This Row],[Unit price]]-10</f>
        <v>64.58</v>
      </c>
      <c r="H787" s="7">
        <v>74.58</v>
      </c>
      <c r="I787" s="8">
        <v>7</v>
      </c>
      <c r="J787" s="8">
        <f>Table2[[#This Row],[Unit price]]*Table2[[#This Row],[Quantity]]</f>
        <v>522.05999999999995</v>
      </c>
      <c r="K787" s="8">
        <f>Table2[[#This Row],[Unit Cost]]*Table2[[#This Row],[Quantity]]</f>
        <v>452.06</v>
      </c>
      <c r="L787" s="8">
        <f>Table2[[#This Row],[Gross Sales]]-Table2[[#This Row],[COGS]]</f>
        <v>69.999999999999943</v>
      </c>
      <c r="M787" s="9">
        <f t="shared" si="12"/>
        <v>0.13408420488066497</v>
      </c>
      <c r="N787" s="7">
        <v>26.103000000000002</v>
      </c>
      <c r="O787" s="7">
        <v>548.16300000000001</v>
      </c>
      <c r="P787" s="10">
        <v>43500</v>
      </c>
      <c r="Q787" s="10" t="str">
        <f>TEXT(Table2[[#This Row],[Date]],"mmm")</f>
        <v>Feb</v>
      </c>
      <c r="R787" s="11">
        <v>0.67291666666666661</v>
      </c>
      <c r="S787" s="6" t="s">
        <v>37</v>
      </c>
      <c r="T787" s="7">
        <v>9</v>
      </c>
      <c r="U787" s="6">
        <f>IF(_xlfn.XLOOKUP(A787,[1]Data2!$A:$A,[1]Data2!$B:$B,"no")="yes",1,0)</f>
        <v>0</v>
      </c>
    </row>
    <row r="788" spans="1:21" s="6" customFormat="1" x14ac:dyDescent="0.3">
      <c r="A788" s="6" t="s">
        <v>826</v>
      </c>
      <c r="B788" s="6" t="s">
        <v>29</v>
      </c>
      <c r="C788" s="6" t="s">
        <v>30</v>
      </c>
      <c r="D788" s="6" t="s">
        <v>31</v>
      </c>
      <c r="E788" s="6" t="s">
        <v>35</v>
      </c>
      <c r="F788" s="6" t="s">
        <v>32</v>
      </c>
      <c r="G788" s="7">
        <f>Table2[[#This Row],[Unit price]]-10</f>
        <v>61.89</v>
      </c>
      <c r="H788" s="7">
        <v>71.89</v>
      </c>
      <c r="I788" s="8">
        <v>8</v>
      </c>
      <c r="J788" s="8">
        <f>Table2[[#This Row],[Unit price]]*Table2[[#This Row],[Quantity]]</f>
        <v>575.12</v>
      </c>
      <c r="K788" s="8">
        <f>Table2[[#This Row],[Unit Cost]]*Table2[[#This Row],[Quantity]]</f>
        <v>495.12</v>
      </c>
      <c r="L788" s="8">
        <f>Table2[[#This Row],[Gross Sales]]-Table2[[#This Row],[COGS]]</f>
        <v>80</v>
      </c>
      <c r="M788" s="9">
        <f t="shared" si="12"/>
        <v>0.13910140492418974</v>
      </c>
      <c r="N788" s="7">
        <v>28.756</v>
      </c>
      <c r="O788" s="7">
        <v>603.87599999999998</v>
      </c>
      <c r="P788" s="10">
        <v>43515</v>
      </c>
      <c r="Q788" s="10" t="str">
        <f>TEXT(Table2[[#This Row],[Date]],"mmm")</f>
        <v>Feb</v>
      </c>
      <c r="R788" s="11">
        <v>0.48125000000000001</v>
      </c>
      <c r="S788" s="6" t="s">
        <v>27</v>
      </c>
      <c r="T788" s="7">
        <v>5.5</v>
      </c>
      <c r="U788" s="6">
        <f>IF(_xlfn.XLOOKUP(A788,[1]Data2!$A:$A,[1]Data2!$B:$B,"no")="yes",1,0)</f>
        <v>0</v>
      </c>
    </row>
    <row r="789" spans="1:21" s="6" customFormat="1" x14ac:dyDescent="0.3">
      <c r="A789" s="6" t="s">
        <v>827</v>
      </c>
      <c r="B789" s="6" t="s">
        <v>29</v>
      </c>
      <c r="C789" s="6" t="s">
        <v>30</v>
      </c>
      <c r="D789" s="6" t="s">
        <v>31</v>
      </c>
      <c r="E789" s="6" t="s">
        <v>25</v>
      </c>
      <c r="F789" s="6" t="s">
        <v>26</v>
      </c>
      <c r="G789" s="7">
        <f>Table2[[#This Row],[Unit price]]-10</f>
        <v>0.99000000000000021</v>
      </c>
      <c r="H789" s="7">
        <v>10.99</v>
      </c>
      <c r="I789" s="8">
        <v>5</v>
      </c>
      <c r="J789" s="8">
        <f>Table2[[#This Row],[Unit price]]*Table2[[#This Row],[Quantity]]</f>
        <v>54.95</v>
      </c>
      <c r="K789" s="8">
        <f>Table2[[#This Row],[Unit Cost]]*Table2[[#This Row],[Quantity]]</f>
        <v>4.9500000000000011</v>
      </c>
      <c r="L789" s="8">
        <f>Table2[[#This Row],[Gross Sales]]-Table2[[#This Row],[COGS]]</f>
        <v>50</v>
      </c>
      <c r="M789" s="9">
        <f t="shared" si="12"/>
        <v>0.90991810737033663</v>
      </c>
      <c r="N789" s="7">
        <v>2.7475000000000001</v>
      </c>
      <c r="O789" s="7">
        <v>57.697499999999998</v>
      </c>
      <c r="P789" s="10">
        <v>43488</v>
      </c>
      <c r="Q789" s="10" t="str">
        <f>TEXT(Table2[[#This Row],[Date]],"mmm")</f>
        <v>Jan</v>
      </c>
      <c r="R789" s="11">
        <v>0.4291666666666667</v>
      </c>
      <c r="S789" s="6" t="s">
        <v>37</v>
      </c>
      <c r="T789" s="7">
        <v>9.3000000000000007</v>
      </c>
      <c r="U789" s="6">
        <f>IF(_xlfn.XLOOKUP(A789,[1]Data2!$A:$A,[1]Data2!$B:$B,"no")="yes",1,0)</f>
        <v>0</v>
      </c>
    </row>
    <row r="790" spans="1:21" s="6" customFormat="1" x14ac:dyDescent="0.3">
      <c r="A790" s="6" t="s">
        <v>828</v>
      </c>
      <c r="B790" s="6" t="s">
        <v>29</v>
      </c>
      <c r="C790" s="6" t="s">
        <v>30</v>
      </c>
      <c r="D790" s="6" t="s">
        <v>24</v>
      </c>
      <c r="E790" s="6" t="s">
        <v>35</v>
      </c>
      <c r="F790" s="6" t="s">
        <v>26</v>
      </c>
      <c r="G790" s="7">
        <f>Table2[[#This Row],[Unit price]]-10</f>
        <v>50.47</v>
      </c>
      <c r="H790" s="7">
        <v>60.47</v>
      </c>
      <c r="I790" s="8">
        <v>3</v>
      </c>
      <c r="J790" s="8">
        <f>Table2[[#This Row],[Unit price]]*Table2[[#This Row],[Quantity]]</f>
        <v>181.41</v>
      </c>
      <c r="K790" s="8">
        <f>Table2[[#This Row],[Unit Cost]]*Table2[[#This Row],[Quantity]]</f>
        <v>151.41</v>
      </c>
      <c r="L790" s="8">
        <f>Table2[[#This Row],[Gross Sales]]-Table2[[#This Row],[COGS]]</f>
        <v>30</v>
      </c>
      <c r="M790" s="9">
        <f t="shared" si="12"/>
        <v>0.16537125847527701</v>
      </c>
      <c r="N790" s="7">
        <v>9.0704999999999991</v>
      </c>
      <c r="O790" s="7">
        <v>190.48050000000001</v>
      </c>
      <c r="P790" s="10">
        <v>43479</v>
      </c>
      <c r="Q790" s="10" t="str">
        <f>TEXT(Table2[[#This Row],[Date]],"mmm")</f>
        <v>Jan</v>
      </c>
      <c r="R790" s="11">
        <v>0.4548611111111111</v>
      </c>
      <c r="S790" s="6" t="s">
        <v>37</v>
      </c>
      <c r="T790" s="7">
        <v>5.6</v>
      </c>
      <c r="U790" s="6">
        <f>IF(_xlfn.XLOOKUP(A790,[1]Data2!$A:$A,[1]Data2!$B:$B,"no")="yes",1,0)</f>
        <v>1</v>
      </c>
    </row>
    <row r="791" spans="1:21" s="6" customFormat="1" x14ac:dyDescent="0.3">
      <c r="A791" s="6" t="s">
        <v>829</v>
      </c>
      <c r="B791" s="6" t="s">
        <v>22</v>
      </c>
      <c r="C791" s="6" t="s">
        <v>23</v>
      </c>
      <c r="D791" s="6" t="s">
        <v>31</v>
      </c>
      <c r="E791" s="6" t="s">
        <v>35</v>
      </c>
      <c r="F791" s="6" t="s">
        <v>40</v>
      </c>
      <c r="G791" s="7">
        <f>Table2[[#This Row],[Unit price]]-10</f>
        <v>48.91</v>
      </c>
      <c r="H791" s="7">
        <v>58.91</v>
      </c>
      <c r="I791" s="8">
        <v>7</v>
      </c>
      <c r="J791" s="8">
        <f>Table2[[#This Row],[Unit price]]*Table2[[#This Row],[Quantity]]</f>
        <v>412.37</v>
      </c>
      <c r="K791" s="8">
        <f>Table2[[#This Row],[Unit Cost]]*Table2[[#This Row],[Quantity]]</f>
        <v>342.37</v>
      </c>
      <c r="L791" s="8">
        <f>Table2[[#This Row],[Gross Sales]]-Table2[[#This Row],[COGS]]</f>
        <v>70</v>
      </c>
      <c r="M791" s="9">
        <f t="shared" si="12"/>
        <v>0.16975046681378372</v>
      </c>
      <c r="N791" s="7">
        <v>20.618500000000001</v>
      </c>
      <c r="O791" s="7">
        <v>432.98849999999999</v>
      </c>
      <c r="P791" s="10">
        <v>43482</v>
      </c>
      <c r="Q791" s="10" t="str">
        <f>TEXT(Table2[[#This Row],[Date]],"mmm")</f>
        <v>Jan</v>
      </c>
      <c r="R791" s="11">
        <v>0.63541666666666663</v>
      </c>
      <c r="S791" s="6" t="s">
        <v>27</v>
      </c>
      <c r="T791" s="7">
        <v>9.6999999999999993</v>
      </c>
      <c r="U791" s="6">
        <f>IF(_xlfn.XLOOKUP(A791,[1]Data2!$A:$A,[1]Data2!$B:$B,"no")="yes",1,0)</f>
        <v>0</v>
      </c>
    </row>
    <row r="792" spans="1:21" s="6" customFormat="1" x14ac:dyDescent="0.3">
      <c r="A792" s="6" t="s">
        <v>830</v>
      </c>
      <c r="B792" s="6" t="s">
        <v>22</v>
      </c>
      <c r="C792" s="6" t="s">
        <v>23</v>
      </c>
      <c r="D792" s="6" t="s">
        <v>31</v>
      </c>
      <c r="E792" s="6" t="s">
        <v>35</v>
      </c>
      <c r="F792" s="6" t="s">
        <v>50</v>
      </c>
      <c r="G792" s="7">
        <f>Table2[[#This Row],[Unit price]]-10</f>
        <v>36.409999999999997</v>
      </c>
      <c r="H792" s="7">
        <v>46.41</v>
      </c>
      <c r="I792" s="8">
        <v>1</v>
      </c>
      <c r="J792" s="8">
        <f>Table2[[#This Row],[Unit price]]*Table2[[#This Row],[Quantity]]</f>
        <v>46.41</v>
      </c>
      <c r="K792" s="8">
        <f>Table2[[#This Row],[Unit Cost]]*Table2[[#This Row],[Quantity]]</f>
        <v>36.409999999999997</v>
      </c>
      <c r="L792" s="8">
        <f>Table2[[#This Row],[Gross Sales]]-Table2[[#This Row],[COGS]]</f>
        <v>10</v>
      </c>
      <c r="M792" s="9">
        <f t="shared" si="12"/>
        <v>0.21547080370609784</v>
      </c>
      <c r="N792" s="7">
        <v>2.3205</v>
      </c>
      <c r="O792" s="7">
        <v>48.730499999999999</v>
      </c>
      <c r="P792" s="10">
        <v>43527</v>
      </c>
      <c r="Q792" s="10" t="str">
        <f>TEXT(Table2[[#This Row],[Date]],"mmm")</f>
        <v>Mar</v>
      </c>
      <c r="R792" s="11">
        <v>0.83750000000000002</v>
      </c>
      <c r="S792" s="6" t="s">
        <v>37</v>
      </c>
      <c r="T792" s="7">
        <v>4</v>
      </c>
      <c r="U792" s="6">
        <f>IF(_xlfn.XLOOKUP(A792,[1]Data2!$A:$A,[1]Data2!$B:$B,"no")="yes",1,0)</f>
        <v>0</v>
      </c>
    </row>
    <row r="793" spans="1:21" s="6" customFormat="1" x14ac:dyDescent="0.3">
      <c r="A793" s="6" t="s">
        <v>831</v>
      </c>
      <c r="B793" s="6" t="s">
        <v>29</v>
      </c>
      <c r="C793" s="6" t="s">
        <v>30</v>
      </c>
      <c r="D793" s="6" t="s">
        <v>24</v>
      </c>
      <c r="E793" s="6" t="s">
        <v>35</v>
      </c>
      <c r="F793" s="6" t="s">
        <v>26</v>
      </c>
      <c r="G793" s="7">
        <f>Table2[[#This Row],[Unit price]]-10</f>
        <v>58.55</v>
      </c>
      <c r="H793" s="7">
        <v>68.55</v>
      </c>
      <c r="I793" s="8">
        <v>4</v>
      </c>
      <c r="J793" s="8">
        <f>Table2[[#This Row],[Unit price]]*Table2[[#This Row],[Quantity]]</f>
        <v>274.2</v>
      </c>
      <c r="K793" s="8">
        <f>Table2[[#This Row],[Unit Cost]]*Table2[[#This Row],[Quantity]]</f>
        <v>234.2</v>
      </c>
      <c r="L793" s="8">
        <f>Table2[[#This Row],[Gross Sales]]-Table2[[#This Row],[COGS]]</f>
        <v>40</v>
      </c>
      <c r="M793" s="9">
        <f t="shared" si="12"/>
        <v>0.14587892049598833</v>
      </c>
      <c r="N793" s="7">
        <v>13.71</v>
      </c>
      <c r="O793" s="7">
        <v>287.91000000000003</v>
      </c>
      <c r="P793" s="10">
        <v>43511</v>
      </c>
      <c r="Q793" s="10" t="str">
        <f>TEXT(Table2[[#This Row],[Date]],"mmm")</f>
        <v>Feb</v>
      </c>
      <c r="R793" s="11">
        <v>0.84791666666666676</v>
      </c>
      <c r="S793" s="6" t="s">
        <v>37</v>
      </c>
      <c r="T793" s="7">
        <v>9.1999999999999993</v>
      </c>
      <c r="U793" s="6">
        <f>IF(_xlfn.XLOOKUP(A793,[1]Data2!$A:$A,[1]Data2!$B:$B,"no")="yes",1,0)</f>
        <v>0</v>
      </c>
    </row>
    <row r="794" spans="1:21" s="6" customFormat="1" x14ac:dyDescent="0.3">
      <c r="A794" s="6" t="s">
        <v>832</v>
      </c>
      <c r="B794" s="6" t="s">
        <v>46</v>
      </c>
      <c r="C794" s="6" t="s">
        <v>47</v>
      </c>
      <c r="D794" s="6" t="s">
        <v>31</v>
      </c>
      <c r="E794" s="6" t="s">
        <v>25</v>
      </c>
      <c r="F794" s="6" t="s">
        <v>36</v>
      </c>
      <c r="G794" s="7">
        <f>Table2[[#This Row],[Unit price]]-10</f>
        <v>87.37</v>
      </c>
      <c r="H794" s="7">
        <v>97.37</v>
      </c>
      <c r="I794" s="8">
        <v>10</v>
      </c>
      <c r="J794" s="8">
        <f>Table2[[#This Row],[Unit price]]*Table2[[#This Row],[Quantity]]</f>
        <v>973.7</v>
      </c>
      <c r="K794" s="8">
        <f>Table2[[#This Row],[Unit Cost]]*Table2[[#This Row],[Quantity]]</f>
        <v>873.7</v>
      </c>
      <c r="L794" s="8">
        <f>Table2[[#This Row],[Gross Sales]]-Table2[[#This Row],[COGS]]</f>
        <v>100</v>
      </c>
      <c r="M794" s="9">
        <f t="shared" si="12"/>
        <v>0.10270103728047653</v>
      </c>
      <c r="N794" s="7">
        <v>48.685000000000002</v>
      </c>
      <c r="O794" s="7">
        <v>1022.385</v>
      </c>
      <c r="P794" s="10">
        <v>43480</v>
      </c>
      <c r="Q794" s="10" t="str">
        <f>TEXT(Table2[[#This Row],[Date]],"mmm")</f>
        <v>Jan</v>
      </c>
      <c r="R794" s="11">
        <v>0.57500000000000007</v>
      </c>
      <c r="S794" s="6" t="s">
        <v>37</v>
      </c>
      <c r="T794" s="7">
        <v>4.9000000000000004</v>
      </c>
      <c r="U794" s="6">
        <f>IF(_xlfn.XLOOKUP(A794,[1]Data2!$A:$A,[1]Data2!$B:$B,"no")="yes",1,0)</f>
        <v>1</v>
      </c>
    </row>
    <row r="795" spans="1:21" s="6" customFormat="1" x14ac:dyDescent="0.3">
      <c r="A795" s="6" t="s">
        <v>833</v>
      </c>
      <c r="B795" s="6" t="s">
        <v>22</v>
      </c>
      <c r="C795" s="6" t="s">
        <v>23</v>
      </c>
      <c r="D795" s="6" t="s">
        <v>24</v>
      </c>
      <c r="E795" s="6" t="s">
        <v>35</v>
      </c>
      <c r="F795" s="6" t="s">
        <v>32</v>
      </c>
      <c r="G795" s="7">
        <f>Table2[[#This Row],[Unit price]]-10</f>
        <v>82.6</v>
      </c>
      <c r="H795" s="7">
        <v>92.6</v>
      </c>
      <c r="I795" s="8">
        <v>7</v>
      </c>
      <c r="J795" s="8">
        <f>Table2[[#This Row],[Unit price]]*Table2[[#This Row],[Quantity]]</f>
        <v>648.19999999999993</v>
      </c>
      <c r="K795" s="8">
        <f>Table2[[#This Row],[Unit Cost]]*Table2[[#This Row],[Quantity]]</f>
        <v>578.19999999999993</v>
      </c>
      <c r="L795" s="8">
        <f>Table2[[#This Row],[Gross Sales]]-Table2[[#This Row],[COGS]]</f>
        <v>70</v>
      </c>
      <c r="M795" s="9">
        <f t="shared" si="12"/>
        <v>0.10799136069114472</v>
      </c>
      <c r="N795" s="7">
        <v>32.409999999999997</v>
      </c>
      <c r="O795" s="7">
        <v>680.61</v>
      </c>
      <c r="P795" s="10">
        <v>43523</v>
      </c>
      <c r="Q795" s="10" t="str">
        <f>TEXT(Table2[[#This Row],[Date]],"mmm")</f>
        <v>Feb</v>
      </c>
      <c r="R795" s="11">
        <v>0.53611111111111109</v>
      </c>
      <c r="S795" s="6" t="s">
        <v>37</v>
      </c>
      <c r="T795" s="7">
        <v>9.3000000000000007</v>
      </c>
      <c r="U795" s="6">
        <f>IF(_xlfn.XLOOKUP(A795,[1]Data2!$A:$A,[1]Data2!$B:$B,"no")="yes",1,0)</f>
        <v>0</v>
      </c>
    </row>
    <row r="796" spans="1:21" s="6" customFormat="1" x14ac:dyDescent="0.3">
      <c r="A796" s="6" t="s">
        <v>834</v>
      </c>
      <c r="B796" s="6" t="s">
        <v>22</v>
      </c>
      <c r="C796" s="6" t="s">
        <v>23</v>
      </c>
      <c r="D796" s="6" t="s">
        <v>31</v>
      </c>
      <c r="E796" s="6" t="s">
        <v>25</v>
      </c>
      <c r="F796" s="6" t="s">
        <v>32</v>
      </c>
      <c r="G796" s="7">
        <f>Table2[[#This Row],[Unit price]]-10</f>
        <v>36.61</v>
      </c>
      <c r="H796" s="7">
        <v>46.61</v>
      </c>
      <c r="I796" s="8">
        <v>2</v>
      </c>
      <c r="J796" s="8">
        <f>Table2[[#This Row],[Unit price]]*Table2[[#This Row],[Quantity]]</f>
        <v>93.22</v>
      </c>
      <c r="K796" s="8">
        <f>Table2[[#This Row],[Unit Cost]]*Table2[[#This Row],[Quantity]]</f>
        <v>73.22</v>
      </c>
      <c r="L796" s="8">
        <f>Table2[[#This Row],[Gross Sales]]-Table2[[#This Row],[COGS]]</f>
        <v>20</v>
      </c>
      <c r="M796" s="9">
        <f t="shared" si="12"/>
        <v>0.21454623471358078</v>
      </c>
      <c r="N796" s="7">
        <v>4.6609999999999996</v>
      </c>
      <c r="O796" s="7">
        <v>97.881</v>
      </c>
      <c r="P796" s="10">
        <v>43522</v>
      </c>
      <c r="Q796" s="10" t="str">
        <f>TEXT(Table2[[#This Row],[Date]],"mmm")</f>
        <v>Feb</v>
      </c>
      <c r="R796" s="11">
        <v>0.51944444444444449</v>
      </c>
      <c r="S796" s="6" t="s">
        <v>37</v>
      </c>
      <c r="T796" s="7">
        <v>6.6</v>
      </c>
      <c r="U796" s="6">
        <f>IF(_xlfn.XLOOKUP(A796,[1]Data2!$A:$A,[1]Data2!$B:$B,"no")="yes",1,0)</f>
        <v>0</v>
      </c>
    </row>
    <row r="797" spans="1:21" s="6" customFormat="1" x14ac:dyDescent="0.3">
      <c r="A797" s="6" t="s">
        <v>835</v>
      </c>
      <c r="B797" s="6" t="s">
        <v>46</v>
      </c>
      <c r="C797" s="6" t="s">
        <v>47</v>
      </c>
      <c r="D797" s="6" t="s">
        <v>31</v>
      </c>
      <c r="E797" s="6" t="s">
        <v>35</v>
      </c>
      <c r="F797" s="6" t="s">
        <v>50</v>
      </c>
      <c r="G797" s="7">
        <f>Table2[[#This Row],[Unit price]]-10</f>
        <v>17.18</v>
      </c>
      <c r="H797" s="7">
        <v>27.18</v>
      </c>
      <c r="I797" s="8">
        <v>2</v>
      </c>
      <c r="J797" s="8">
        <f>Table2[[#This Row],[Unit price]]*Table2[[#This Row],[Quantity]]</f>
        <v>54.36</v>
      </c>
      <c r="K797" s="8">
        <f>Table2[[#This Row],[Unit Cost]]*Table2[[#This Row],[Quantity]]</f>
        <v>34.36</v>
      </c>
      <c r="L797" s="8">
        <f>Table2[[#This Row],[Gross Sales]]-Table2[[#This Row],[COGS]]</f>
        <v>20</v>
      </c>
      <c r="M797" s="9">
        <f t="shared" si="12"/>
        <v>0.36791758646063283</v>
      </c>
      <c r="N797" s="7">
        <v>2.718</v>
      </c>
      <c r="O797" s="7">
        <v>57.078000000000003</v>
      </c>
      <c r="P797" s="10">
        <v>43539</v>
      </c>
      <c r="Q797" s="10" t="str">
        <f>TEXT(Table2[[#This Row],[Date]],"mmm")</f>
        <v>Mar</v>
      </c>
      <c r="R797" s="11">
        <v>0.68472222222222223</v>
      </c>
      <c r="S797" s="6" t="s">
        <v>27</v>
      </c>
      <c r="T797" s="7">
        <v>4.3</v>
      </c>
      <c r="U797" s="6">
        <f>IF(_xlfn.XLOOKUP(A797,[1]Data2!$A:$A,[1]Data2!$B:$B,"no")="yes",1,0)</f>
        <v>0</v>
      </c>
    </row>
    <row r="798" spans="1:21" s="6" customFormat="1" x14ac:dyDescent="0.3">
      <c r="A798" s="6" t="s">
        <v>836</v>
      </c>
      <c r="B798" s="6" t="s">
        <v>29</v>
      </c>
      <c r="C798" s="6" t="s">
        <v>30</v>
      </c>
      <c r="D798" s="6" t="s">
        <v>24</v>
      </c>
      <c r="E798" s="6" t="s">
        <v>25</v>
      </c>
      <c r="F798" s="6" t="s">
        <v>36</v>
      </c>
      <c r="G798" s="7">
        <f>Table2[[#This Row],[Unit price]]-10</f>
        <v>50.87</v>
      </c>
      <c r="H798" s="7">
        <v>60.87</v>
      </c>
      <c r="I798" s="8">
        <v>1</v>
      </c>
      <c r="J798" s="8">
        <f>Table2[[#This Row],[Unit price]]*Table2[[#This Row],[Quantity]]</f>
        <v>60.87</v>
      </c>
      <c r="K798" s="8">
        <f>Table2[[#This Row],[Unit Cost]]*Table2[[#This Row],[Quantity]]</f>
        <v>50.87</v>
      </c>
      <c r="L798" s="8">
        <f>Table2[[#This Row],[Gross Sales]]-Table2[[#This Row],[COGS]]</f>
        <v>10</v>
      </c>
      <c r="M798" s="9">
        <f t="shared" si="12"/>
        <v>0.16428454082470839</v>
      </c>
      <c r="N798" s="7">
        <v>3.0434999999999999</v>
      </c>
      <c r="O798" s="7">
        <v>63.913499999999999</v>
      </c>
      <c r="P798" s="10">
        <v>43489</v>
      </c>
      <c r="Q798" s="10" t="str">
        <f>TEXT(Table2[[#This Row],[Date]],"mmm")</f>
        <v>Jan</v>
      </c>
      <c r="R798" s="11">
        <v>0.55833333333333335</v>
      </c>
      <c r="S798" s="6" t="s">
        <v>33</v>
      </c>
      <c r="T798" s="7">
        <v>5.5</v>
      </c>
      <c r="U798" s="6">
        <f>IF(_xlfn.XLOOKUP(A798,[1]Data2!$A:$A,[1]Data2!$B:$B,"no")="yes",1,0)</f>
        <v>1</v>
      </c>
    </row>
    <row r="799" spans="1:21" s="6" customFormat="1" x14ac:dyDescent="0.3">
      <c r="A799" s="6" t="s">
        <v>837</v>
      </c>
      <c r="B799" s="6" t="s">
        <v>22</v>
      </c>
      <c r="C799" s="6" t="s">
        <v>23</v>
      </c>
      <c r="D799" s="6" t="s">
        <v>24</v>
      </c>
      <c r="E799" s="6" t="s">
        <v>25</v>
      </c>
      <c r="F799" s="6" t="s">
        <v>40</v>
      </c>
      <c r="G799" s="7">
        <f>Table2[[#This Row],[Unit price]]-10</f>
        <v>14.489999999999998</v>
      </c>
      <c r="H799" s="7">
        <v>24.49</v>
      </c>
      <c r="I799" s="8">
        <v>10</v>
      </c>
      <c r="J799" s="8">
        <f>Table2[[#This Row],[Unit price]]*Table2[[#This Row],[Quantity]]</f>
        <v>244.89999999999998</v>
      </c>
      <c r="K799" s="8">
        <f>Table2[[#This Row],[Unit Cost]]*Table2[[#This Row],[Quantity]]</f>
        <v>144.89999999999998</v>
      </c>
      <c r="L799" s="8">
        <f>Table2[[#This Row],[Gross Sales]]-Table2[[#This Row],[COGS]]</f>
        <v>100</v>
      </c>
      <c r="M799" s="9">
        <f t="shared" si="12"/>
        <v>0.40832993058391182</v>
      </c>
      <c r="N799" s="7">
        <v>12.244999999999999</v>
      </c>
      <c r="O799" s="7">
        <v>257.14499999999998</v>
      </c>
      <c r="P799" s="10">
        <v>43518</v>
      </c>
      <c r="Q799" s="10" t="str">
        <f>TEXT(Table2[[#This Row],[Date]],"mmm")</f>
        <v>Feb</v>
      </c>
      <c r="R799" s="11">
        <v>0.63541666666666663</v>
      </c>
      <c r="S799" s="6" t="s">
        <v>33</v>
      </c>
      <c r="T799" s="7">
        <v>8.1</v>
      </c>
      <c r="U799" s="6">
        <f>IF(_xlfn.XLOOKUP(A799,[1]Data2!$A:$A,[1]Data2!$B:$B,"no")="yes",1,0)</f>
        <v>0</v>
      </c>
    </row>
    <row r="800" spans="1:21" s="6" customFormat="1" x14ac:dyDescent="0.3">
      <c r="A800" s="6" t="s">
        <v>838</v>
      </c>
      <c r="B800" s="6" t="s">
        <v>46</v>
      </c>
      <c r="C800" s="6" t="s">
        <v>47</v>
      </c>
      <c r="D800" s="6" t="s">
        <v>31</v>
      </c>
      <c r="E800" s="6" t="s">
        <v>35</v>
      </c>
      <c r="F800" s="6" t="s">
        <v>26</v>
      </c>
      <c r="G800" s="7">
        <f>Table2[[#This Row],[Unit price]]-10</f>
        <v>82.78</v>
      </c>
      <c r="H800" s="7">
        <v>92.78</v>
      </c>
      <c r="I800" s="8">
        <v>1</v>
      </c>
      <c r="J800" s="8">
        <f>Table2[[#This Row],[Unit price]]*Table2[[#This Row],[Quantity]]</f>
        <v>92.78</v>
      </c>
      <c r="K800" s="8">
        <f>Table2[[#This Row],[Unit Cost]]*Table2[[#This Row],[Quantity]]</f>
        <v>82.78</v>
      </c>
      <c r="L800" s="8">
        <f>Table2[[#This Row],[Gross Sales]]-Table2[[#This Row],[COGS]]</f>
        <v>10</v>
      </c>
      <c r="M800" s="9">
        <f t="shared" si="12"/>
        <v>0.10778184953653805</v>
      </c>
      <c r="N800" s="7">
        <v>4.6390000000000002</v>
      </c>
      <c r="O800" s="7">
        <v>97.418999999999997</v>
      </c>
      <c r="P800" s="10">
        <v>43539</v>
      </c>
      <c r="Q800" s="10" t="str">
        <f>TEXT(Table2[[#This Row],[Date]],"mmm")</f>
        <v>Mar</v>
      </c>
      <c r="R800" s="11">
        <v>0.4513888888888889</v>
      </c>
      <c r="S800" s="6" t="s">
        <v>37</v>
      </c>
      <c r="T800" s="7">
        <v>9.8000000000000007</v>
      </c>
      <c r="U800" s="6">
        <f>IF(_xlfn.XLOOKUP(A800,[1]Data2!$A:$A,[1]Data2!$B:$B,"no")="yes",1,0)</f>
        <v>0</v>
      </c>
    </row>
    <row r="801" spans="1:21" s="6" customFormat="1" x14ac:dyDescent="0.3">
      <c r="A801" s="6" t="s">
        <v>839</v>
      </c>
      <c r="B801" s="6" t="s">
        <v>29</v>
      </c>
      <c r="C801" s="6" t="s">
        <v>30</v>
      </c>
      <c r="D801" s="6" t="s">
        <v>24</v>
      </c>
      <c r="E801" s="6" t="s">
        <v>35</v>
      </c>
      <c r="F801" s="6" t="s">
        <v>36</v>
      </c>
      <c r="G801" s="7">
        <f>Table2[[#This Row],[Unit price]]-10</f>
        <v>76.69</v>
      </c>
      <c r="H801" s="7">
        <v>86.69</v>
      </c>
      <c r="I801" s="8">
        <v>5</v>
      </c>
      <c r="J801" s="8">
        <f>Table2[[#This Row],[Unit price]]*Table2[[#This Row],[Quantity]]</f>
        <v>433.45</v>
      </c>
      <c r="K801" s="8">
        <f>Table2[[#This Row],[Unit Cost]]*Table2[[#This Row],[Quantity]]</f>
        <v>383.45</v>
      </c>
      <c r="L801" s="8">
        <f>Table2[[#This Row],[Gross Sales]]-Table2[[#This Row],[COGS]]</f>
        <v>50</v>
      </c>
      <c r="M801" s="9">
        <f t="shared" si="12"/>
        <v>0.11535355865728458</v>
      </c>
      <c r="N801" s="7">
        <v>21.672499999999999</v>
      </c>
      <c r="O801" s="7">
        <v>455.1225</v>
      </c>
      <c r="P801" s="10">
        <v>43507</v>
      </c>
      <c r="Q801" s="10" t="str">
        <f>TEXT(Table2[[#This Row],[Date]],"mmm")</f>
        <v>Feb</v>
      </c>
      <c r="R801" s="11">
        <v>0.77638888888888891</v>
      </c>
      <c r="S801" s="6" t="s">
        <v>27</v>
      </c>
      <c r="T801" s="7">
        <v>9.4</v>
      </c>
      <c r="U801" s="6">
        <f>IF(_xlfn.XLOOKUP(A801,[1]Data2!$A:$A,[1]Data2!$B:$B,"no")="yes",1,0)</f>
        <v>0</v>
      </c>
    </row>
    <row r="802" spans="1:21" s="6" customFormat="1" x14ac:dyDescent="0.3">
      <c r="A802" s="6" t="s">
        <v>840</v>
      </c>
      <c r="B802" s="6" t="s">
        <v>46</v>
      </c>
      <c r="C802" s="6" t="s">
        <v>47</v>
      </c>
      <c r="D802" s="6" t="s">
        <v>31</v>
      </c>
      <c r="E802" s="6" t="s">
        <v>35</v>
      </c>
      <c r="F802" s="6" t="s">
        <v>40</v>
      </c>
      <c r="G802" s="7">
        <f>Table2[[#This Row],[Unit price]]-10</f>
        <v>13.010000000000002</v>
      </c>
      <c r="H802" s="7">
        <v>23.01</v>
      </c>
      <c r="I802" s="8">
        <v>6</v>
      </c>
      <c r="J802" s="8">
        <f>Table2[[#This Row],[Unit price]]*Table2[[#This Row],[Quantity]]</f>
        <v>138.06</v>
      </c>
      <c r="K802" s="8">
        <f>Table2[[#This Row],[Unit Cost]]*Table2[[#This Row],[Quantity]]</f>
        <v>78.06</v>
      </c>
      <c r="L802" s="8">
        <f>Table2[[#This Row],[Gross Sales]]-Table2[[#This Row],[COGS]]</f>
        <v>60</v>
      </c>
      <c r="M802" s="9">
        <f t="shared" si="12"/>
        <v>0.43459365493263796</v>
      </c>
      <c r="N802" s="7">
        <v>6.9029999999999996</v>
      </c>
      <c r="O802" s="7">
        <v>144.96299999999999</v>
      </c>
      <c r="P802" s="10">
        <v>43477</v>
      </c>
      <c r="Q802" s="10" t="str">
        <f>TEXT(Table2[[#This Row],[Date]],"mmm")</f>
        <v>Jan</v>
      </c>
      <c r="R802" s="11">
        <v>0.69791666666666663</v>
      </c>
      <c r="S802" s="6" t="s">
        <v>27</v>
      </c>
      <c r="T802" s="7">
        <v>7.9</v>
      </c>
      <c r="U802" s="6">
        <f>IF(_xlfn.XLOOKUP(A802,[1]Data2!$A:$A,[1]Data2!$B:$B,"no")="yes",1,0)</f>
        <v>1</v>
      </c>
    </row>
    <row r="803" spans="1:21" s="6" customFormat="1" x14ac:dyDescent="0.3">
      <c r="A803" s="6" t="s">
        <v>841</v>
      </c>
      <c r="B803" s="6" t="s">
        <v>29</v>
      </c>
      <c r="C803" s="6" t="s">
        <v>30</v>
      </c>
      <c r="D803" s="6" t="s">
        <v>24</v>
      </c>
      <c r="E803" s="6" t="s">
        <v>25</v>
      </c>
      <c r="F803" s="6" t="s">
        <v>32</v>
      </c>
      <c r="G803" s="7">
        <f>Table2[[#This Row],[Unit price]]-10</f>
        <v>20.2</v>
      </c>
      <c r="H803" s="7">
        <v>30.2</v>
      </c>
      <c r="I803" s="8">
        <v>8</v>
      </c>
      <c r="J803" s="8">
        <f>Table2[[#This Row],[Unit price]]*Table2[[#This Row],[Quantity]]</f>
        <v>241.6</v>
      </c>
      <c r="K803" s="8">
        <f>Table2[[#This Row],[Unit Cost]]*Table2[[#This Row],[Quantity]]</f>
        <v>161.6</v>
      </c>
      <c r="L803" s="8">
        <f>Table2[[#This Row],[Gross Sales]]-Table2[[#This Row],[COGS]]</f>
        <v>80</v>
      </c>
      <c r="M803" s="9">
        <f t="shared" si="12"/>
        <v>0.33112582781456956</v>
      </c>
      <c r="N803" s="7">
        <v>12.08</v>
      </c>
      <c r="O803" s="7">
        <v>253.68</v>
      </c>
      <c r="P803" s="10">
        <v>43527</v>
      </c>
      <c r="Q803" s="10" t="str">
        <f>TEXT(Table2[[#This Row],[Date]],"mmm")</f>
        <v>Mar</v>
      </c>
      <c r="R803" s="11">
        <v>0.8125</v>
      </c>
      <c r="S803" s="6" t="s">
        <v>27</v>
      </c>
      <c r="T803" s="7">
        <v>5.0999999999999996</v>
      </c>
      <c r="U803" s="6">
        <f>IF(_xlfn.XLOOKUP(A803,[1]Data2!$A:$A,[1]Data2!$B:$B,"no")="yes",1,0)</f>
        <v>0</v>
      </c>
    </row>
    <row r="804" spans="1:21" s="6" customFormat="1" x14ac:dyDescent="0.3">
      <c r="A804" s="6" t="s">
        <v>842</v>
      </c>
      <c r="B804" s="6" t="s">
        <v>29</v>
      </c>
      <c r="C804" s="6" t="s">
        <v>30</v>
      </c>
      <c r="D804" s="6" t="s">
        <v>24</v>
      </c>
      <c r="E804" s="6" t="s">
        <v>35</v>
      </c>
      <c r="F804" s="6" t="s">
        <v>50</v>
      </c>
      <c r="G804" s="7">
        <f>Table2[[#This Row],[Unit price]]-10</f>
        <v>57.39</v>
      </c>
      <c r="H804" s="7">
        <v>67.39</v>
      </c>
      <c r="I804" s="8">
        <v>7</v>
      </c>
      <c r="J804" s="8">
        <f>Table2[[#This Row],[Unit price]]*Table2[[#This Row],[Quantity]]</f>
        <v>471.73</v>
      </c>
      <c r="K804" s="8">
        <f>Table2[[#This Row],[Unit Cost]]*Table2[[#This Row],[Quantity]]</f>
        <v>401.73</v>
      </c>
      <c r="L804" s="8">
        <f>Table2[[#This Row],[Gross Sales]]-Table2[[#This Row],[COGS]]</f>
        <v>70</v>
      </c>
      <c r="M804" s="9">
        <f t="shared" si="12"/>
        <v>0.14838996883810654</v>
      </c>
      <c r="N804" s="7">
        <v>23.586500000000001</v>
      </c>
      <c r="O804" s="7">
        <v>495.31650000000002</v>
      </c>
      <c r="P804" s="10">
        <v>43547</v>
      </c>
      <c r="Q804" s="10" t="str">
        <f>TEXT(Table2[[#This Row],[Date]],"mmm")</f>
        <v>Mar</v>
      </c>
      <c r="R804" s="11">
        <v>0.55763888888888891</v>
      </c>
      <c r="S804" s="6" t="s">
        <v>27</v>
      </c>
      <c r="T804" s="7">
        <v>6.9</v>
      </c>
      <c r="U804" s="6">
        <f>IF(_xlfn.XLOOKUP(A804,[1]Data2!$A:$A,[1]Data2!$B:$B,"no")="yes",1,0)</f>
        <v>0</v>
      </c>
    </row>
    <row r="805" spans="1:21" s="6" customFormat="1" x14ac:dyDescent="0.3">
      <c r="A805" s="6" t="s">
        <v>843</v>
      </c>
      <c r="B805" s="6" t="s">
        <v>22</v>
      </c>
      <c r="C805" s="6" t="s">
        <v>23</v>
      </c>
      <c r="D805" s="6" t="s">
        <v>24</v>
      </c>
      <c r="E805" s="6" t="s">
        <v>25</v>
      </c>
      <c r="F805" s="6" t="s">
        <v>50</v>
      </c>
      <c r="G805" s="7">
        <f>Table2[[#This Row],[Unit price]]-10</f>
        <v>38.96</v>
      </c>
      <c r="H805" s="7">
        <v>48.96</v>
      </c>
      <c r="I805" s="8">
        <v>9</v>
      </c>
      <c r="J805" s="8">
        <f>Table2[[#This Row],[Unit price]]*Table2[[#This Row],[Quantity]]</f>
        <v>440.64</v>
      </c>
      <c r="K805" s="8">
        <f>Table2[[#This Row],[Unit Cost]]*Table2[[#This Row],[Quantity]]</f>
        <v>350.64</v>
      </c>
      <c r="L805" s="8">
        <f>Table2[[#This Row],[Gross Sales]]-Table2[[#This Row],[COGS]]</f>
        <v>90</v>
      </c>
      <c r="M805" s="9">
        <f t="shared" si="12"/>
        <v>0.20424836601307189</v>
      </c>
      <c r="N805" s="7">
        <v>22.032</v>
      </c>
      <c r="O805" s="7">
        <v>462.67200000000003</v>
      </c>
      <c r="P805" s="10">
        <v>43528</v>
      </c>
      <c r="Q805" s="10" t="str">
        <f>TEXT(Table2[[#This Row],[Date]],"mmm")</f>
        <v>Mar</v>
      </c>
      <c r="R805" s="11">
        <v>0.4770833333333333</v>
      </c>
      <c r="S805" s="6" t="s">
        <v>33</v>
      </c>
      <c r="T805" s="7">
        <v>8</v>
      </c>
      <c r="U805" s="6">
        <f>IF(_xlfn.XLOOKUP(A805,[1]Data2!$A:$A,[1]Data2!$B:$B,"no")="yes",1,0)</f>
        <v>0</v>
      </c>
    </row>
    <row r="806" spans="1:21" s="6" customFormat="1" x14ac:dyDescent="0.3">
      <c r="A806" s="6" t="s">
        <v>844</v>
      </c>
      <c r="B806" s="6" t="s">
        <v>46</v>
      </c>
      <c r="C806" s="6" t="s">
        <v>47</v>
      </c>
      <c r="D806" s="6" t="s">
        <v>24</v>
      </c>
      <c r="E806" s="6" t="s">
        <v>25</v>
      </c>
      <c r="F806" s="6" t="s">
        <v>32</v>
      </c>
      <c r="G806" s="7">
        <f>Table2[[#This Row],[Unit price]]-10</f>
        <v>65.59</v>
      </c>
      <c r="H806" s="7">
        <v>75.59</v>
      </c>
      <c r="I806" s="8">
        <v>9</v>
      </c>
      <c r="J806" s="8">
        <f>Table2[[#This Row],[Unit price]]*Table2[[#This Row],[Quantity]]</f>
        <v>680.31000000000006</v>
      </c>
      <c r="K806" s="8">
        <f>Table2[[#This Row],[Unit Cost]]*Table2[[#This Row],[Quantity]]</f>
        <v>590.31000000000006</v>
      </c>
      <c r="L806" s="8">
        <f>Table2[[#This Row],[Gross Sales]]-Table2[[#This Row],[COGS]]</f>
        <v>90</v>
      </c>
      <c r="M806" s="9">
        <f t="shared" si="12"/>
        <v>0.13229263130043656</v>
      </c>
      <c r="N806" s="7">
        <v>34.015500000000003</v>
      </c>
      <c r="O806" s="7">
        <v>714.32550000000003</v>
      </c>
      <c r="P806" s="10">
        <v>43519</v>
      </c>
      <c r="Q806" s="10" t="str">
        <f>TEXT(Table2[[#This Row],[Date]],"mmm")</f>
        <v>Feb</v>
      </c>
      <c r="R806" s="11">
        <v>0.46666666666666662</v>
      </c>
      <c r="S806" s="6" t="s">
        <v>33</v>
      </c>
      <c r="T806" s="7">
        <v>8</v>
      </c>
      <c r="U806" s="6">
        <f>IF(_xlfn.XLOOKUP(A806,[1]Data2!$A:$A,[1]Data2!$B:$B,"no")="yes",1,0)</f>
        <v>1</v>
      </c>
    </row>
    <row r="807" spans="1:21" s="6" customFormat="1" x14ac:dyDescent="0.3">
      <c r="A807" s="6" t="s">
        <v>845</v>
      </c>
      <c r="B807" s="6" t="s">
        <v>22</v>
      </c>
      <c r="C807" s="6" t="s">
        <v>23</v>
      </c>
      <c r="D807" s="6" t="s">
        <v>31</v>
      </c>
      <c r="E807" s="6" t="s">
        <v>25</v>
      </c>
      <c r="F807" s="6" t="s">
        <v>36</v>
      </c>
      <c r="G807" s="7">
        <f>Table2[[#This Row],[Unit price]]-10</f>
        <v>67.47</v>
      </c>
      <c r="H807" s="7">
        <v>77.47</v>
      </c>
      <c r="I807" s="8">
        <v>4</v>
      </c>
      <c r="J807" s="8">
        <f>Table2[[#This Row],[Unit price]]*Table2[[#This Row],[Quantity]]</f>
        <v>309.88</v>
      </c>
      <c r="K807" s="8">
        <f>Table2[[#This Row],[Unit Cost]]*Table2[[#This Row],[Quantity]]</f>
        <v>269.88</v>
      </c>
      <c r="L807" s="8">
        <f>Table2[[#This Row],[Gross Sales]]-Table2[[#This Row],[COGS]]</f>
        <v>40</v>
      </c>
      <c r="M807" s="9">
        <f t="shared" si="12"/>
        <v>0.1290822253775655</v>
      </c>
      <c r="N807" s="7">
        <v>15.494</v>
      </c>
      <c r="O807" s="7">
        <v>325.37400000000002</v>
      </c>
      <c r="P807" s="10">
        <v>43541</v>
      </c>
      <c r="Q807" s="10" t="str">
        <f>TEXT(Table2[[#This Row],[Date]],"mmm")</f>
        <v>Mar</v>
      </c>
      <c r="R807" s="11">
        <v>0.69166666666666676</v>
      </c>
      <c r="S807" s="6" t="s">
        <v>33</v>
      </c>
      <c r="T807" s="7">
        <v>4.2</v>
      </c>
      <c r="U807" s="6">
        <f>IF(_xlfn.XLOOKUP(A807,[1]Data2!$A:$A,[1]Data2!$B:$B,"no")="yes",1,0)</f>
        <v>0</v>
      </c>
    </row>
    <row r="808" spans="1:21" s="6" customFormat="1" x14ac:dyDescent="0.3">
      <c r="A808" s="6" t="s">
        <v>846</v>
      </c>
      <c r="B808" s="6" t="s">
        <v>22</v>
      </c>
      <c r="C808" s="6" t="s">
        <v>23</v>
      </c>
      <c r="D808" s="6" t="s">
        <v>31</v>
      </c>
      <c r="E808" s="6" t="s">
        <v>25</v>
      </c>
      <c r="F808" s="6" t="s">
        <v>40</v>
      </c>
      <c r="G808" s="7">
        <f>Table2[[#This Row],[Unit price]]-10</f>
        <v>83.18</v>
      </c>
      <c r="H808" s="7">
        <v>93.18</v>
      </c>
      <c r="I808" s="8">
        <v>2</v>
      </c>
      <c r="J808" s="8">
        <f>Table2[[#This Row],[Unit price]]*Table2[[#This Row],[Quantity]]</f>
        <v>186.36</v>
      </c>
      <c r="K808" s="8">
        <f>Table2[[#This Row],[Unit Cost]]*Table2[[#This Row],[Quantity]]</f>
        <v>166.36</v>
      </c>
      <c r="L808" s="8">
        <f>Table2[[#This Row],[Gross Sales]]-Table2[[#This Row],[COGS]]</f>
        <v>20</v>
      </c>
      <c r="M808" s="9">
        <f t="shared" si="12"/>
        <v>0.1073191672032625</v>
      </c>
      <c r="N808" s="7">
        <v>9.3179999999999996</v>
      </c>
      <c r="O808" s="7">
        <v>195.678</v>
      </c>
      <c r="P808" s="10">
        <v>43481</v>
      </c>
      <c r="Q808" s="10" t="str">
        <f>TEXT(Table2[[#This Row],[Date]],"mmm")</f>
        <v>Jan</v>
      </c>
      <c r="R808" s="11">
        <v>0.77847222222222223</v>
      </c>
      <c r="S808" s="6" t="s">
        <v>37</v>
      </c>
      <c r="T808" s="7">
        <v>8.5</v>
      </c>
      <c r="U808" s="6">
        <f>IF(_xlfn.XLOOKUP(A808,[1]Data2!$A:$A,[1]Data2!$B:$B,"no")="yes",1,0)</f>
        <v>0</v>
      </c>
    </row>
    <row r="809" spans="1:21" s="6" customFormat="1" x14ac:dyDescent="0.3">
      <c r="A809" s="6" t="s">
        <v>847</v>
      </c>
      <c r="B809" s="6" t="s">
        <v>22</v>
      </c>
      <c r="C809" s="6" t="s">
        <v>23</v>
      </c>
      <c r="D809" s="6" t="s">
        <v>31</v>
      </c>
      <c r="E809" s="6" t="s">
        <v>25</v>
      </c>
      <c r="F809" s="6" t="s">
        <v>32</v>
      </c>
      <c r="G809" s="7">
        <f>Table2[[#This Row],[Unit price]]-10</f>
        <v>40.229999999999997</v>
      </c>
      <c r="H809" s="7">
        <v>50.23</v>
      </c>
      <c r="I809" s="8">
        <v>4</v>
      </c>
      <c r="J809" s="8">
        <f>Table2[[#This Row],[Unit price]]*Table2[[#This Row],[Quantity]]</f>
        <v>200.92</v>
      </c>
      <c r="K809" s="8">
        <f>Table2[[#This Row],[Unit Cost]]*Table2[[#This Row],[Quantity]]</f>
        <v>160.91999999999999</v>
      </c>
      <c r="L809" s="8">
        <f>Table2[[#This Row],[Gross Sales]]-Table2[[#This Row],[COGS]]</f>
        <v>40</v>
      </c>
      <c r="M809" s="9">
        <f t="shared" si="12"/>
        <v>0.19908421262193909</v>
      </c>
      <c r="N809" s="7">
        <v>10.045999999999999</v>
      </c>
      <c r="O809" s="7">
        <v>210.96600000000001</v>
      </c>
      <c r="P809" s="10">
        <v>43473</v>
      </c>
      <c r="Q809" s="10" t="str">
        <f>TEXT(Table2[[#This Row],[Date]],"mmm")</f>
        <v>Jan</v>
      </c>
      <c r="R809" s="11">
        <v>0.71666666666666667</v>
      </c>
      <c r="S809" s="6" t="s">
        <v>33</v>
      </c>
      <c r="T809" s="7">
        <v>9</v>
      </c>
      <c r="U809" s="6">
        <f>IF(_xlfn.XLOOKUP(A809,[1]Data2!$A:$A,[1]Data2!$B:$B,"no")="yes",1,0)</f>
        <v>0</v>
      </c>
    </row>
    <row r="810" spans="1:21" s="6" customFormat="1" x14ac:dyDescent="0.3">
      <c r="A810" s="6" t="s">
        <v>848</v>
      </c>
      <c r="B810" s="6" t="s">
        <v>46</v>
      </c>
      <c r="C810" s="6" t="s">
        <v>47</v>
      </c>
      <c r="D810" s="6" t="s">
        <v>31</v>
      </c>
      <c r="E810" s="6" t="s">
        <v>25</v>
      </c>
      <c r="F810" s="6" t="s">
        <v>26</v>
      </c>
      <c r="G810" s="7">
        <f>Table2[[#This Row],[Unit price]]-10</f>
        <v>7.75</v>
      </c>
      <c r="H810" s="7">
        <v>17.75</v>
      </c>
      <c r="I810" s="8">
        <v>1</v>
      </c>
      <c r="J810" s="8">
        <f>Table2[[#This Row],[Unit price]]*Table2[[#This Row],[Quantity]]</f>
        <v>17.75</v>
      </c>
      <c r="K810" s="8">
        <f>Table2[[#This Row],[Unit Cost]]*Table2[[#This Row],[Quantity]]</f>
        <v>7.75</v>
      </c>
      <c r="L810" s="8">
        <f>Table2[[#This Row],[Gross Sales]]-Table2[[#This Row],[COGS]]</f>
        <v>10</v>
      </c>
      <c r="M810" s="9">
        <f t="shared" si="12"/>
        <v>0.56338028169014087</v>
      </c>
      <c r="N810" s="7">
        <v>0.88749999999999996</v>
      </c>
      <c r="O810" s="7">
        <v>18.637499999999999</v>
      </c>
      <c r="P810" s="10">
        <v>43479</v>
      </c>
      <c r="Q810" s="10" t="str">
        <f>TEXT(Table2[[#This Row],[Date]],"mmm")</f>
        <v>Jan</v>
      </c>
      <c r="R810" s="11">
        <v>0.44305555555555554</v>
      </c>
      <c r="S810" s="6" t="s">
        <v>33</v>
      </c>
      <c r="T810" s="7">
        <v>8.6</v>
      </c>
      <c r="U810" s="6">
        <f>IF(_xlfn.XLOOKUP(A810,[1]Data2!$A:$A,[1]Data2!$B:$B,"no")="yes",1,0)</f>
        <v>1</v>
      </c>
    </row>
    <row r="811" spans="1:21" s="6" customFormat="1" x14ac:dyDescent="0.3">
      <c r="A811" s="6" t="s">
        <v>849</v>
      </c>
      <c r="B811" s="6" t="s">
        <v>29</v>
      </c>
      <c r="C811" s="6" t="s">
        <v>30</v>
      </c>
      <c r="D811" s="6" t="s">
        <v>31</v>
      </c>
      <c r="E811" s="6" t="s">
        <v>25</v>
      </c>
      <c r="F811" s="6" t="s">
        <v>50</v>
      </c>
      <c r="G811" s="7">
        <f>Table2[[#This Row],[Unit price]]-10</f>
        <v>52.18</v>
      </c>
      <c r="H811" s="7">
        <v>62.18</v>
      </c>
      <c r="I811" s="8">
        <v>10</v>
      </c>
      <c r="J811" s="8">
        <f>Table2[[#This Row],[Unit price]]*Table2[[#This Row],[Quantity]]</f>
        <v>621.79999999999995</v>
      </c>
      <c r="K811" s="8">
        <f>Table2[[#This Row],[Unit Cost]]*Table2[[#This Row],[Quantity]]</f>
        <v>521.79999999999995</v>
      </c>
      <c r="L811" s="8">
        <f>Table2[[#This Row],[Gross Sales]]-Table2[[#This Row],[COGS]]</f>
        <v>100</v>
      </c>
      <c r="M811" s="9">
        <f t="shared" si="12"/>
        <v>0.1608234158893535</v>
      </c>
      <c r="N811" s="7">
        <v>31.09</v>
      </c>
      <c r="O811" s="7">
        <v>652.89</v>
      </c>
      <c r="P811" s="10">
        <v>43496</v>
      </c>
      <c r="Q811" s="10" t="str">
        <f>TEXT(Table2[[#This Row],[Date]],"mmm")</f>
        <v>Jan</v>
      </c>
      <c r="R811" s="11">
        <v>0.43958333333333338</v>
      </c>
      <c r="S811" s="6" t="s">
        <v>27</v>
      </c>
      <c r="T811" s="7">
        <v>6</v>
      </c>
      <c r="U811" s="6">
        <f>IF(_xlfn.XLOOKUP(A811,[1]Data2!$A:$A,[1]Data2!$B:$B,"no")="yes",1,0)</f>
        <v>0</v>
      </c>
    </row>
    <row r="812" spans="1:21" s="6" customFormat="1" x14ac:dyDescent="0.3">
      <c r="A812" s="6" t="s">
        <v>850</v>
      </c>
      <c r="B812" s="6" t="s">
        <v>46</v>
      </c>
      <c r="C812" s="6" t="s">
        <v>47</v>
      </c>
      <c r="D812" s="6" t="s">
        <v>31</v>
      </c>
      <c r="E812" s="6" t="s">
        <v>35</v>
      </c>
      <c r="F812" s="6" t="s">
        <v>26</v>
      </c>
      <c r="G812" s="7">
        <f>Table2[[#This Row],[Unit price]]-10</f>
        <v>0.75</v>
      </c>
      <c r="H812" s="7">
        <v>10.75</v>
      </c>
      <c r="I812" s="8">
        <v>8</v>
      </c>
      <c r="J812" s="8">
        <f>Table2[[#This Row],[Unit price]]*Table2[[#This Row],[Quantity]]</f>
        <v>86</v>
      </c>
      <c r="K812" s="8">
        <f>Table2[[#This Row],[Unit Cost]]*Table2[[#This Row],[Quantity]]</f>
        <v>6</v>
      </c>
      <c r="L812" s="8">
        <f>Table2[[#This Row],[Gross Sales]]-Table2[[#This Row],[COGS]]</f>
        <v>80</v>
      </c>
      <c r="M812" s="9">
        <f t="shared" si="12"/>
        <v>0.93023255813953487</v>
      </c>
      <c r="N812" s="7">
        <v>4.3</v>
      </c>
      <c r="O812" s="7">
        <v>90.3</v>
      </c>
      <c r="P812" s="10">
        <v>43539</v>
      </c>
      <c r="Q812" s="10" t="str">
        <f>TEXT(Table2[[#This Row],[Date]],"mmm")</f>
        <v>Mar</v>
      </c>
      <c r="R812" s="11">
        <v>0.60972222222222217</v>
      </c>
      <c r="S812" s="6" t="s">
        <v>27</v>
      </c>
      <c r="T812" s="7">
        <v>6.2</v>
      </c>
      <c r="U812" s="6">
        <f>IF(_xlfn.XLOOKUP(A812,[1]Data2!$A:$A,[1]Data2!$B:$B,"no")="yes",1,0)</f>
        <v>0</v>
      </c>
    </row>
    <row r="813" spans="1:21" s="6" customFormat="1" x14ac:dyDescent="0.3">
      <c r="A813" s="6" t="s">
        <v>851</v>
      </c>
      <c r="B813" s="6" t="s">
        <v>22</v>
      </c>
      <c r="C813" s="6" t="s">
        <v>23</v>
      </c>
      <c r="D813" s="6" t="s">
        <v>31</v>
      </c>
      <c r="E813" s="6" t="s">
        <v>25</v>
      </c>
      <c r="F813" s="6" t="s">
        <v>32</v>
      </c>
      <c r="G813" s="7">
        <f>Table2[[#This Row],[Unit price]]-10</f>
        <v>30.259999999999998</v>
      </c>
      <c r="H813" s="7">
        <v>40.26</v>
      </c>
      <c r="I813" s="8">
        <v>10</v>
      </c>
      <c r="J813" s="8">
        <f>Table2[[#This Row],[Unit price]]*Table2[[#This Row],[Quantity]]</f>
        <v>402.59999999999997</v>
      </c>
      <c r="K813" s="8">
        <f>Table2[[#This Row],[Unit Cost]]*Table2[[#This Row],[Quantity]]</f>
        <v>302.59999999999997</v>
      </c>
      <c r="L813" s="8">
        <f>Table2[[#This Row],[Gross Sales]]-Table2[[#This Row],[COGS]]</f>
        <v>100</v>
      </c>
      <c r="M813" s="9">
        <f t="shared" si="12"/>
        <v>0.24838549428713366</v>
      </c>
      <c r="N813" s="7">
        <v>20.13</v>
      </c>
      <c r="O813" s="7">
        <v>422.73</v>
      </c>
      <c r="P813" s="10">
        <v>43520</v>
      </c>
      <c r="Q813" s="10" t="str">
        <f>TEXT(Table2[[#This Row],[Date]],"mmm")</f>
        <v>Feb</v>
      </c>
      <c r="R813" s="11">
        <v>0.75416666666666676</v>
      </c>
      <c r="S813" s="6" t="s">
        <v>37</v>
      </c>
      <c r="T813" s="7">
        <v>5</v>
      </c>
      <c r="U813" s="6">
        <f>IF(_xlfn.XLOOKUP(A813,[1]Data2!$A:$A,[1]Data2!$B:$B,"no")="yes",1,0)</f>
        <v>0</v>
      </c>
    </row>
    <row r="814" spans="1:21" s="6" customFormat="1" x14ac:dyDescent="0.3">
      <c r="A814" s="6" t="s">
        <v>852</v>
      </c>
      <c r="B814" s="6" t="s">
        <v>29</v>
      </c>
      <c r="C814" s="6" t="s">
        <v>30</v>
      </c>
      <c r="D814" s="6" t="s">
        <v>24</v>
      </c>
      <c r="E814" s="6" t="s">
        <v>25</v>
      </c>
      <c r="F814" s="6" t="s">
        <v>40</v>
      </c>
      <c r="G814" s="7">
        <f>Table2[[#This Row],[Unit price]]-10</f>
        <v>54.97</v>
      </c>
      <c r="H814" s="7">
        <v>64.97</v>
      </c>
      <c r="I814" s="8">
        <v>5</v>
      </c>
      <c r="J814" s="8">
        <f>Table2[[#This Row],[Unit price]]*Table2[[#This Row],[Quantity]]</f>
        <v>324.85000000000002</v>
      </c>
      <c r="K814" s="8">
        <f>Table2[[#This Row],[Unit Cost]]*Table2[[#This Row],[Quantity]]</f>
        <v>274.85000000000002</v>
      </c>
      <c r="L814" s="8">
        <f>Table2[[#This Row],[Gross Sales]]-Table2[[#This Row],[COGS]]</f>
        <v>50</v>
      </c>
      <c r="M814" s="9">
        <f t="shared" si="12"/>
        <v>0.15391719255040787</v>
      </c>
      <c r="N814" s="7">
        <v>16.2425</v>
      </c>
      <c r="O814" s="7">
        <v>341.09249999999997</v>
      </c>
      <c r="P814" s="10">
        <v>43504</v>
      </c>
      <c r="Q814" s="10" t="str">
        <f>TEXT(Table2[[#This Row],[Date]],"mmm")</f>
        <v>Feb</v>
      </c>
      <c r="R814" s="11">
        <v>0.53611111111111109</v>
      </c>
      <c r="S814" s="6" t="s">
        <v>37</v>
      </c>
      <c r="T814" s="7">
        <v>6.5</v>
      </c>
      <c r="U814" s="6">
        <f>IF(_xlfn.XLOOKUP(A814,[1]Data2!$A:$A,[1]Data2!$B:$B,"no")="yes",1,0)</f>
        <v>1</v>
      </c>
    </row>
    <row r="815" spans="1:21" s="6" customFormat="1" x14ac:dyDescent="0.3">
      <c r="A815" s="6" t="s">
        <v>853</v>
      </c>
      <c r="B815" s="6" t="s">
        <v>22</v>
      </c>
      <c r="C815" s="6" t="s">
        <v>23</v>
      </c>
      <c r="D815" s="6" t="s">
        <v>31</v>
      </c>
      <c r="E815" s="6" t="s">
        <v>35</v>
      </c>
      <c r="F815" s="6" t="s">
        <v>32</v>
      </c>
      <c r="G815" s="7">
        <f>Table2[[#This Row],[Unit price]]-10</f>
        <v>85.15</v>
      </c>
      <c r="H815" s="7">
        <v>95.15</v>
      </c>
      <c r="I815" s="8">
        <v>1</v>
      </c>
      <c r="J815" s="8">
        <f>Table2[[#This Row],[Unit price]]*Table2[[#This Row],[Quantity]]</f>
        <v>95.15</v>
      </c>
      <c r="K815" s="8">
        <f>Table2[[#This Row],[Unit Cost]]*Table2[[#This Row],[Quantity]]</f>
        <v>85.15</v>
      </c>
      <c r="L815" s="8">
        <f>Table2[[#This Row],[Gross Sales]]-Table2[[#This Row],[COGS]]</f>
        <v>10</v>
      </c>
      <c r="M815" s="9">
        <f t="shared" si="12"/>
        <v>0.10509721492380451</v>
      </c>
      <c r="N815" s="7">
        <v>4.7575000000000003</v>
      </c>
      <c r="O815" s="7">
        <v>99.907499999999999</v>
      </c>
      <c r="P815" s="10">
        <v>43546</v>
      </c>
      <c r="Q815" s="10" t="str">
        <f>TEXT(Table2[[#This Row],[Date]],"mmm")</f>
        <v>Mar</v>
      </c>
      <c r="R815" s="11">
        <v>0.58333333333333337</v>
      </c>
      <c r="S815" s="6" t="s">
        <v>33</v>
      </c>
      <c r="T815" s="7">
        <v>6</v>
      </c>
      <c r="U815" s="6">
        <f>IF(_xlfn.XLOOKUP(A815,[1]Data2!$A:$A,[1]Data2!$B:$B,"no")="yes",1,0)</f>
        <v>0</v>
      </c>
    </row>
    <row r="816" spans="1:21" s="6" customFormat="1" x14ac:dyDescent="0.3">
      <c r="A816" s="6" t="s">
        <v>854</v>
      </c>
      <c r="B816" s="6" t="s">
        <v>22</v>
      </c>
      <c r="C816" s="6" t="s">
        <v>23</v>
      </c>
      <c r="D816" s="6" t="s">
        <v>24</v>
      </c>
      <c r="E816" s="6" t="s">
        <v>25</v>
      </c>
      <c r="F816" s="6" t="s">
        <v>32</v>
      </c>
      <c r="G816" s="7">
        <f>Table2[[#This Row],[Unit price]]-10</f>
        <v>38.619999999999997</v>
      </c>
      <c r="H816" s="7">
        <v>48.62</v>
      </c>
      <c r="I816" s="8">
        <v>8</v>
      </c>
      <c r="J816" s="8">
        <f>Table2[[#This Row],[Unit price]]*Table2[[#This Row],[Quantity]]</f>
        <v>388.96</v>
      </c>
      <c r="K816" s="8">
        <f>Table2[[#This Row],[Unit Cost]]*Table2[[#This Row],[Quantity]]</f>
        <v>308.95999999999998</v>
      </c>
      <c r="L816" s="8">
        <f>Table2[[#This Row],[Gross Sales]]-Table2[[#This Row],[COGS]]</f>
        <v>80</v>
      </c>
      <c r="M816" s="9">
        <f t="shared" si="12"/>
        <v>0.20567667626491157</v>
      </c>
      <c r="N816" s="7">
        <v>19.448</v>
      </c>
      <c r="O816" s="7">
        <v>408.40800000000002</v>
      </c>
      <c r="P816" s="10">
        <v>43489</v>
      </c>
      <c r="Q816" s="10" t="str">
        <f>TEXT(Table2[[#This Row],[Date]],"mmm")</f>
        <v>Jan</v>
      </c>
      <c r="R816" s="11">
        <v>0.45624999999999999</v>
      </c>
      <c r="S816" s="6" t="s">
        <v>33</v>
      </c>
      <c r="T816" s="7">
        <v>5</v>
      </c>
      <c r="U816" s="6">
        <f>IF(_xlfn.XLOOKUP(A816,[1]Data2!$A:$A,[1]Data2!$B:$B,"no")="yes",1,0)</f>
        <v>0</v>
      </c>
    </row>
    <row r="817" spans="1:21" s="6" customFormat="1" x14ac:dyDescent="0.3">
      <c r="A817" s="6" t="s">
        <v>855</v>
      </c>
      <c r="B817" s="6" t="s">
        <v>46</v>
      </c>
      <c r="C817" s="6" t="s">
        <v>47</v>
      </c>
      <c r="D817" s="6" t="s">
        <v>31</v>
      </c>
      <c r="E817" s="6" t="s">
        <v>25</v>
      </c>
      <c r="F817" s="6" t="s">
        <v>48</v>
      </c>
      <c r="G817" s="7">
        <f>Table2[[#This Row],[Unit price]]-10</f>
        <v>43.21</v>
      </c>
      <c r="H817" s="7">
        <v>53.21</v>
      </c>
      <c r="I817" s="8">
        <v>8</v>
      </c>
      <c r="J817" s="8">
        <f>Table2[[#This Row],[Unit price]]*Table2[[#This Row],[Quantity]]</f>
        <v>425.68</v>
      </c>
      <c r="K817" s="8">
        <f>Table2[[#This Row],[Unit Cost]]*Table2[[#This Row],[Quantity]]</f>
        <v>345.68</v>
      </c>
      <c r="L817" s="8">
        <f>Table2[[#This Row],[Gross Sales]]-Table2[[#This Row],[COGS]]</f>
        <v>80</v>
      </c>
      <c r="M817" s="9">
        <f t="shared" si="12"/>
        <v>0.18793459875963164</v>
      </c>
      <c r="N817" s="7">
        <v>21.283999999999999</v>
      </c>
      <c r="O817" s="7">
        <v>446.964</v>
      </c>
      <c r="P817" s="10">
        <v>43538</v>
      </c>
      <c r="Q817" s="10" t="str">
        <f>TEXT(Table2[[#This Row],[Date]],"mmm")</f>
        <v>Mar</v>
      </c>
      <c r="R817" s="11">
        <v>0.69791666666666663</v>
      </c>
      <c r="S817" s="6" t="s">
        <v>27</v>
      </c>
      <c r="T817" s="7">
        <v>5</v>
      </c>
      <c r="U817" s="6">
        <f>IF(_xlfn.XLOOKUP(A817,[1]Data2!$A:$A,[1]Data2!$B:$B,"no")="yes",1,0)</f>
        <v>0</v>
      </c>
    </row>
    <row r="818" spans="1:21" s="6" customFormat="1" x14ac:dyDescent="0.3">
      <c r="A818" s="6" t="s">
        <v>856</v>
      </c>
      <c r="B818" s="6" t="s">
        <v>29</v>
      </c>
      <c r="C818" s="6" t="s">
        <v>30</v>
      </c>
      <c r="D818" s="6" t="s">
        <v>31</v>
      </c>
      <c r="E818" s="6" t="s">
        <v>25</v>
      </c>
      <c r="F818" s="6" t="s">
        <v>50</v>
      </c>
      <c r="G818" s="7">
        <f>Table2[[#This Row],[Unit price]]-10</f>
        <v>35.44</v>
      </c>
      <c r="H818" s="7">
        <v>45.44</v>
      </c>
      <c r="I818" s="8">
        <v>7</v>
      </c>
      <c r="J818" s="8">
        <f>Table2[[#This Row],[Unit price]]*Table2[[#This Row],[Quantity]]</f>
        <v>318.08</v>
      </c>
      <c r="K818" s="8">
        <f>Table2[[#This Row],[Unit Cost]]*Table2[[#This Row],[Quantity]]</f>
        <v>248.07999999999998</v>
      </c>
      <c r="L818" s="8">
        <f>Table2[[#This Row],[Gross Sales]]-Table2[[#This Row],[COGS]]</f>
        <v>70</v>
      </c>
      <c r="M818" s="9">
        <f t="shared" si="12"/>
        <v>0.22007042253521128</v>
      </c>
      <c r="N818" s="7">
        <v>15.904</v>
      </c>
      <c r="O818" s="7">
        <v>333.98399999999998</v>
      </c>
      <c r="P818" s="10">
        <v>43488</v>
      </c>
      <c r="Q818" s="10" t="str">
        <f>TEXT(Table2[[#This Row],[Date]],"mmm")</f>
        <v>Jan</v>
      </c>
      <c r="R818" s="11">
        <v>0.46875</v>
      </c>
      <c r="S818" s="6" t="s">
        <v>33</v>
      </c>
      <c r="T818" s="7">
        <v>9.1999999999999993</v>
      </c>
      <c r="U818" s="6">
        <f>IF(_xlfn.XLOOKUP(A818,[1]Data2!$A:$A,[1]Data2!$B:$B,"no")="yes",1,0)</f>
        <v>1</v>
      </c>
    </row>
    <row r="819" spans="1:21" s="6" customFormat="1" x14ac:dyDescent="0.3">
      <c r="A819" s="6" t="s">
        <v>857</v>
      </c>
      <c r="B819" s="6" t="s">
        <v>22</v>
      </c>
      <c r="C819" s="6" t="s">
        <v>23</v>
      </c>
      <c r="D819" s="6" t="s">
        <v>31</v>
      </c>
      <c r="E819" s="6" t="s">
        <v>35</v>
      </c>
      <c r="F819" s="6" t="s">
        <v>48</v>
      </c>
      <c r="G819" s="7">
        <f>Table2[[#This Row],[Unit price]]-10</f>
        <v>23.880000000000003</v>
      </c>
      <c r="H819" s="7">
        <v>33.880000000000003</v>
      </c>
      <c r="I819" s="8">
        <v>8</v>
      </c>
      <c r="J819" s="8">
        <f>Table2[[#This Row],[Unit price]]*Table2[[#This Row],[Quantity]]</f>
        <v>271.04000000000002</v>
      </c>
      <c r="K819" s="8">
        <f>Table2[[#This Row],[Unit Cost]]*Table2[[#This Row],[Quantity]]</f>
        <v>191.04000000000002</v>
      </c>
      <c r="L819" s="8">
        <f>Table2[[#This Row],[Gross Sales]]-Table2[[#This Row],[COGS]]</f>
        <v>80</v>
      </c>
      <c r="M819" s="9">
        <f t="shared" si="12"/>
        <v>0.29515938606847697</v>
      </c>
      <c r="N819" s="7">
        <v>13.552</v>
      </c>
      <c r="O819" s="7">
        <v>284.59199999999998</v>
      </c>
      <c r="P819" s="10">
        <v>43484</v>
      </c>
      <c r="Q819" s="10" t="str">
        <f>TEXT(Table2[[#This Row],[Date]],"mmm")</f>
        <v>Jan</v>
      </c>
      <c r="R819" s="11">
        <v>0.8534722222222223</v>
      </c>
      <c r="S819" s="6" t="s">
        <v>27</v>
      </c>
      <c r="T819" s="7">
        <v>9.6</v>
      </c>
      <c r="U819" s="6">
        <f>IF(_xlfn.XLOOKUP(A819,[1]Data2!$A:$A,[1]Data2!$B:$B,"no")="yes",1,0)</f>
        <v>0</v>
      </c>
    </row>
    <row r="820" spans="1:21" s="6" customFormat="1" x14ac:dyDescent="0.3">
      <c r="A820" s="6" t="s">
        <v>858</v>
      </c>
      <c r="B820" s="6" t="s">
        <v>46</v>
      </c>
      <c r="C820" s="6" t="s">
        <v>47</v>
      </c>
      <c r="D820" s="6" t="s">
        <v>24</v>
      </c>
      <c r="E820" s="6" t="s">
        <v>35</v>
      </c>
      <c r="F820" s="6" t="s">
        <v>26</v>
      </c>
      <c r="G820" s="7">
        <f>Table2[[#This Row],[Unit price]]-10</f>
        <v>86.16</v>
      </c>
      <c r="H820" s="7">
        <v>96.16</v>
      </c>
      <c r="I820" s="8">
        <v>4</v>
      </c>
      <c r="J820" s="8">
        <f>Table2[[#This Row],[Unit price]]*Table2[[#This Row],[Quantity]]</f>
        <v>384.64</v>
      </c>
      <c r="K820" s="8">
        <f>Table2[[#This Row],[Unit Cost]]*Table2[[#This Row],[Quantity]]</f>
        <v>344.64</v>
      </c>
      <c r="L820" s="8">
        <f>Table2[[#This Row],[Gross Sales]]-Table2[[#This Row],[COGS]]</f>
        <v>40</v>
      </c>
      <c r="M820" s="9">
        <f t="shared" si="12"/>
        <v>0.10399334442595674</v>
      </c>
      <c r="N820" s="7">
        <v>19.231999999999999</v>
      </c>
      <c r="O820" s="7">
        <v>403.87200000000001</v>
      </c>
      <c r="P820" s="10">
        <v>43492</v>
      </c>
      <c r="Q820" s="10" t="str">
        <f>TEXT(Table2[[#This Row],[Date]],"mmm")</f>
        <v>Jan</v>
      </c>
      <c r="R820" s="11">
        <v>0.8354166666666667</v>
      </c>
      <c r="S820" s="6" t="s">
        <v>37</v>
      </c>
      <c r="T820" s="7">
        <v>8.4</v>
      </c>
      <c r="U820" s="6">
        <f>IF(_xlfn.XLOOKUP(A820,[1]Data2!$A:$A,[1]Data2!$B:$B,"no")="yes",1,0)</f>
        <v>0</v>
      </c>
    </row>
    <row r="821" spans="1:21" s="6" customFormat="1" x14ac:dyDescent="0.3">
      <c r="A821" s="6" t="s">
        <v>859</v>
      </c>
      <c r="B821" s="6" t="s">
        <v>46</v>
      </c>
      <c r="C821" s="6" t="s">
        <v>47</v>
      </c>
      <c r="D821" s="6" t="s">
        <v>24</v>
      </c>
      <c r="E821" s="6" t="s">
        <v>35</v>
      </c>
      <c r="F821" s="6" t="s">
        <v>48</v>
      </c>
      <c r="G821" s="7">
        <f>Table2[[#This Row],[Unit price]]-10</f>
        <v>37.159999999999997</v>
      </c>
      <c r="H821" s="7">
        <v>47.16</v>
      </c>
      <c r="I821" s="8">
        <v>5</v>
      </c>
      <c r="J821" s="8">
        <f>Table2[[#This Row],[Unit price]]*Table2[[#This Row],[Quantity]]</f>
        <v>235.79999999999998</v>
      </c>
      <c r="K821" s="8">
        <f>Table2[[#This Row],[Unit Cost]]*Table2[[#This Row],[Quantity]]</f>
        <v>185.79999999999998</v>
      </c>
      <c r="L821" s="8">
        <f>Table2[[#This Row],[Gross Sales]]-Table2[[#This Row],[COGS]]</f>
        <v>50</v>
      </c>
      <c r="M821" s="9">
        <f t="shared" si="12"/>
        <v>0.21204410517387617</v>
      </c>
      <c r="N821" s="7">
        <v>11.79</v>
      </c>
      <c r="O821" s="7">
        <v>247.59</v>
      </c>
      <c r="P821" s="10">
        <v>43499</v>
      </c>
      <c r="Q821" s="10" t="str">
        <f>TEXT(Table2[[#This Row],[Date]],"mmm")</f>
        <v>Feb</v>
      </c>
      <c r="R821" s="11">
        <v>0.60763888888888895</v>
      </c>
      <c r="S821" s="6" t="s">
        <v>37</v>
      </c>
      <c r="T821" s="7">
        <v>6</v>
      </c>
      <c r="U821" s="6">
        <f>IF(_xlfn.XLOOKUP(A821,[1]Data2!$A:$A,[1]Data2!$B:$B,"no")="yes",1,0)</f>
        <v>0</v>
      </c>
    </row>
    <row r="822" spans="1:21" s="6" customFormat="1" x14ac:dyDescent="0.3">
      <c r="A822" s="6" t="s">
        <v>860</v>
      </c>
      <c r="B822" s="6" t="s">
        <v>46</v>
      </c>
      <c r="C822" s="6" t="s">
        <v>47</v>
      </c>
      <c r="D822" s="6" t="s">
        <v>31</v>
      </c>
      <c r="E822" s="6" t="s">
        <v>35</v>
      </c>
      <c r="F822" s="6" t="s">
        <v>32</v>
      </c>
      <c r="G822" s="7">
        <f>Table2[[#This Row],[Unit price]]-10</f>
        <v>42.89</v>
      </c>
      <c r="H822" s="7">
        <v>52.89</v>
      </c>
      <c r="I822" s="8">
        <v>4</v>
      </c>
      <c r="J822" s="8">
        <f>Table2[[#This Row],[Unit price]]*Table2[[#This Row],[Quantity]]</f>
        <v>211.56</v>
      </c>
      <c r="K822" s="8">
        <f>Table2[[#This Row],[Unit Cost]]*Table2[[#This Row],[Quantity]]</f>
        <v>171.56</v>
      </c>
      <c r="L822" s="8">
        <f>Table2[[#This Row],[Gross Sales]]-Table2[[#This Row],[COGS]]</f>
        <v>40</v>
      </c>
      <c r="M822" s="9">
        <f t="shared" si="12"/>
        <v>0.18907165815844204</v>
      </c>
      <c r="N822" s="7">
        <v>10.577999999999999</v>
      </c>
      <c r="O822" s="7">
        <v>222.13800000000001</v>
      </c>
      <c r="P822" s="10">
        <v>43549</v>
      </c>
      <c r="Q822" s="10" t="str">
        <f>TEXT(Table2[[#This Row],[Date]],"mmm")</f>
        <v>Mar</v>
      </c>
      <c r="R822" s="11">
        <v>0.68888888888888899</v>
      </c>
      <c r="S822" s="6" t="s">
        <v>27</v>
      </c>
      <c r="T822" s="7">
        <v>6.7</v>
      </c>
      <c r="U822" s="6">
        <f>IF(_xlfn.XLOOKUP(A822,[1]Data2!$A:$A,[1]Data2!$B:$B,"no")="yes",1,0)</f>
        <v>1</v>
      </c>
    </row>
    <row r="823" spans="1:21" s="6" customFormat="1" x14ac:dyDescent="0.3">
      <c r="A823" s="6" t="s">
        <v>861</v>
      </c>
      <c r="B823" s="6" t="s">
        <v>22</v>
      </c>
      <c r="C823" s="6" t="s">
        <v>23</v>
      </c>
      <c r="D823" s="6" t="s">
        <v>24</v>
      </c>
      <c r="E823" s="6" t="s">
        <v>25</v>
      </c>
      <c r="F823" s="6" t="s">
        <v>36</v>
      </c>
      <c r="G823" s="7">
        <f>Table2[[#This Row],[Unit price]]-10</f>
        <v>37.68</v>
      </c>
      <c r="H823" s="7">
        <v>47.68</v>
      </c>
      <c r="I823" s="8">
        <v>2</v>
      </c>
      <c r="J823" s="8">
        <f>Table2[[#This Row],[Unit price]]*Table2[[#This Row],[Quantity]]</f>
        <v>95.36</v>
      </c>
      <c r="K823" s="8">
        <f>Table2[[#This Row],[Unit Cost]]*Table2[[#This Row],[Quantity]]</f>
        <v>75.36</v>
      </c>
      <c r="L823" s="8">
        <f>Table2[[#This Row],[Gross Sales]]-Table2[[#This Row],[COGS]]</f>
        <v>20</v>
      </c>
      <c r="M823" s="9">
        <f t="shared" si="12"/>
        <v>0.20973154362416108</v>
      </c>
      <c r="N823" s="7">
        <v>4.7679999999999998</v>
      </c>
      <c r="O823" s="7">
        <v>100.128</v>
      </c>
      <c r="P823" s="10">
        <v>43520</v>
      </c>
      <c r="Q823" s="10" t="str">
        <f>TEXT(Table2[[#This Row],[Date]],"mmm")</f>
        <v>Feb</v>
      </c>
      <c r="R823" s="11">
        <v>0.4236111111111111</v>
      </c>
      <c r="S823" s="6" t="s">
        <v>37</v>
      </c>
      <c r="T823" s="7">
        <v>4.0999999999999996</v>
      </c>
      <c r="U823" s="6">
        <f>IF(_xlfn.XLOOKUP(A823,[1]Data2!$A:$A,[1]Data2!$B:$B,"no")="yes",1,0)</f>
        <v>0</v>
      </c>
    </row>
    <row r="824" spans="1:21" s="6" customFormat="1" x14ac:dyDescent="0.3">
      <c r="A824" s="6" t="s">
        <v>862</v>
      </c>
      <c r="B824" s="6" t="s">
        <v>29</v>
      </c>
      <c r="C824" s="6" t="s">
        <v>30</v>
      </c>
      <c r="D824" s="6" t="s">
        <v>24</v>
      </c>
      <c r="E824" s="6" t="s">
        <v>35</v>
      </c>
      <c r="F824" s="6" t="s">
        <v>40</v>
      </c>
      <c r="G824" s="7">
        <f>Table2[[#This Row],[Unit price]]-10</f>
        <v>0.16999999999999993</v>
      </c>
      <c r="H824" s="7">
        <v>10.17</v>
      </c>
      <c r="I824" s="8">
        <v>1</v>
      </c>
      <c r="J824" s="8">
        <f>Table2[[#This Row],[Unit price]]*Table2[[#This Row],[Quantity]]</f>
        <v>10.17</v>
      </c>
      <c r="K824" s="8">
        <f>Table2[[#This Row],[Unit Cost]]*Table2[[#This Row],[Quantity]]</f>
        <v>0.16999999999999993</v>
      </c>
      <c r="L824" s="8">
        <f>Table2[[#This Row],[Gross Sales]]-Table2[[#This Row],[COGS]]</f>
        <v>10</v>
      </c>
      <c r="M824" s="9">
        <f t="shared" si="12"/>
        <v>0.98328416912487715</v>
      </c>
      <c r="N824" s="7">
        <v>0.50849999999999995</v>
      </c>
      <c r="O824" s="7">
        <v>10.6785</v>
      </c>
      <c r="P824" s="10">
        <v>43503</v>
      </c>
      <c r="Q824" s="10" t="str">
        <f>TEXT(Table2[[#This Row],[Date]],"mmm")</f>
        <v>Feb</v>
      </c>
      <c r="R824" s="11">
        <v>0.59375</v>
      </c>
      <c r="S824" s="6" t="s">
        <v>33</v>
      </c>
      <c r="T824" s="7">
        <v>5.9</v>
      </c>
      <c r="U824" s="6">
        <f>IF(_xlfn.XLOOKUP(A824,[1]Data2!$A:$A,[1]Data2!$B:$B,"no")="yes",1,0)</f>
        <v>0</v>
      </c>
    </row>
    <row r="825" spans="1:21" s="6" customFormat="1" x14ac:dyDescent="0.3">
      <c r="A825" s="6" t="s">
        <v>863</v>
      </c>
      <c r="B825" s="6" t="s">
        <v>22</v>
      </c>
      <c r="C825" s="6" t="s">
        <v>23</v>
      </c>
      <c r="D825" s="6" t="s">
        <v>31</v>
      </c>
      <c r="E825" s="6" t="s">
        <v>25</v>
      </c>
      <c r="F825" s="6" t="s">
        <v>26</v>
      </c>
      <c r="G825" s="7">
        <f>Table2[[#This Row],[Unit price]]-10</f>
        <v>58.709999999999994</v>
      </c>
      <c r="H825" s="7">
        <v>68.709999999999994</v>
      </c>
      <c r="I825" s="8">
        <v>3</v>
      </c>
      <c r="J825" s="8">
        <f>Table2[[#This Row],[Unit price]]*Table2[[#This Row],[Quantity]]</f>
        <v>206.13</v>
      </c>
      <c r="K825" s="8">
        <f>Table2[[#This Row],[Unit Cost]]*Table2[[#This Row],[Quantity]]</f>
        <v>176.13</v>
      </c>
      <c r="L825" s="8">
        <f>Table2[[#This Row],[Gross Sales]]-Table2[[#This Row],[COGS]]</f>
        <v>30</v>
      </c>
      <c r="M825" s="9">
        <f t="shared" si="12"/>
        <v>0.14553922282055015</v>
      </c>
      <c r="N825" s="7">
        <v>10.3065</v>
      </c>
      <c r="O825" s="7">
        <v>216.4365</v>
      </c>
      <c r="P825" s="10">
        <v>43528</v>
      </c>
      <c r="Q825" s="10" t="str">
        <f>TEXT(Table2[[#This Row],[Date]],"mmm")</f>
        <v>Mar</v>
      </c>
      <c r="R825" s="11">
        <v>0.4201388888888889</v>
      </c>
      <c r="S825" s="6" t="s">
        <v>33</v>
      </c>
      <c r="T825" s="7">
        <v>8.6999999999999993</v>
      </c>
      <c r="U825" s="6">
        <f>IF(_xlfn.XLOOKUP(A825,[1]Data2!$A:$A,[1]Data2!$B:$B,"no")="yes",1,0)</f>
        <v>0</v>
      </c>
    </row>
    <row r="826" spans="1:21" s="6" customFormat="1" x14ac:dyDescent="0.3">
      <c r="A826" s="6" t="s">
        <v>864</v>
      </c>
      <c r="B826" s="6" t="s">
        <v>46</v>
      </c>
      <c r="C826" s="6" t="s">
        <v>47</v>
      </c>
      <c r="D826" s="6" t="s">
        <v>24</v>
      </c>
      <c r="E826" s="6" t="s">
        <v>25</v>
      </c>
      <c r="F826" s="6" t="s">
        <v>40</v>
      </c>
      <c r="G826" s="7">
        <f>Table2[[#This Row],[Unit price]]-10</f>
        <v>50.08</v>
      </c>
      <c r="H826" s="7">
        <v>60.08</v>
      </c>
      <c r="I826" s="8">
        <v>7</v>
      </c>
      <c r="J826" s="8">
        <f>Table2[[#This Row],[Unit price]]*Table2[[#This Row],[Quantity]]</f>
        <v>420.56</v>
      </c>
      <c r="K826" s="8">
        <f>Table2[[#This Row],[Unit Cost]]*Table2[[#This Row],[Quantity]]</f>
        <v>350.56</v>
      </c>
      <c r="L826" s="8">
        <f>Table2[[#This Row],[Gross Sales]]-Table2[[#This Row],[COGS]]</f>
        <v>70</v>
      </c>
      <c r="M826" s="9">
        <f t="shared" si="12"/>
        <v>0.16644474034620507</v>
      </c>
      <c r="N826" s="7">
        <v>21.027999999999999</v>
      </c>
      <c r="O826" s="7">
        <v>441.58800000000002</v>
      </c>
      <c r="P826" s="10">
        <v>43510</v>
      </c>
      <c r="Q826" s="10" t="str">
        <f>TEXT(Table2[[#This Row],[Date]],"mmm")</f>
        <v>Feb</v>
      </c>
      <c r="R826" s="11">
        <v>0.48333333333333334</v>
      </c>
      <c r="S826" s="6" t="s">
        <v>37</v>
      </c>
      <c r="T826" s="7">
        <v>4.5</v>
      </c>
      <c r="U826" s="6">
        <f>IF(_xlfn.XLOOKUP(A826,[1]Data2!$A:$A,[1]Data2!$B:$B,"no")="yes",1,0)</f>
        <v>1</v>
      </c>
    </row>
    <row r="827" spans="1:21" s="6" customFormat="1" x14ac:dyDescent="0.3">
      <c r="A827" s="6" t="s">
        <v>865</v>
      </c>
      <c r="B827" s="6" t="s">
        <v>22</v>
      </c>
      <c r="C827" s="6" t="s">
        <v>23</v>
      </c>
      <c r="D827" s="6" t="s">
        <v>24</v>
      </c>
      <c r="E827" s="6" t="s">
        <v>25</v>
      </c>
      <c r="F827" s="6" t="s">
        <v>40</v>
      </c>
      <c r="G827" s="7">
        <f>Table2[[#This Row],[Unit price]]-10</f>
        <v>12.010000000000002</v>
      </c>
      <c r="H827" s="7">
        <v>22.01</v>
      </c>
      <c r="I827" s="8">
        <v>4</v>
      </c>
      <c r="J827" s="8">
        <f>Table2[[#This Row],[Unit price]]*Table2[[#This Row],[Quantity]]</f>
        <v>88.04</v>
      </c>
      <c r="K827" s="8">
        <f>Table2[[#This Row],[Unit Cost]]*Table2[[#This Row],[Quantity]]</f>
        <v>48.040000000000006</v>
      </c>
      <c r="L827" s="8">
        <f>Table2[[#This Row],[Gross Sales]]-Table2[[#This Row],[COGS]]</f>
        <v>40</v>
      </c>
      <c r="M827" s="9">
        <f t="shared" si="12"/>
        <v>0.45433893684688775</v>
      </c>
      <c r="N827" s="7">
        <v>4.4020000000000001</v>
      </c>
      <c r="O827" s="7">
        <v>92.441999999999993</v>
      </c>
      <c r="P827" s="10">
        <v>43494</v>
      </c>
      <c r="Q827" s="10" t="str">
        <f>TEXT(Table2[[#This Row],[Date]],"mmm")</f>
        <v>Jan</v>
      </c>
      <c r="R827" s="11">
        <v>0.76041666666666663</v>
      </c>
      <c r="S827" s="6" t="s">
        <v>37</v>
      </c>
      <c r="T827" s="7">
        <v>6.6</v>
      </c>
      <c r="U827" s="6">
        <f>IF(_xlfn.XLOOKUP(A827,[1]Data2!$A:$A,[1]Data2!$B:$B,"no")="yes",1,0)</f>
        <v>0</v>
      </c>
    </row>
    <row r="828" spans="1:21" s="6" customFormat="1" x14ac:dyDescent="0.3">
      <c r="A828" s="6" t="s">
        <v>866</v>
      </c>
      <c r="B828" s="6" t="s">
        <v>46</v>
      </c>
      <c r="C828" s="6" t="s">
        <v>47</v>
      </c>
      <c r="D828" s="6" t="s">
        <v>24</v>
      </c>
      <c r="E828" s="6" t="s">
        <v>25</v>
      </c>
      <c r="F828" s="6" t="s">
        <v>26</v>
      </c>
      <c r="G828" s="7">
        <f>Table2[[#This Row],[Unit price]]-10</f>
        <v>62.11</v>
      </c>
      <c r="H828" s="7">
        <v>72.11</v>
      </c>
      <c r="I828" s="8">
        <v>9</v>
      </c>
      <c r="J828" s="8">
        <f>Table2[[#This Row],[Unit price]]*Table2[[#This Row],[Quantity]]</f>
        <v>648.99</v>
      </c>
      <c r="K828" s="8">
        <f>Table2[[#This Row],[Unit Cost]]*Table2[[#This Row],[Quantity]]</f>
        <v>558.99</v>
      </c>
      <c r="L828" s="8">
        <f>Table2[[#This Row],[Gross Sales]]-Table2[[#This Row],[COGS]]</f>
        <v>90</v>
      </c>
      <c r="M828" s="9">
        <f t="shared" si="12"/>
        <v>0.13867702121758424</v>
      </c>
      <c r="N828" s="7">
        <v>32.4495</v>
      </c>
      <c r="O828" s="7">
        <v>681.43949999999995</v>
      </c>
      <c r="P828" s="10">
        <v>43493</v>
      </c>
      <c r="Q828" s="10" t="str">
        <f>TEXT(Table2[[#This Row],[Date]],"mmm")</f>
        <v>Jan</v>
      </c>
      <c r="R828" s="11">
        <v>0.57847222222222217</v>
      </c>
      <c r="S828" s="6" t="s">
        <v>37</v>
      </c>
      <c r="T828" s="7">
        <v>7.7</v>
      </c>
      <c r="U828" s="6">
        <f>IF(_xlfn.XLOOKUP(A828,[1]Data2!$A:$A,[1]Data2!$B:$B,"no")="yes",1,0)</f>
        <v>0</v>
      </c>
    </row>
    <row r="829" spans="1:21" s="6" customFormat="1" x14ac:dyDescent="0.3">
      <c r="A829" s="6" t="s">
        <v>867</v>
      </c>
      <c r="B829" s="6" t="s">
        <v>22</v>
      </c>
      <c r="C829" s="6" t="s">
        <v>23</v>
      </c>
      <c r="D829" s="6" t="s">
        <v>24</v>
      </c>
      <c r="E829" s="6" t="s">
        <v>35</v>
      </c>
      <c r="F829" s="6" t="s">
        <v>50</v>
      </c>
      <c r="G829" s="7">
        <f>Table2[[#This Row],[Unit price]]-10</f>
        <v>31.28</v>
      </c>
      <c r="H829" s="7">
        <v>41.28</v>
      </c>
      <c r="I829" s="8">
        <v>3</v>
      </c>
      <c r="J829" s="8">
        <f>Table2[[#This Row],[Unit price]]*Table2[[#This Row],[Quantity]]</f>
        <v>123.84</v>
      </c>
      <c r="K829" s="8">
        <f>Table2[[#This Row],[Unit Cost]]*Table2[[#This Row],[Quantity]]</f>
        <v>93.84</v>
      </c>
      <c r="L829" s="8">
        <f>Table2[[#This Row],[Gross Sales]]-Table2[[#This Row],[COGS]]</f>
        <v>30</v>
      </c>
      <c r="M829" s="9">
        <f t="shared" si="12"/>
        <v>0.24224806201550386</v>
      </c>
      <c r="N829" s="7">
        <v>6.1920000000000002</v>
      </c>
      <c r="O829" s="7">
        <v>130.03200000000001</v>
      </c>
      <c r="P829" s="10">
        <v>43550</v>
      </c>
      <c r="Q829" s="10" t="str">
        <f>TEXT(Table2[[#This Row],[Date]],"mmm")</f>
        <v>Mar</v>
      </c>
      <c r="R829" s="11">
        <v>0.77569444444444446</v>
      </c>
      <c r="S829" s="6" t="s">
        <v>37</v>
      </c>
      <c r="T829" s="7">
        <v>8.5</v>
      </c>
      <c r="U829" s="6">
        <f>IF(_xlfn.XLOOKUP(A829,[1]Data2!$A:$A,[1]Data2!$B:$B,"no")="yes",1,0)</f>
        <v>0</v>
      </c>
    </row>
    <row r="830" spans="1:21" s="6" customFormat="1" x14ac:dyDescent="0.3">
      <c r="A830" s="6" t="s">
        <v>868</v>
      </c>
      <c r="B830" s="6" t="s">
        <v>29</v>
      </c>
      <c r="C830" s="6" t="s">
        <v>30</v>
      </c>
      <c r="D830" s="6" t="s">
        <v>31</v>
      </c>
      <c r="E830" s="6" t="s">
        <v>35</v>
      </c>
      <c r="F830" s="6" t="s">
        <v>32</v>
      </c>
      <c r="G830" s="7">
        <f>Table2[[#This Row],[Unit price]]-10</f>
        <v>54.95</v>
      </c>
      <c r="H830" s="7">
        <v>64.95</v>
      </c>
      <c r="I830" s="8">
        <v>10</v>
      </c>
      <c r="J830" s="8">
        <f>Table2[[#This Row],[Unit price]]*Table2[[#This Row],[Quantity]]</f>
        <v>649.5</v>
      </c>
      <c r="K830" s="8">
        <f>Table2[[#This Row],[Unit Cost]]*Table2[[#This Row],[Quantity]]</f>
        <v>549.5</v>
      </c>
      <c r="L830" s="8">
        <f>Table2[[#This Row],[Gross Sales]]-Table2[[#This Row],[COGS]]</f>
        <v>100</v>
      </c>
      <c r="M830" s="9">
        <f t="shared" si="12"/>
        <v>0.15396458814472672</v>
      </c>
      <c r="N830" s="7">
        <v>32.475000000000001</v>
      </c>
      <c r="O830" s="7">
        <v>681.97500000000002</v>
      </c>
      <c r="P830" s="10">
        <v>43548</v>
      </c>
      <c r="Q830" s="10" t="str">
        <f>TEXT(Table2[[#This Row],[Date]],"mmm")</f>
        <v>Mar</v>
      </c>
      <c r="R830" s="11">
        <v>0.76874999999999993</v>
      </c>
      <c r="S830" s="6" t="s">
        <v>33</v>
      </c>
      <c r="T830" s="7">
        <v>5.2</v>
      </c>
      <c r="U830" s="6">
        <f>IF(_xlfn.XLOOKUP(A830,[1]Data2!$A:$A,[1]Data2!$B:$B,"no")="yes",1,0)</f>
        <v>1</v>
      </c>
    </row>
    <row r="831" spans="1:21" s="6" customFormat="1" x14ac:dyDescent="0.3">
      <c r="A831" s="6" t="s">
        <v>869</v>
      </c>
      <c r="B831" s="6" t="s">
        <v>22</v>
      </c>
      <c r="C831" s="6" t="s">
        <v>23</v>
      </c>
      <c r="D831" s="6" t="s">
        <v>24</v>
      </c>
      <c r="E831" s="6" t="s">
        <v>25</v>
      </c>
      <c r="F831" s="6" t="s">
        <v>32</v>
      </c>
      <c r="G831" s="7">
        <f>Table2[[#This Row],[Unit price]]-10</f>
        <v>64.22</v>
      </c>
      <c r="H831" s="7">
        <v>74.22</v>
      </c>
      <c r="I831" s="8">
        <v>10</v>
      </c>
      <c r="J831" s="8">
        <f>Table2[[#This Row],[Unit price]]*Table2[[#This Row],[Quantity]]</f>
        <v>742.2</v>
      </c>
      <c r="K831" s="8">
        <f>Table2[[#This Row],[Unit Cost]]*Table2[[#This Row],[Quantity]]</f>
        <v>642.20000000000005</v>
      </c>
      <c r="L831" s="8">
        <f>Table2[[#This Row],[Gross Sales]]-Table2[[#This Row],[COGS]]</f>
        <v>100</v>
      </c>
      <c r="M831" s="9">
        <f t="shared" si="12"/>
        <v>0.13473457289140392</v>
      </c>
      <c r="N831" s="7">
        <v>37.11</v>
      </c>
      <c r="O831" s="7">
        <v>779.31</v>
      </c>
      <c r="P831" s="10">
        <v>43466</v>
      </c>
      <c r="Q831" s="10" t="str">
        <f>TEXT(Table2[[#This Row],[Date]],"mmm")</f>
        <v>Jan</v>
      </c>
      <c r="R831" s="11">
        <v>0.61249999999999993</v>
      </c>
      <c r="S831" s="6" t="s">
        <v>37</v>
      </c>
      <c r="T831" s="7">
        <v>4.3</v>
      </c>
      <c r="U831" s="6">
        <f>IF(_xlfn.XLOOKUP(A831,[1]Data2!$A:$A,[1]Data2!$B:$B,"no")="yes",1,0)</f>
        <v>0</v>
      </c>
    </row>
    <row r="832" spans="1:21" s="6" customFormat="1" x14ac:dyDescent="0.3">
      <c r="A832" s="6" t="s">
        <v>870</v>
      </c>
      <c r="B832" s="6" t="s">
        <v>22</v>
      </c>
      <c r="C832" s="6" t="s">
        <v>23</v>
      </c>
      <c r="D832" s="6" t="s">
        <v>31</v>
      </c>
      <c r="E832" s="6" t="s">
        <v>35</v>
      </c>
      <c r="F832" s="6" t="s">
        <v>32</v>
      </c>
      <c r="G832" s="7">
        <f>Table2[[#This Row],[Unit price]]-10</f>
        <v>0.5600000000000005</v>
      </c>
      <c r="H832" s="7">
        <v>10.56</v>
      </c>
      <c r="I832" s="8">
        <v>8</v>
      </c>
      <c r="J832" s="8">
        <f>Table2[[#This Row],[Unit price]]*Table2[[#This Row],[Quantity]]</f>
        <v>84.48</v>
      </c>
      <c r="K832" s="8">
        <f>Table2[[#This Row],[Unit Cost]]*Table2[[#This Row],[Quantity]]</f>
        <v>4.480000000000004</v>
      </c>
      <c r="L832" s="8">
        <f>Table2[[#This Row],[Gross Sales]]-Table2[[#This Row],[COGS]]</f>
        <v>80</v>
      </c>
      <c r="M832" s="9">
        <f t="shared" si="12"/>
        <v>0.94696969696969691</v>
      </c>
      <c r="N832" s="7">
        <v>4.2240000000000002</v>
      </c>
      <c r="O832" s="7">
        <v>88.703999999999994</v>
      </c>
      <c r="P832" s="10">
        <v>43489</v>
      </c>
      <c r="Q832" s="10" t="str">
        <f>TEXT(Table2[[#This Row],[Date]],"mmm")</f>
        <v>Jan</v>
      </c>
      <c r="R832" s="11">
        <v>0.73819444444444438</v>
      </c>
      <c r="S832" s="6" t="s">
        <v>33</v>
      </c>
      <c r="T832" s="7">
        <v>7.6</v>
      </c>
      <c r="U832" s="6">
        <f>IF(_xlfn.XLOOKUP(A832,[1]Data2!$A:$A,[1]Data2!$B:$B,"no")="yes",1,0)</f>
        <v>0</v>
      </c>
    </row>
    <row r="833" spans="1:21" s="6" customFormat="1" x14ac:dyDescent="0.3">
      <c r="A833" s="6" t="s">
        <v>871</v>
      </c>
      <c r="B833" s="6" t="s">
        <v>46</v>
      </c>
      <c r="C833" s="6" t="s">
        <v>47</v>
      </c>
      <c r="D833" s="6" t="s">
        <v>31</v>
      </c>
      <c r="E833" s="6" t="s">
        <v>35</v>
      </c>
      <c r="F833" s="6" t="s">
        <v>26</v>
      </c>
      <c r="G833" s="7">
        <f>Table2[[#This Row],[Unit price]]-10</f>
        <v>52.57</v>
      </c>
      <c r="H833" s="7">
        <v>62.57</v>
      </c>
      <c r="I833" s="8">
        <v>4</v>
      </c>
      <c r="J833" s="8">
        <f>Table2[[#This Row],[Unit price]]*Table2[[#This Row],[Quantity]]</f>
        <v>250.28</v>
      </c>
      <c r="K833" s="8">
        <f>Table2[[#This Row],[Unit Cost]]*Table2[[#This Row],[Quantity]]</f>
        <v>210.28</v>
      </c>
      <c r="L833" s="8">
        <f>Table2[[#This Row],[Gross Sales]]-Table2[[#This Row],[COGS]]</f>
        <v>40</v>
      </c>
      <c r="M833" s="9">
        <f t="shared" si="12"/>
        <v>0.15982100047946299</v>
      </c>
      <c r="N833" s="7">
        <v>12.513999999999999</v>
      </c>
      <c r="O833" s="7">
        <v>262.79399999999998</v>
      </c>
      <c r="P833" s="10">
        <v>43521</v>
      </c>
      <c r="Q833" s="10" t="str">
        <f>TEXT(Table2[[#This Row],[Date]],"mmm")</f>
        <v>Feb</v>
      </c>
      <c r="R833" s="11">
        <v>0.77569444444444446</v>
      </c>
      <c r="S833" s="6" t="s">
        <v>33</v>
      </c>
      <c r="T833" s="7">
        <v>9.5</v>
      </c>
      <c r="U833" s="6">
        <f>IF(_xlfn.XLOOKUP(A833,[1]Data2!$A:$A,[1]Data2!$B:$B,"no")="yes",1,0)</f>
        <v>0</v>
      </c>
    </row>
    <row r="834" spans="1:21" s="6" customFormat="1" x14ac:dyDescent="0.3">
      <c r="A834" s="6" t="s">
        <v>872</v>
      </c>
      <c r="B834" s="6" t="s">
        <v>46</v>
      </c>
      <c r="C834" s="6" t="s">
        <v>47</v>
      </c>
      <c r="D834" s="6" t="s">
        <v>24</v>
      </c>
      <c r="E834" s="6" t="s">
        <v>25</v>
      </c>
      <c r="F834" s="6" t="s">
        <v>40</v>
      </c>
      <c r="G834" s="7">
        <f>Table2[[#This Row],[Unit price]]-10</f>
        <v>1.8499999999999996</v>
      </c>
      <c r="H834" s="7">
        <v>11.85</v>
      </c>
      <c r="I834" s="8">
        <v>8</v>
      </c>
      <c r="J834" s="8">
        <f>Table2[[#This Row],[Unit price]]*Table2[[#This Row],[Quantity]]</f>
        <v>94.8</v>
      </c>
      <c r="K834" s="8">
        <f>Table2[[#This Row],[Unit Cost]]*Table2[[#This Row],[Quantity]]</f>
        <v>14.799999999999997</v>
      </c>
      <c r="L834" s="8">
        <f>Table2[[#This Row],[Gross Sales]]-Table2[[#This Row],[COGS]]</f>
        <v>80</v>
      </c>
      <c r="M834" s="9">
        <f t="shared" si="12"/>
        <v>0.84388185654008441</v>
      </c>
      <c r="N834" s="7">
        <v>4.74</v>
      </c>
      <c r="O834" s="7">
        <v>99.54</v>
      </c>
      <c r="P834" s="10">
        <v>43474</v>
      </c>
      <c r="Q834" s="10" t="str">
        <f>TEXT(Table2[[#This Row],[Date]],"mmm")</f>
        <v>Jan</v>
      </c>
      <c r="R834" s="11">
        <v>0.69027777777777777</v>
      </c>
      <c r="S834" s="6" t="s">
        <v>33</v>
      </c>
      <c r="T834" s="7">
        <v>4.0999999999999996</v>
      </c>
      <c r="U834" s="6">
        <f>IF(_xlfn.XLOOKUP(A834,[1]Data2!$A:$A,[1]Data2!$B:$B,"no")="yes",1,0)</f>
        <v>1</v>
      </c>
    </row>
    <row r="835" spans="1:21" s="6" customFormat="1" x14ac:dyDescent="0.3">
      <c r="A835" s="6" t="s">
        <v>873</v>
      </c>
      <c r="B835" s="6" t="s">
        <v>22</v>
      </c>
      <c r="C835" s="6" t="s">
        <v>23</v>
      </c>
      <c r="D835" s="6" t="s">
        <v>24</v>
      </c>
      <c r="E835" s="6" t="s">
        <v>35</v>
      </c>
      <c r="F835" s="6" t="s">
        <v>26</v>
      </c>
      <c r="G835" s="7">
        <f>Table2[[#This Row],[Unit price]]-10</f>
        <v>81.3</v>
      </c>
      <c r="H835" s="7">
        <v>91.3</v>
      </c>
      <c r="I835" s="8">
        <v>1</v>
      </c>
      <c r="J835" s="8">
        <f>Table2[[#This Row],[Unit price]]*Table2[[#This Row],[Quantity]]</f>
        <v>91.3</v>
      </c>
      <c r="K835" s="8">
        <f>Table2[[#This Row],[Unit Cost]]*Table2[[#This Row],[Quantity]]</f>
        <v>81.3</v>
      </c>
      <c r="L835" s="8">
        <f>Table2[[#This Row],[Gross Sales]]-Table2[[#This Row],[COGS]]</f>
        <v>10</v>
      </c>
      <c r="M835" s="9">
        <f t="shared" ref="M835:M898" si="13">IFERROR(L835/J835,0)</f>
        <v>0.1095290251916758</v>
      </c>
      <c r="N835" s="7">
        <v>4.5650000000000004</v>
      </c>
      <c r="O835" s="7">
        <v>95.864999999999995</v>
      </c>
      <c r="P835" s="10">
        <v>43510</v>
      </c>
      <c r="Q835" s="10" t="str">
        <f>TEXT(Table2[[#This Row],[Date]],"mmm")</f>
        <v>Feb</v>
      </c>
      <c r="R835" s="11">
        <v>0.61249999999999993</v>
      </c>
      <c r="S835" s="6" t="s">
        <v>27</v>
      </c>
      <c r="T835" s="7">
        <v>9.1999999999999993</v>
      </c>
      <c r="U835" s="6">
        <f>IF(_xlfn.XLOOKUP(A835,[1]Data2!$A:$A,[1]Data2!$B:$B,"no")="yes",1,0)</f>
        <v>0</v>
      </c>
    </row>
    <row r="836" spans="1:21" s="6" customFormat="1" x14ac:dyDescent="0.3">
      <c r="A836" s="6" t="s">
        <v>874</v>
      </c>
      <c r="B836" s="6" t="s">
        <v>46</v>
      </c>
      <c r="C836" s="6" t="s">
        <v>47</v>
      </c>
      <c r="D836" s="6" t="s">
        <v>24</v>
      </c>
      <c r="E836" s="6" t="s">
        <v>25</v>
      </c>
      <c r="F836" s="6" t="s">
        <v>36</v>
      </c>
      <c r="G836" s="7">
        <f>Table2[[#This Row],[Unit price]]-10</f>
        <v>30.729999999999997</v>
      </c>
      <c r="H836" s="7">
        <v>40.729999999999997</v>
      </c>
      <c r="I836" s="8">
        <v>7</v>
      </c>
      <c r="J836" s="8">
        <f>Table2[[#This Row],[Unit price]]*Table2[[#This Row],[Quantity]]</f>
        <v>285.10999999999996</v>
      </c>
      <c r="K836" s="8">
        <f>Table2[[#This Row],[Unit Cost]]*Table2[[#This Row],[Quantity]]</f>
        <v>215.10999999999999</v>
      </c>
      <c r="L836" s="8">
        <f>Table2[[#This Row],[Gross Sales]]-Table2[[#This Row],[COGS]]</f>
        <v>69.999999999999972</v>
      </c>
      <c r="M836" s="9">
        <f t="shared" si="13"/>
        <v>0.24551927326295109</v>
      </c>
      <c r="N836" s="7">
        <v>14.2555</v>
      </c>
      <c r="O836" s="7">
        <v>299.3655</v>
      </c>
      <c r="P836" s="10">
        <v>43536</v>
      </c>
      <c r="Q836" s="10" t="str">
        <f>TEXT(Table2[[#This Row],[Date]],"mmm")</f>
        <v>Mar</v>
      </c>
      <c r="R836" s="11">
        <v>0.45902777777777781</v>
      </c>
      <c r="S836" s="6" t="s">
        <v>27</v>
      </c>
      <c r="T836" s="7">
        <v>5.4</v>
      </c>
      <c r="U836" s="6">
        <f>IF(_xlfn.XLOOKUP(A836,[1]Data2!$A:$A,[1]Data2!$B:$B,"no")="yes",1,0)</f>
        <v>0</v>
      </c>
    </row>
    <row r="837" spans="1:21" s="6" customFormat="1" x14ac:dyDescent="0.3">
      <c r="A837" s="6" t="s">
        <v>875</v>
      </c>
      <c r="B837" s="6" t="s">
        <v>22</v>
      </c>
      <c r="C837" s="6" t="s">
        <v>23</v>
      </c>
      <c r="D837" s="6" t="s">
        <v>31</v>
      </c>
      <c r="E837" s="6" t="s">
        <v>35</v>
      </c>
      <c r="F837" s="6" t="s">
        <v>50</v>
      </c>
      <c r="G837" s="7">
        <f>Table2[[#This Row],[Unit price]]-10</f>
        <v>42.38</v>
      </c>
      <c r="H837" s="7">
        <v>52.38</v>
      </c>
      <c r="I837" s="8">
        <v>1</v>
      </c>
      <c r="J837" s="8">
        <f>Table2[[#This Row],[Unit price]]*Table2[[#This Row],[Quantity]]</f>
        <v>52.38</v>
      </c>
      <c r="K837" s="8">
        <f>Table2[[#This Row],[Unit Cost]]*Table2[[#This Row],[Quantity]]</f>
        <v>42.38</v>
      </c>
      <c r="L837" s="8">
        <f>Table2[[#This Row],[Gross Sales]]-Table2[[#This Row],[COGS]]</f>
        <v>10</v>
      </c>
      <c r="M837" s="9">
        <f t="shared" si="13"/>
        <v>0.19091256204658266</v>
      </c>
      <c r="N837" s="7">
        <v>2.6190000000000002</v>
      </c>
      <c r="O837" s="7">
        <v>54.999000000000002</v>
      </c>
      <c r="P837" s="10">
        <v>43550</v>
      </c>
      <c r="Q837" s="10" t="str">
        <f>TEXT(Table2[[#This Row],[Date]],"mmm")</f>
        <v>Mar</v>
      </c>
      <c r="R837" s="11">
        <v>0.8222222222222223</v>
      </c>
      <c r="S837" s="6" t="s">
        <v>33</v>
      </c>
      <c r="T837" s="7">
        <v>5.8</v>
      </c>
      <c r="U837" s="6">
        <f>IF(_xlfn.XLOOKUP(A837,[1]Data2!$A:$A,[1]Data2!$B:$B,"no")="yes",1,0)</f>
        <v>0</v>
      </c>
    </row>
    <row r="838" spans="1:21" s="6" customFormat="1" x14ac:dyDescent="0.3">
      <c r="A838" s="6" t="s">
        <v>876</v>
      </c>
      <c r="B838" s="6" t="s">
        <v>22</v>
      </c>
      <c r="C838" s="6" t="s">
        <v>23</v>
      </c>
      <c r="D838" s="6" t="s">
        <v>24</v>
      </c>
      <c r="E838" s="6" t="s">
        <v>35</v>
      </c>
      <c r="F838" s="6" t="s">
        <v>50</v>
      </c>
      <c r="G838" s="7">
        <f>Table2[[#This Row],[Unit price]]-10</f>
        <v>28.54</v>
      </c>
      <c r="H838" s="7">
        <v>38.54</v>
      </c>
      <c r="I838" s="8">
        <v>5</v>
      </c>
      <c r="J838" s="8">
        <f>Table2[[#This Row],[Unit price]]*Table2[[#This Row],[Quantity]]</f>
        <v>192.7</v>
      </c>
      <c r="K838" s="8">
        <f>Table2[[#This Row],[Unit Cost]]*Table2[[#This Row],[Quantity]]</f>
        <v>142.69999999999999</v>
      </c>
      <c r="L838" s="8">
        <f>Table2[[#This Row],[Gross Sales]]-Table2[[#This Row],[COGS]]</f>
        <v>50</v>
      </c>
      <c r="M838" s="9">
        <f t="shared" si="13"/>
        <v>0.25947067981318112</v>
      </c>
      <c r="N838" s="7">
        <v>9.6349999999999998</v>
      </c>
      <c r="O838" s="7">
        <v>202.33500000000001</v>
      </c>
      <c r="P838" s="10">
        <v>43474</v>
      </c>
      <c r="Q838" s="10" t="str">
        <f>TEXT(Table2[[#This Row],[Date]],"mmm")</f>
        <v>Jan</v>
      </c>
      <c r="R838" s="11">
        <v>0.56527777777777777</v>
      </c>
      <c r="S838" s="6" t="s">
        <v>27</v>
      </c>
      <c r="T838" s="7">
        <v>5.6</v>
      </c>
      <c r="U838" s="6">
        <f>IF(_xlfn.XLOOKUP(A838,[1]Data2!$A:$A,[1]Data2!$B:$B,"no")="yes",1,0)</f>
        <v>1</v>
      </c>
    </row>
    <row r="839" spans="1:21" s="6" customFormat="1" x14ac:dyDescent="0.3">
      <c r="A839" s="6" t="s">
        <v>877</v>
      </c>
      <c r="B839" s="6" t="s">
        <v>46</v>
      </c>
      <c r="C839" s="6" t="s">
        <v>47</v>
      </c>
      <c r="D839" s="6" t="s">
        <v>31</v>
      </c>
      <c r="E839" s="6" t="s">
        <v>35</v>
      </c>
      <c r="F839" s="6" t="s">
        <v>40</v>
      </c>
      <c r="G839" s="7">
        <f>Table2[[#This Row],[Unit price]]-10</f>
        <v>34.630000000000003</v>
      </c>
      <c r="H839" s="7">
        <v>44.63</v>
      </c>
      <c r="I839" s="8">
        <v>6</v>
      </c>
      <c r="J839" s="8">
        <f>Table2[[#This Row],[Unit price]]*Table2[[#This Row],[Quantity]]</f>
        <v>267.78000000000003</v>
      </c>
      <c r="K839" s="8">
        <f>Table2[[#This Row],[Unit Cost]]*Table2[[#This Row],[Quantity]]</f>
        <v>207.78000000000003</v>
      </c>
      <c r="L839" s="8">
        <f>Table2[[#This Row],[Gross Sales]]-Table2[[#This Row],[COGS]]</f>
        <v>60</v>
      </c>
      <c r="M839" s="9">
        <f t="shared" si="13"/>
        <v>0.22406453058480841</v>
      </c>
      <c r="N839" s="7">
        <v>13.388999999999999</v>
      </c>
      <c r="O839" s="7">
        <v>281.16899999999998</v>
      </c>
      <c r="P839" s="10">
        <v>43467</v>
      </c>
      <c r="Q839" s="10" t="str">
        <f>TEXT(Table2[[#This Row],[Date]],"mmm")</f>
        <v>Jan</v>
      </c>
      <c r="R839" s="11">
        <v>0.83888888888888891</v>
      </c>
      <c r="S839" s="6" t="s">
        <v>37</v>
      </c>
      <c r="T839" s="7">
        <v>5.0999999999999996</v>
      </c>
      <c r="U839" s="6">
        <f>IF(_xlfn.XLOOKUP(A839,[1]Data2!$A:$A,[1]Data2!$B:$B,"no")="yes",1,0)</f>
        <v>0</v>
      </c>
    </row>
    <row r="840" spans="1:21" s="6" customFormat="1" x14ac:dyDescent="0.3">
      <c r="A840" s="6" t="s">
        <v>878</v>
      </c>
      <c r="B840" s="6" t="s">
        <v>29</v>
      </c>
      <c r="C840" s="6" t="s">
        <v>30</v>
      </c>
      <c r="D840" s="6" t="s">
        <v>31</v>
      </c>
      <c r="E840" s="6" t="s">
        <v>35</v>
      </c>
      <c r="F840" s="6" t="s">
        <v>32</v>
      </c>
      <c r="G840" s="7">
        <f>Table2[[#This Row],[Unit price]]-10</f>
        <v>45.87</v>
      </c>
      <c r="H840" s="7">
        <v>55.87</v>
      </c>
      <c r="I840" s="8">
        <v>10</v>
      </c>
      <c r="J840" s="8">
        <f>Table2[[#This Row],[Unit price]]*Table2[[#This Row],[Quantity]]</f>
        <v>558.69999999999993</v>
      </c>
      <c r="K840" s="8">
        <f>Table2[[#This Row],[Unit Cost]]*Table2[[#This Row],[Quantity]]</f>
        <v>458.7</v>
      </c>
      <c r="L840" s="8">
        <f>Table2[[#This Row],[Gross Sales]]-Table2[[#This Row],[COGS]]</f>
        <v>99.999999999999943</v>
      </c>
      <c r="M840" s="9">
        <f t="shared" si="13"/>
        <v>0.17898693395382129</v>
      </c>
      <c r="N840" s="7">
        <v>27.934999999999999</v>
      </c>
      <c r="O840" s="7">
        <v>586.63499999999999</v>
      </c>
      <c r="P840" s="10">
        <v>43480</v>
      </c>
      <c r="Q840" s="10" t="str">
        <f>TEXT(Table2[[#This Row],[Date]],"mmm")</f>
        <v>Jan</v>
      </c>
      <c r="R840" s="11">
        <v>0.62569444444444444</v>
      </c>
      <c r="S840" s="6" t="s">
        <v>33</v>
      </c>
      <c r="T840" s="7">
        <v>5.8</v>
      </c>
      <c r="U840" s="6">
        <f>IF(_xlfn.XLOOKUP(A840,[1]Data2!$A:$A,[1]Data2!$B:$B,"no")="yes",1,0)</f>
        <v>0</v>
      </c>
    </row>
    <row r="841" spans="1:21" s="6" customFormat="1" x14ac:dyDescent="0.3">
      <c r="A841" s="6" t="s">
        <v>879</v>
      </c>
      <c r="B841" s="6" t="s">
        <v>29</v>
      </c>
      <c r="C841" s="6" t="s">
        <v>30</v>
      </c>
      <c r="D841" s="6" t="s">
        <v>24</v>
      </c>
      <c r="E841" s="6" t="s">
        <v>25</v>
      </c>
      <c r="F841" s="6" t="s">
        <v>40</v>
      </c>
      <c r="G841" s="7">
        <f>Table2[[#This Row],[Unit price]]-10</f>
        <v>19.22</v>
      </c>
      <c r="H841" s="7">
        <v>29.22</v>
      </c>
      <c r="I841" s="8">
        <v>6</v>
      </c>
      <c r="J841" s="8">
        <f>Table2[[#This Row],[Unit price]]*Table2[[#This Row],[Quantity]]</f>
        <v>175.32</v>
      </c>
      <c r="K841" s="8">
        <f>Table2[[#This Row],[Unit Cost]]*Table2[[#This Row],[Quantity]]</f>
        <v>115.32</v>
      </c>
      <c r="L841" s="8">
        <f>Table2[[#This Row],[Gross Sales]]-Table2[[#This Row],[COGS]]</f>
        <v>60</v>
      </c>
      <c r="M841" s="9">
        <f t="shared" si="13"/>
        <v>0.3422313483915127</v>
      </c>
      <c r="N841" s="7">
        <v>8.766</v>
      </c>
      <c r="O841" s="7">
        <v>184.08600000000001</v>
      </c>
      <c r="P841" s="10">
        <v>43466</v>
      </c>
      <c r="Q841" s="10" t="str">
        <f>TEXT(Table2[[#This Row],[Date]],"mmm")</f>
        <v>Jan</v>
      </c>
      <c r="R841" s="11">
        <v>0.4861111111111111</v>
      </c>
      <c r="S841" s="6" t="s">
        <v>27</v>
      </c>
      <c r="T841" s="7">
        <v>5</v>
      </c>
      <c r="U841" s="6">
        <f>IF(_xlfn.XLOOKUP(A841,[1]Data2!$A:$A,[1]Data2!$B:$B,"no")="yes",1,0)</f>
        <v>0</v>
      </c>
    </row>
    <row r="842" spans="1:21" s="6" customFormat="1" x14ac:dyDescent="0.3">
      <c r="A842" s="6" t="s">
        <v>880</v>
      </c>
      <c r="B842" s="6" t="s">
        <v>22</v>
      </c>
      <c r="C842" s="6" t="s">
        <v>23</v>
      </c>
      <c r="D842" s="6" t="s">
        <v>31</v>
      </c>
      <c r="E842" s="6" t="s">
        <v>35</v>
      </c>
      <c r="F842" s="6" t="s">
        <v>50</v>
      </c>
      <c r="G842" s="7">
        <f>Table2[[#This Row],[Unit price]]-10</f>
        <v>41.94</v>
      </c>
      <c r="H842" s="7">
        <v>51.94</v>
      </c>
      <c r="I842" s="8">
        <v>3</v>
      </c>
      <c r="J842" s="8">
        <f>Table2[[#This Row],[Unit price]]*Table2[[#This Row],[Quantity]]</f>
        <v>155.82</v>
      </c>
      <c r="K842" s="8">
        <f>Table2[[#This Row],[Unit Cost]]*Table2[[#This Row],[Quantity]]</f>
        <v>125.82</v>
      </c>
      <c r="L842" s="8">
        <f>Table2[[#This Row],[Gross Sales]]-Table2[[#This Row],[COGS]]</f>
        <v>30</v>
      </c>
      <c r="M842" s="9">
        <f t="shared" si="13"/>
        <v>0.19252984212552945</v>
      </c>
      <c r="N842" s="7">
        <v>7.7910000000000004</v>
      </c>
      <c r="O842" s="7">
        <v>163.61099999999999</v>
      </c>
      <c r="P842" s="10">
        <v>43511</v>
      </c>
      <c r="Q842" s="10" t="str">
        <f>TEXT(Table2[[#This Row],[Date]],"mmm")</f>
        <v>Feb</v>
      </c>
      <c r="R842" s="11">
        <v>0.63958333333333328</v>
      </c>
      <c r="S842" s="6" t="s">
        <v>33</v>
      </c>
      <c r="T842" s="7">
        <v>7.9</v>
      </c>
      <c r="U842" s="6">
        <f>IF(_xlfn.XLOOKUP(A842,[1]Data2!$A:$A,[1]Data2!$B:$B,"no")="yes",1,0)</f>
        <v>1</v>
      </c>
    </row>
    <row r="843" spans="1:21" s="6" customFormat="1" x14ac:dyDescent="0.3">
      <c r="A843" s="6" t="s">
        <v>881</v>
      </c>
      <c r="B843" s="6" t="s">
        <v>46</v>
      </c>
      <c r="C843" s="6" t="s">
        <v>47</v>
      </c>
      <c r="D843" s="6" t="s">
        <v>31</v>
      </c>
      <c r="E843" s="6" t="s">
        <v>35</v>
      </c>
      <c r="F843" s="6" t="s">
        <v>32</v>
      </c>
      <c r="G843" s="7">
        <f>Table2[[#This Row],[Unit price]]-10</f>
        <v>50.3</v>
      </c>
      <c r="H843" s="7">
        <v>60.3</v>
      </c>
      <c r="I843" s="8">
        <v>1</v>
      </c>
      <c r="J843" s="8">
        <f>Table2[[#This Row],[Unit price]]*Table2[[#This Row],[Quantity]]</f>
        <v>60.3</v>
      </c>
      <c r="K843" s="8">
        <f>Table2[[#This Row],[Unit Cost]]*Table2[[#This Row],[Quantity]]</f>
        <v>50.3</v>
      </c>
      <c r="L843" s="8">
        <f>Table2[[#This Row],[Gross Sales]]-Table2[[#This Row],[COGS]]</f>
        <v>10</v>
      </c>
      <c r="M843" s="9">
        <f t="shared" si="13"/>
        <v>0.16583747927031509</v>
      </c>
      <c r="N843" s="7">
        <v>3.0150000000000001</v>
      </c>
      <c r="O843" s="7">
        <v>63.314999999999998</v>
      </c>
      <c r="P843" s="10">
        <v>43524</v>
      </c>
      <c r="Q843" s="10" t="str">
        <f>TEXT(Table2[[#This Row],[Date]],"mmm")</f>
        <v>Feb</v>
      </c>
      <c r="R843" s="11">
        <v>0.73472222222222217</v>
      </c>
      <c r="S843" s="6" t="s">
        <v>33</v>
      </c>
      <c r="T843" s="7">
        <v>6</v>
      </c>
      <c r="U843" s="6">
        <f>IF(_xlfn.XLOOKUP(A843,[1]Data2!$A:$A,[1]Data2!$B:$B,"no")="yes",1,0)</f>
        <v>0</v>
      </c>
    </row>
    <row r="844" spans="1:21" s="6" customFormat="1" x14ac:dyDescent="0.3">
      <c r="A844" s="6" t="s">
        <v>882</v>
      </c>
      <c r="B844" s="6" t="s">
        <v>22</v>
      </c>
      <c r="C844" s="6" t="s">
        <v>23</v>
      </c>
      <c r="D844" s="6" t="s">
        <v>24</v>
      </c>
      <c r="E844" s="6" t="s">
        <v>25</v>
      </c>
      <c r="F844" s="6" t="s">
        <v>40</v>
      </c>
      <c r="G844" s="7">
        <f>Table2[[#This Row],[Unit price]]-10</f>
        <v>29.47</v>
      </c>
      <c r="H844" s="7">
        <v>39.47</v>
      </c>
      <c r="I844" s="8">
        <v>2</v>
      </c>
      <c r="J844" s="8">
        <f>Table2[[#This Row],[Unit price]]*Table2[[#This Row],[Quantity]]</f>
        <v>78.94</v>
      </c>
      <c r="K844" s="8">
        <f>Table2[[#This Row],[Unit Cost]]*Table2[[#This Row],[Quantity]]</f>
        <v>58.94</v>
      </c>
      <c r="L844" s="8">
        <f>Table2[[#This Row],[Gross Sales]]-Table2[[#This Row],[COGS]]</f>
        <v>20</v>
      </c>
      <c r="M844" s="9">
        <f t="shared" si="13"/>
        <v>0.25335697998479861</v>
      </c>
      <c r="N844" s="7">
        <v>3.9470000000000001</v>
      </c>
      <c r="O844" s="7">
        <v>82.887</v>
      </c>
      <c r="P844" s="10">
        <v>43526</v>
      </c>
      <c r="Q844" s="10" t="str">
        <f>TEXT(Table2[[#This Row],[Date]],"mmm")</f>
        <v>Mar</v>
      </c>
      <c r="R844" s="11">
        <v>0.6777777777777777</v>
      </c>
      <c r="S844" s="6" t="s">
        <v>37</v>
      </c>
      <c r="T844" s="7">
        <v>5</v>
      </c>
      <c r="U844" s="6">
        <f>IF(_xlfn.XLOOKUP(A844,[1]Data2!$A:$A,[1]Data2!$B:$B,"no")="yes",1,0)</f>
        <v>0</v>
      </c>
    </row>
    <row r="845" spans="1:21" s="6" customFormat="1" x14ac:dyDescent="0.3">
      <c r="A845" s="6" t="s">
        <v>883</v>
      </c>
      <c r="B845" s="6" t="s">
        <v>29</v>
      </c>
      <c r="C845" s="6" t="s">
        <v>30</v>
      </c>
      <c r="D845" s="6" t="s">
        <v>24</v>
      </c>
      <c r="E845" s="6" t="s">
        <v>25</v>
      </c>
      <c r="F845" s="6" t="s">
        <v>48</v>
      </c>
      <c r="G845" s="7">
        <f>Table2[[#This Row],[Unit price]]-10</f>
        <v>4.8699999999999992</v>
      </c>
      <c r="H845" s="7">
        <v>14.87</v>
      </c>
      <c r="I845" s="8">
        <v>2</v>
      </c>
      <c r="J845" s="8">
        <f>Table2[[#This Row],[Unit price]]*Table2[[#This Row],[Quantity]]</f>
        <v>29.74</v>
      </c>
      <c r="K845" s="8">
        <f>Table2[[#This Row],[Unit Cost]]*Table2[[#This Row],[Quantity]]</f>
        <v>9.7399999999999984</v>
      </c>
      <c r="L845" s="8">
        <f>Table2[[#This Row],[Gross Sales]]-Table2[[#This Row],[COGS]]</f>
        <v>20</v>
      </c>
      <c r="M845" s="9">
        <f t="shared" si="13"/>
        <v>0.67249495628782785</v>
      </c>
      <c r="N845" s="7">
        <v>1.4870000000000001</v>
      </c>
      <c r="O845" s="7">
        <v>31.227</v>
      </c>
      <c r="P845" s="10">
        <v>43509</v>
      </c>
      <c r="Q845" s="10" t="str">
        <f>TEXT(Table2[[#This Row],[Date]],"mmm")</f>
        <v>Feb</v>
      </c>
      <c r="R845" s="11">
        <v>0.76041666666666663</v>
      </c>
      <c r="S845" s="6" t="s">
        <v>37</v>
      </c>
      <c r="T845" s="7">
        <v>8.9</v>
      </c>
      <c r="U845" s="6">
        <f>IF(_xlfn.XLOOKUP(A845,[1]Data2!$A:$A,[1]Data2!$B:$B,"no")="yes",1,0)</f>
        <v>0</v>
      </c>
    </row>
    <row r="846" spans="1:21" s="6" customFormat="1" x14ac:dyDescent="0.3">
      <c r="A846" s="6" t="s">
        <v>884</v>
      </c>
      <c r="B846" s="6" t="s">
        <v>22</v>
      </c>
      <c r="C846" s="6" t="s">
        <v>23</v>
      </c>
      <c r="D846" s="6" t="s">
        <v>31</v>
      </c>
      <c r="E846" s="6" t="s">
        <v>35</v>
      </c>
      <c r="F846" s="6" t="s">
        <v>50</v>
      </c>
      <c r="G846" s="7">
        <f>Table2[[#This Row],[Unit price]]-10</f>
        <v>11.32</v>
      </c>
      <c r="H846" s="7">
        <v>21.32</v>
      </c>
      <c r="I846" s="8">
        <v>1</v>
      </c>
      <c r="J846" s="8">
        <f>Table2[[#This Row],[Unit price]]*Table2[[#This Row],[Quantity]]</f>
        <v>21.32</v>
      </c>
      <c r="K846" s="8">
        <f>Table2[[#This Row],[Unit Cost]]*Table2[[#This Row],[Quantity]]</f>
        <v>11.32</v>
      </c>
      <c r="L846" s="8">
        <f>Table2[[#This Row],[Gross Sales]]-Table2[[#This Row],[COGS]]</f>
        <v>10</v>
      </c>
      <c r="M846" s="9">
        <f t="shared" si="13"/>
        <v>0.46904315196998125</v>
      </c>
      <c r="N846" s="7">
        <v>1.0660000000000001</v>
      </c>
      <c r="O846" s="7">
        <v>22.385999999999999</v>
      </c>
      <c r="P846" s="10">
        <v>43491</v>
      </c>
      <c r="Q846" s="10" t="str">
        <f>TEXT(Table2[[#This Row],[Date]],"mmm")</f>
        <v>Jan</v>
      </c>
      <c r="R846" s="11">
        <v>0.52986111111111112</v>
      </c>
      <c r="S846" s="6" t="s">
        <v>33</v>
      </c>
      <c r="T846" s="7">
        <v>5.9</v>
      </c>
      <c r="U846" s="6">
        <f>IF(_xlfn.XLOOKUP(A846,[1]Data2!$A:$A,[1]Data2!$B:$B,"no")="yes",1,0)</f>
        <v>1</v>
      </c>
    </row>
    <row r="847" spans="1:21" s="6" customFormat="1" x14ac:dyDescent="0.3">
      <c r="A847" s="6" t="s">
        <v>885</v>
      </c>
      <c r="B847" s="6" t="s">
        <v>22</v>
      </c>
      <c r="C847" s="6" t="s">
        <v>23</v>
      </c>
      <c r="D847" s="6" t="s">
        <v>24</v>
      </c>
      <c r="E847" s="6" t="s">
        <v>35</v>
      </c>
      <c r="F847" s="6" t="s">
        <v>32</v>
      </c>
      <c r="G847" s="7">
        <f>Table2[[#This Row],[Unit price]]-10</f>
        <v>83.78</v>
      </c>
      <c r="H847" s="7">
        <v>93.78</v>
      </c>
      <c r="I847" s="8">
        <v>3</v>
      </c>
      <c r="J847" s="8">
        <f>Table2[[#This Row],[Unit price]]*Table2[[#This Row],[Quantity]]</f>
        <v>281.34000000000003</v>
      </c>
      <c r="K847" s="8">
        <f>Table2[[#This Row],[Unit Cost]]*Table2[[#This Row],[Quantity]]</f>
        <v>251.34</v>
      </c>
      <c r="L847" s="8">
        <f>Table2[[#This Row],[Gross Sales]]-Table2[[#This Row],[COGS]]</f>
        <v>30.000000000000028</v>
      </c>
      <c r="M847" s="9">
        <f t="shared" si="13"/>
        <v>0.10663254425250596</v>
      </c>
      <c r="N847" s="7">
        <v>14.067</v>
      </c>
      <c r="O847" s="7">
        <v>295.40699999999998</v>
      </c>
      <c r="P847" s="10">
        <v>43495</v>
      </c>
      <c r="Q847" s="10" t="str">
        <f>TEXT(Table2[[#This Row],[Date]],"mmm")</f>
        <v>Jan</v>
      </c>
      <c r="R847" s="11">
        <v>0.48055555555555557</v>
      </c>
      <c r="S847" s="6" t="s">
        <v>37</v>
      </c>
      <c r="T847" s="7">
        <v>5.9</v>
      </c>
      <c r="U847" s="6">
        <f>IF(_xlfn.XLOOKUP(A847,[1]Data2!$A:$A,[1]Data2!$B:$B,"no")="yes",1,0)</f>
        <v>0</v>
      </c>
    </row>
    <row r="848" spans="1:21" s="6" customFormat="1" x14ac:dyDescent="0.3">
      <c r="A848" s="6" t="s">
        <v>886</v>
      </c>
      <c r="B848" s="6" t="s">
        <v>22</v>
      </c>
      <c r="C848" s="6" t="s">
        <v>23</v>
      </c>
      <c r="D848" s="6" t="s">
        <v>24</v>
      </c>
      <c r="E848" s="6" t="s">
        <v>35</v>
      </c>
      <c r="F848" s="6" t="s">
        <v>32</v>
      </c>
      <c r="G848" s="7">
        <f>Table2[[#This Row],[Unit price]]-10</f>
        <v>63.260000000000005</v>
      </c>
      <c r="H848" s="7">
        <v>73.260000000000005</v>
      </c>
      <c r="I848" s="8">
        <v>1</v>
      </c>
      <c r="J848" s="8">
        <f>Table2[[#This Row],[Unit price]]*Table2[[#This Row],[Quantity]]</f>
        <v>73.260000000000005</v>
      </c>
      <c r="K848" s="8">
        <f>Table2[[#This Row],[Unit Cost]]*Table2[[#This Row],[Quantity]]</f>
        <v>63.260000000000005</v>
      </c>
      <c r="L848" s="8">
        <f>Table2[[#This Row],[Gross Sales]]-Table2[[#This Row],[COGS]]</f>
        <v>10</v>
      </c>
      <c r="M848" s="9">
        <f t="shared" si="13"/>
        <v>0.13650013650013648</v>
      </c>
      <c r="N848" s="7">
        <v>3.6629999999999998</v>
      </c>
      <c r="O848" s="7">
        <v>76.923000000000002</v>
      </c>
      <c r="P848" s="10">
        <v>43492</v>
      </c>
      <c r="Q848" s="10" t="str">
        <f>TEXT(Table2[[#This Row],[Date]],"mmm")</f>
        <v>Jan</v>
      </c>
      <c r="R848" s="11">
        <v>0.75555555555555554</v>
      </c>
      <c r="S848" s="6" t="s">
        <v>27</v>
      </c>
      <c r="T848" s="7">
        <v>9.6999999999999993</v>
      </c>
      <c r="U848" s="6">
        <f>IF(_xlfn.XLOOKUP(A848,[1]Data2!$A:$A,[1]Data2!$B:$B,"no")="yes",1,0)</f>
        <v>0</v>
      </c>
    </row>
    <row r="849" spans="1:21" s="6" customFormat="1" x14ac:dyDescent="0.3">
      <c r="A849" s="6" t="s">
        <v>887</v>
      </c>
      <c r="B849" s="6" t="s">
        <v>29</v>
      </c>
      <c r="C849" s="6" t="s">
        <v>30</v>
      </c>
      <c r="D849" s="6" t="s">
        <v>31</v>
      </c>
      <c r="E849" s="6" t="s">
        <v>25</v>
      </c>
      <c r="F849" s="6" t="s">
        <v>40</v>
      </c>
      <c r="G849" s="7">
        <f>Table2[[#This Row],[Unit price]]-10</f>
        <v>12.379999999999999</v>
      </c>
      <c r="H849" s="7">
        <v>22.38</v>
      </c>
      <c r="I849" s="8">
        <v>1</v>
      </c>
      <c r="J849" s="8">
        <f>Table2[[#This Row],[Unit price]]*Table2[[#This Row],[Quantity]]</f>
        <v>22.38</v>
      </c>
      <c r="K849" s="8">
        <f>Table2[[#This Row],[Unit Cost]]*Table2[[#This Row],[Quantity]]</f>
        <v>12.379999999999999</v>
      </c>
      <c r="L849" s="8">
        <f>Table2[[#This Row],[Gross Sales]]-Table2[[#This Row],[COGS]]</f>
        <v>10</v>
      </c>
      <c r="M849" s="9">
        <f t="shared" si="13"/>
        <v>0.44682752457551389</v>
      </c>
      <c r="N849" s="7">
        <v>1.119</v>
      </c>
      <c r="O849" s="7">
        <v>23.498999999999999</v>
      </c>
      <c r="P849" s="10">
        <v>43495</v>
      </c>
      <c r="Q849" s="10" t="str">
        <f>TEXT(Table2[[#This Row],[Date]],"mmm")</f>
        <v>Jan</v>
      </c>
      <c r="R849" s="11">
        <v>0.71388888888888891</v>
      </c>
      <c r="S849" s="6" t="s">
        <v>37</v>
      </c>
      <c r="T849" s="7">
        <v>8.6</v>
      </c>
      <c r="U849" s="6">
        <f>IF(_xlfn.XLOOKUP(A849,[1]Data2!$A:$A,[1]Data2!$B:$B,"no")="yes",1,0)</f>
        <v>0</v>
      </c>
    </row>
    <row r="850" spans="1:21" s="6" customFormat="1" x14ac:dyDescent="0.3">
      <c r="A850" s="6" t="s">
        <v>888</v>
      </c>
      <c r="B850" s="6" t="s">
        <v>29</v>
      </c>
      <c r="C850" s="6" t="s">
        <v>30</v>
      </c>
      <c r="D850" s="6" t="s">
        <v>24</v>
      </c>
      <c r="E850" s="6" t="s">
        <v>25</v>
      </c>
      <c r="F850" s="6" t="s">
        <v>48</v>
      </c>
      <c r="G850" s="7">
        <f>Table2[[#This Row],[Unit price]]-10</f>
        <v>62.879999999999995</v>
      </c>
      <c r="H850" s="7">
        <v>72.88</v>
      </c>
      <c r="I850" s="8">
        <v>9</v>
      </c>
      <c r="J850" s="8">
        <f>Table2[[#This Row],[Unit price]]*Table2[[#This Row],[Quantity]]</f>
        <v>655.92</v>
      </c>
      <c r="K850" s="8">
        <f>Table2[[#This Row],[Unit Cost]]*Table2[[#This Row],[Quantity]]</f>
        <v>565.91999999999996</v>
      </c>
      <c r="L850" s="8">
        <f>Table2[[#This Row],[Gross Sales]]-Table2[[#This Row],[COGS]]</f>
        <v>90</v>
      </c>
      <c r="M850" s="9">
        <f t="shared" si="13"/>
        <v>0.13721185510428102</v>
      </c>
      <c r="N850" s="7">
        <v>32.795999999999999</v>
      </c>
      <c r="O850" s="7">
        <v>688.71600000000001</v>
      </c>
      <c r="P850" s="10">
        <v>43473</v>
      </c>
      <c r="Q850" s="10" t="str">
        <f>TEXT(Table2[[#This Row],[Date]],"mmm")</f>
        <v>Jan</v>
      </c>
      <c r="R850" s="11">
        <v>0.81805555555555554</v>
      </c>
      <c r="S850" s="6" t="s">
        <v>33</v>
      </c>
      <c r="T850" s="7">
        <v>4</v>
      </c>
      <c r="U850" s="6">
        <f>IF(_xlfn.XLOOKUP(A850,[1]Data2!$A:$A,[1]Data2!$B:$B,"no")="yes",1,0)</f>
        <v>1</v>
      </c>
    </row>
    <row r="851" spans="1:21" s="6" customFormat="1" x14ac:dyDescent="0.3">
      <c r="A851" s="6" t="s">
        <v>889</v>
      </c>
      <c r="B851" s="6" t="s">
        <v>22</v>
      </c>
      <c r="C851" s="6" t="s">
        <v>23</v>
      </c>
      <c r="D851" s="6" t="s">
        <v>31</v>
      </c>
      <c r="E851" s="6" t="s">
        <v>25</v>
      </c>
      <c r="F851" s="6" t="s">
        <v>50</v>
      </c>
      <c r="G851" s="7">
        <f>Table2[[#This Row],[Unit price]]-10</f>
        <v>89.1</v>
      </c>
      <c r="H851" s="7">
        <v>99.1</v>
      </c>
      <c r="I851" s="8">
        <v>6</v>
      </c>
      <c r="J851" s="8">
        <f>Table2[[#This Row],[Unit price]]*Table2[[#This Row],[Quantity]]</f>
        <v>594.59999999999991</v>
      </c>
      <c r="K851" s="8">
        <f>Table2[[#This Row],[Unit Cost]]*Table2[[#This Row],[Quantity]]</f>
        <v>534.59999999999991</v>
      </c>
      <c r="L851" s="8">
        <f>Table2[[#This Row],[Gross Sales]]-Table2[[#This Row],[COGS]]</f>
        <v>60</v>
      </c>
      <c r="M851" s="9">
        <f t="shared" si="13"/>
        <v>0.10090817356205854</v>
      </c>
      <c r="N851" s="7">
        <v>29.73</v>
      </c>
      <c r="O851" s="7">
        <v>624.33000000000004</v>
      </c>
      <c r="P851" s="10">
        <v>43484</v>
      </c>
      <c r="Q851" s="10" t="str">
        <f>TEXT(Table2[[#This Row],[Date]],"mmm")</f>
        <v>Jan</v>
      </c>
      <c r="R851" s="11">
        <v>0.5493055555555556</v>
      </c>
      <c r="S851" s="6" t="s">
        <v>33</v>
      </c>
      <c r="T851" s="7">
        <v>4.2</v>
      </c>
      <c r="U851" s="6">
        <f>IF(_xlfn.XLOOKUP(A851,[1]Data2!$A:$A,[1]Data2!$B:$B,"no")="yes",1,0)</f>
        <v>0</v>
      </c>
    </row>
    <row r="852" spans="1:21" s="6" customFormat="1" x14ac:dyDescent="0.3">
      <c r="A852" s="6" t="s">
        <v>890</v>
      </c>
      <c r="B852" s="6" t="s">
        <v>22</v>
      </c>
      <c r="C852" s="6" t="s">
        <v>23</v>
      </c>
      <c r="D852" s="6" t="s">
        <v>31</v>
      </c>
      <c r="E852" s="6" t="s">
        <v>35</v>
      </c>
      <c r="F852" s="6" t="s">
        <v>50</v>
      </c>
      <c r="G852" s="7">
        <f>Table2[[#This Row],[Unit price]]-10</f>
        <v>64.099999999999994</v>
      </c>
      <c r="H852" s="7">
        <v>74.099999999999994</v>
      </c>
      <c r="I852" s="8">
        <v>1</v>
      </c>
      <c r="J852" s="8">
        <f>Table2[[#This Row],[Unit price]]*Table2[[#This Row],[Quantity]]</f>
        <v>74.099999999999994</v>
      </c>
      <c r="K852" s="8">
        <f>Table2[[#This Row],[Unit Cost]]*Table2[[#This Row],[Quantity]]</f>
        <v>64.099999999999994</v>
      </c>
      <c r="L852" s="8">
        <f>Table2[[#This Row],[Gross Sales]]-Table2[[#This Row],[COGS]]</f>
        <v>10</v>
      </c>
      <c r="M852" s="9">
        <f t="shared" si="13"/>
        <v>0.1349527665317139</v>
      </c>
      <c r="N852" s="7">
        <v>3.7050000000000001</v>
      </c>
      <c r="O852" s="7">
        <v>77.805000000000007</v>
      </c>
      <c r="P852" s="10">
        <v>43490</v>
      </c>
      <c r="Q852" s="10" t="str">
        <f>TEXT(Table2[[#This Row],[Date]],"mmm")</f>
        <v>Jan</v>
      </c>
      <c r="R852" s="11">
        <v>0.46180555555555558</v>
      </c>
      <c r="S852" s="6" t="s">
        <v>33</v>
      </c>
      <c r="T852" s="7">
        <v>9.1999999999999993</v>
      </c>
      <c r="U852" s="6">
        <f>IF(_xlfn.XLOOKUP(A852,[1]Data2!$A:$A,[1]Data2!$B:$B,"no")="yes",1,0)</f>
        <v>0</v>
      </c>
    </row>
    <row r="853" spans="1:21" s="6" customFormat="1" x14ac:dyDescent="0.3">
      <c r="A853" s="6" t="s">
        <v>891</v>
      </c>
      <c r="B853" s="6" t="s">
        <v>22</v>
      </c>
      <c r="C853" s="6" t="s">
        <v>23</v>
      </c>
      <c r="D853" s="6" t="s">
        <v>31</v>
      </c>
      <c r="E853" s="6" t="s">
        <v>25</v>
      </c>
      <c r="F853" s="6" t="s">
        <v>50</v>
      </c>
      <c r="G853" s="7">
        <f>Table2[[#This Row],[Unit price]]-10</f>
        <v>88.48</v>
      </c>
      <c r="H853" s="7">
        <v>98.48</v>
      </c>
      <c r="I853" s="8">
        <v>2</v>
      </c>
      <c r="J853" s="8">
        <f>Table2[[#This Row],[Unit price]]*Table2[[#This Row],[Quantity]]</f>
        <v>196.96</v>
      </c>
      <c r="K853" s="8">
        <f>Table2[[#This Row],[Unit Cost]]*Table2[[#This Row],[Quantity]]</f>
        <v>176.96</v>
      </c>
      <c r="L853" s="8">
        <f>Table2[[#This Row],[Gross Sales]]-Table2[[#This Row],[COGS]]</f>
        <v>20</v>
      </c>
      <c r="M853" s="9">
        <f t="shared" si="13"/>
        <v>0.10154346060113728</v>
      </c>
      <c r="N853" s="7">
        <v>9.8480000000000008</v>
      </c>
      <c r="O853" s="7">
        <v>206.80799999999999</v>
      </c>
      <c r="P853" s="10">
        <v>43515</v>
      </c>
      <c r="Q853" s="10" t="str">
        <f>TEXT(Table2[[#This Row],[Date]],"mmm")</f>
        <v>Feb</v>
      </c>
      <c r="R853" s="11">
        <v>0.42499999999999999</v>
      </c>
      <c r="S853" s="6" t="s">
        <v>27</v>
      </c>
      <c r="T853" s="7">
        <v>9.1999999999999993</v>
      </c>
      <c r="U853" s="6">
        <f>IF(_xlfn.XLOOKUP(A853,[1]Data2!$A:$A,[1]Data2!$B:$B,"no")="yes",1,0)</f>
        <v>0</v>
      </c>
    </row>
    <row r="854" spans="1:21" s="6" customFormat="1" x14ac:dyDescent="0.3">
      <c r="A854" s="6" t="s">
        <v>892</v>
      </c>
      <c r="B854" s="6" t="s">
        <v>29</v>
      </c>
      <c r="C854" s="6" t="s">
        <v>30</v>
      </c>
      <c r="D854" s="6" t="s">
        <v>31</v>
      </c>
      <c r="E854" s="6" t="s">
        <v>35</v>
      </c>
      <c r="F854" s="6" t="s">
        <v>26</v>
      </c>
      <c r="G854" s="7">
        <f>Table2[[#This Row],[Unit price]]-10</f>
        <v>43.19</v>
      </c>
      <c r="H854" s="7">
        <v>53.19</v>
      </c>
      <c r="I854" s="8">
        <v>7</v>
      </c>
      <c r="J854" s="8">
        <f>Table2[[#This Row],[Unit price]]*Table2[[#This Row],[Quantity]]</f>
        <v>372.33</v>
      </c>
      <c r="K854" s="8">
        <f>Table2[[#This Row],[Unit Cost]]*Table2[[#This Row],[Quantity]]</f>
        <v>302.33</v>
      </c>
      <c r="L854" s="8">
        <f>Table2[[#This Row],[Gross Sales]]-Table2[[#This Row],[COGS]]</f>
        <v>70</v>
      </c>
      <c r="M854" s="9">
        <f t="shared" si="13"/>
        <v>0.18800526414739613</v>
      </c>
      <c r="N854" s="7">
        <v>18.616499999999998</v>
      </c>
      <c r="O854" s="7">
        <v>390.94650000000001</v>
      </c>
      <c r="P854" s="10">
        <v>43479</v>
      </c>
      <c r="Q854" s="10" t="str">
        <f>TEXT(Table2[[#This Row],[Date]],"mmm")</f>
        <v>Jan</v>
      </c>
      <c r="R854" s="11">
        <v>0.65416666666666667</v>
      </c>
      <c r="S854" s="6" t="s">
        <v>27</v>
      </c>
      <c r="T854" s="7">
        <v>5</v>
      </c>
      <c r="U854" s="6">
        <f>IF(_xlfn.XLOOKUP(A854,[1]Data2!$A:$A,[1]Data2!$B:$B,"no")="yes",1,0)</f>
        <v>1</v>
      </c>
    </row>
    <row r="855" spans="1:21" s="6" customFormat="1" x14ac:dyDescent="0.3">
      <c r="A855" s="6" t="s">
        <v>893</v>
      </c>
      <c r="B855" s="6" t="s">
        <v>46</v>
      </c>
      <c r="C855" s="6" t="s">
        <v>47</v>
      </c>
      <c r="D855" s="6" t="s">
        <v>31</v>
      </c>
      <c r="E855" s="6" t="s">
        <v>25</v>
      </c>
      <c r="F855" s="6" t="s">
        <v>32</v>
      </c>
      <c r="G855" s="7">
        <f>Table2[[#This Row],[Unit price]]-10</f>
        <v>42.79</v>
      </c>
      <c r="H855" s="7">
        <v>52.79</v>
      </c>
      <c r="I855" s="8">
        <v>10</v>
      </c>
      <c r="J855" s="8">
        <f>Table2[[#This Row],[Unit price]]*Table2[[#This Row],[Quantity]]</f>
        <v>527.9</v>
      </c>
      <c r="K855" s="8">
        <f>Table2[[#This Row],[Unit Cost]]*Table2[[#This Row],[Quantity]]</f>
        <v>427.9</v>
      </c>
      <c r="L855" s="8">
        <f>Table2[[#This Row],[Gross Sales]]-Table2[[#This Row],[COGS]]</f>
        <v>100</v>
      </c>
      <c r="M855" s="9">
        <f t="shared" si="13"/>
        <v>0.18942981625307825</v>
      </c>
      <c r="N855" s="7">
        <v>26.395</v>
      </c>
      <c r="O855" s="7">
        <v>554.29499999999996</v>
      </c>
      <c r="P855" s="10">
        <v>43521</v>
      </c>
      <c r="Q855" s="10" t="str">
        <f>TEXT(Table2[[#This Row],[Date]],"mmm")</f>
        <v>Feb</v>
      </c>
      <c r="R855" s="11">
        <v>0.49861111111111112</v>
      </c>
      <c r="S855" s="6" t="s">
        <v>27</v>
      </c>
      <c r="T855" s="7">
        <v>10</v>
      </c>
      <c r="U855" s="6">
        <f>IF(_xlfn.XLOOKUP(A855,[1]Data2!$A:$A,[1]Data2!$B:$B,"no")="yes",1,0)</f>
        <v>0</v>
      </c>
    </row>
    <row r="856" spans="1:21" s="6" customFormat="1" x14ac:dyDescent="0.3">
      <c r="A856" s="6" t="s">
        <v>894</v>
      </c>
      <c r="B856" s="6" t="s">
        <v>22</v>
      </c>
      <c r="C856" s="6" t="s">
        <v>23</v>
      </c>
      <c r="D856" s="6" t="s">
        <v>24</v>
      </c>
      <c r="E856" s="6" t="s">
        <v>25</v>
      </c>
      <c r="F856" s="6" t="s">
        <v>26</v>
      </c>
      <c r="G856" s="7">
        <f>Table2[[#This Row],[Unit price]]-10</f>
        <v>85.95</v>
      </c>
      <c r="H856" s="7">
        <v>95.95</v>
      </c>
      <c r="I856" s="8">
        <v>5</v>
      </c>
      <c r="J856" s="8">
        <f>Table2[[#This Row],[Unit price]]*Table2[[#This Row],[Quantity]]</f>
        <v>479.75</v>
      </c>
      <c r="K856" s="8">
        <f>Table2[[#This Row],[Unit Cost]]*Table2[[#This Row],[Quantity]]</f>
        <v>429.75</v>
      </c>
      <c r="L856" s="8">
        <f>Table2[[#This Row],[Gross Sales]]-Table2[[#This Row],[COGS]]</f>
        <v>50</v>
      </c>
      <c r="M856" s="9">
        <f t="shared" si="13"/>
        <v>0.10422094841063054</v>
      </c>
      <c r="N856" s="7">
        <v>23.987500000000001</v>
      </c>
      <c r="O856" s="7">
        <v>503.73750000000001</v>
      </c>
      <c r="P856" s="10">
        <v>43488</v>
      </c>
      <c r="Q856" s="10" t="str">
        <f>TEXT(Table2[[#This Row],[Date]],"mmm")</f>
        <v>Jan</v>
      </c>
      <c r="R856" s="11">
        <v>0.59791666666666665</v>
      </c>
      <c r="S856" s="6" t="s">
        <v>27</v>
      </c>
      <c r="T856" s="7">
        <v>8.8000000000000007</v>
      </c>
      <c r="U856" s="6">
        <f>IF(_xlfn.XLOOKUP(A856,[1]Data2!$A:$A,[1]Data2!$B:$B,"no")="yes",1,0)</f>
        <v>0</v>
      </c>
    </row>
    <row r="857" spans="1:21" s="6" customFormat="1" x14ac:dyDescent="0.3">
      <c r="A857" s="6" t="s">
        <v>895</v>
      </c>
      <c r="B857" s="6" t="s">
        <v>46</v>
      </c>
      <c r="C857" s="6" t="s">
        <v>47</v>
      </c>
      <c r="D857" s="6" t="s">
        <v>31</v>
      </c>
      <c r="E857" s="6" t="s">
        <v>25</v>
      </c>
      <c r="F857" s="6" t="s">
        <v>50</v>
      </c>
      <c r="G857" s="7">
        <f>Table2[[#This Row],[Unit price]]-10</f>
        <v>26.509999999999998</v>
      </c>
      <c r="H857" s="7">
        <v>36.51</v>
      </c>
      <c r="I857" s="8">
        <v>9</v>
      </c>
      <c r="J857" s="8">
        <f>Table2[[#This Row],[Unit price]]*Table2[[#This Row],[Quantity]]</f>
        <v>328.59</v>
      </c>
      <c r="K857" s="8">
        <f>Table2[[#This Row],[Unit Cost]]*Table2[[#This Row],[Quantity]]</f>
        <v>238.58999999999997</v>
      </c>
      <c r="L857" s="8">
        <f>Table2[[#This Row],[Gross Sales]]-Table2[[#This Row],[COGS]]</f>
        <v>90</v>
      </c>
      <c r="M857" s="9">
        <f t="shared" si="13"/>
        <v>0.27389756231169543</v>
      </c>
      <c r="N857" s="7">
        <v>16.429500000000001</v>
      </c>
      <c r="O857" s="7">
        <v>345.01949999999999</v>
      </c>
      <c r="P857" s="10">
        <v>43512</v>
      </c>
      <c r="Q857" s="10" t="str">
        <f>TEXT(Table2[[#This Row],[Date]],"mmm")</f>
        <v>Feb</v>
      </c>
      <c r="R857" s="11">
        <v>0.45277777777777778</v>
      </c>
      <c r="S857" s="6" t="s">
        <v>33</v>
      </c>
      <c r="T857" s="7">
        <v>4.2</v>
      </c>
      <c r="U857" s="6">
        <f>IF(_xlfn.XLOOKUP(A857,[1]Data2!$A:$A,[1]Data2!$B:$B,"no")="yes",1,0)</f>
        <v>0</v>
      </c>
    </row>
    <row r="858" spans="1:21" s="6" customFormat="1" x14ac:dyDescent="0.3">
      <c r="A858" s="6" t="s">
        <v>896</v>
      </c>
      <c r="B858" s="6" t="s">
        <v>46</v>
      </c>
      <c r="C858" s="6" t="s">
        <v>47</v>
      </c>
      <c r="D858" s="6" t="s">
        <v>31</v>
      </c>
      <c r="E858" s="6" t="s">
        <v>35</v>
      </c>
      <c r="F858" s="6" t="s">
        <v>48</v>
      </c>
      <c r="G858" s="7">
        <f>Table2[[#This Row],[Unit price]]-10</f>
        <v>11.120000000000001</v>
      </c>
      <c r="H858" s="7">
        <v>21.12</v>
      </c>
      <c r="I858" s="8">
        <v>8</v>
      </c>
      <c r="J858" s="8">
        <f>Table2[[#This Row],[Unit price]]*Table2[[#This Row],[Quantity]]</f>
        <v>168.96</v>
      </c>
      <c r="K858" s="8">
        <f>Table2[[#This Row],[Unit Cost]]*Table2[[#This Row],[Quantity]]</f>
        <v>88.960000000000008</v>
      </c>
      <c r="L858" s="8">
        <f>Table2[[#This Row],[Gross Sales]]-Table2[[#This Row],[COGS]]</f>
        <v>80</v>
      </c>
      <c r="M858" s="9">
        <f t="shared" si="13"/>
        <v>0.47348484848484845</v>
      </c>
      <c r="N858" s="7">
        <v>8.4480000000000004</v>
      </c>
      <c r="O858" s="7">
        <v>177.40799999999999</v>
      </c>
      <c r="P858" s="10">
        <v>43466</v>
      </c>
      <c r="Q858" s="10" t="str">
        <f>TEXT(Table2[[#This Row],[Date]],"mmm")</f>
        <v>Jan</v>
      </c>
      <c r="R858" s="11">
        <v>0.81319444444444444</v>
      </c>
      <c r="S858" s="6" t="s">
        <v>33</v>
      </c>
      <c r="T858" s="7">
        <v>6.3</v>
      </c>
      <c r="U858" s="6">
        <f>IF(_xlfn.XLOOKUP(A858,[1]Data2!$A:$A,[1]Data2!$B:$B,"no")="yes",1,0)</f>
        <v>1</v>
      </c>
    </row>
    <row r="859" spans="1:21" s="6" customFormat="1" x14ac:dyDescent="0.3">
      <c r="A859" s="6" t="s">
        <v>897</v>
      </c>
      <c r="B859" s="6" t="s">
        <v>22</v>
      </c>
      <c r="C859" s="6" t="s">
        <v>23</v>
      </c>
      <c r="D859" s="6" t="s">
        <v>24</v>
      </c>
      <c r="E859" s="6" t="s">
        <v>25</v>
      </c>
      <c r="F859" s="6" t="s">
        <v>36</v>
      </c>
      <c r="G859" s="7">
        <f>Table2[[#This Row],[Unit price]]-10</f>
        <v>18.309999999999999</v>
      </c>
      <c r="H859" s="7">
        <v>28.31</v>
      </c>
      <c r="I859" s="8">
        <v>4</v>
      </c>
      <c r="J859" s="8">
        <f>Table2[[#This Row],[Unit price]]*Table2[[#This Row],[Quantity]]</f>
        <v>113.24</v>
      </c>
      <c r="K859" s="8">
        <f>Table2[[#This Row],[Unit Cost]]*Table2[[#This Row],[Quantity]]</f>
        <v>73.239999999999995</v>
      </c>
      <c r="L859" s="8">
        <f>Table2[[#This Row],[Gross Sales]]-Table2[[#This Row],[COGS]]</f>
        <v>40</v>
      </c>
      <c r="M859" s="9">
        <f t="shared" si="13"/>
        <v>0.35323207347227131</v>
      </c>
      <c r="N859" s="7">
        <v>5.6619999999999999</v>
      </c>
      <c r="O859" s="7">
        <v>118.902</v>
      </c>
      <c r="P859" s="10">
        <v>43531</v>
      </c>
      <c r="Q859" s="10" t="str">
        <f>TEXT(Table2[[#This Row],[Date]],"mmm")</f>
        <v>Mar</v>
      </c>
      <c r="R859" s="11">
        <v>0.77430555555555547</v>
      </c>
      <c r="S859" s="6" t="s">
        <v>33</v>
      </c>
      <c r="T859" s="7">
        <v>8.1999999999999993</v>
      </c>
      <c r="U859" s="6">
        <f>IF(_xlfn.XLOOKUP(A859,[1]Data2!$A:$A,[1]Data2!$B:$B,"no")="yes",1,0)</f>
        <v>0</v>
      </c>
    </row>
    <row r="860" spans="1:21" s="6" customFormat="1" x14ac:dyDescent="0.3">
      <c r="A860" s="6" t="s">
        <v>898</v>
      </c>
      <c r="B860" s="6" t="s">
        <v>46</v>
      </c>
      <c r="C860" s="6" t="s">
        <v>47</v>
      </c>
      <c r="D860" s="6" t="s">
        <v>31</v>
      </c>
      <c r="E860" s="6" t="s">
        <v>35</v>
      </c>
      <c r="F860" s="6" t="s">
        <v>26</v>
      </c>
      <c r="G860" s="7">
        <f>Table2[[#This Row],[Unit price]]-10</f>
        <v>47.59</v>
      </c>
      <c r="H860" s="7">
        <v>57.59</v>
      </c>
      <c r="I860" s="8">
        <v>6</v>
      </c>
      <c r="J860" s="8">
        <f>Table2[[#This Row],[Unit price]]*Table2[[#This Row],[Quantity]]</f>
        <v>345.54</v>
      </c>
      <c r="K860" s="8">
        <f>Table2[[#This Row],[Unit Cost]]*Table2[[#This Row],[Quantity]]</f>
        <v>285.54000000000002</v>
      </c>
      <c r="L860" s="8">
        <f>Table2[[#This Row],[Gross Sales]]-Table2[[#This Row],[COGS]]</f>
        <v>60</v>
      </c>
      <c r="M860" s="9">
        <f t="shared" si="13"/>
        <v>0.17364125716270185</v>
      </c>
      <c r="N860" s="7">
        <v>17.277000000000001</v>
      </c>
      <c r="O860" s="7">
        <v>362.81700000000001</v>
      </c>
      <c r="P860" s="10">
        <v>43511</v>
      </c>
      <c r="Q860" s="10" t="str">
        <f>TEXT(Table2[[#This Row],[Date]],"mmm")</f>
        <v>Feb</v>
      </c>
      <c r="R860" s="11">
        <v>0.57708333333333328</v>
      </c>
      <c r="S860" s="6" t="s">
        <v>33</v>
      </c>
      <c r="T860" s="7">
        <v>5.0999999999999996</v>
      </c>
      <c r="U860" s="6">
        <f>IF(_xlfn.XLOOKUP(A860,[1]Data2!$A:$A,[1]Data2!$B:$B,"no")="yes",1,0)</f>
        <v>0</v>
      </c>
    </row>
    <row r="861" spans="1:21" s="6" customFormat="1" x14ac:dyDescent="0.3">
      <c r="A861" s="6" t="s">
        <v>899</v>
      </c>
      <c r="B861" s="6" t="s">
        <v>22</v>
      </c>
      <c r="C861" s="6" t="s">
        <v>23</v>
      </c>
      <c r="D861" s="6" t="s">
        <v>24</v>
      </c>
      <c r="E861" s="6" t="s">
        <v>25</v>
      </c>
      <c r="F861" s="6" t="s">
        <v>48</v>
      </c>
      <c r="G861" s="7">
        <f>Table2[[#This Row],[Unit price]]-10</f>
        <v>37.630000000000003</v>
      </c>
      <c r="H861" s="7">
        <v>47.63</v>
      </c>
      <c r="I861" s="8">
        <v>9</v>
      </c>
      <c r="J861" s="8">
        <f>Table2[[#This Row],[Unit price]]*Table2[[#This Row],[Quantity]]</f>
        <v>428.67</v>
      </c>
      <c r="K861" s="8">
        <f>Table2[[#This Row],[Unit Cost]]*Table2[[#This Row],[Quantity]]</f>
        <v>338.67</v>
      </c>
      <c r="L861" s="8">
        <f>Table2[[#This Row],[Gross Sales]]-Table2[[#This Row],[COGS]]</f>
        <v>90</v>
      </c>
      <c r="M861" s="9">
        <f t="shared" si="13"/>
        <v>0.2099517111064455</v>
      </c>
      <c r="N861" s="7">
        <v>21.433499999999999</v>
      </c>
      <c r="O861" s="7">
        <v>450.1035</v>
      </c>
      <c r="P861" s="10">
        <v>43488</v>
      </c>
      <c r="Q861" s="10" t="str">
        <f>TEXT(Table2[[#This Row],[Date]],"mmm")</f>
        <v>Jan</v>
      </c>
      <c r="R861" s="11">
        <v>0.52430555555555558</v>
      </c>
      <c r="S861" s="6" t="s">
        <v>33</v>
      </c>
      <c r="T861" s="7">
        <v>5</v>
      </c>
      <c r="U861" s="6">
        <f>IF(_xlfn.XLOOKUP(A861,[1]Data2!$A:$A,[1]Data2!$B:$B,"no")="yes",1,0)</f>
        <v>0</v>
      </c>
    </row>
    <row r="862" spans="1:21" s="6" customFormat="1" x14ac:dyDescent="0.3">
      <c r="A862" s="6" t="s">
        <v>900</v>
      </c>
      <c r="B862" s="6" t="s">
        <v>29</v>
      </c>
      <c r="C862" s="6" t="s">
        <v>30</v>
      </c>
      <c r="D862" s="6" t="s">
        <v>24</v>
      </c>
      <c r="E862" s="6" t="s">
        <v>25</v>
      </c>
      <c r="F862" s="6" t="s">
        <v>36</v>
      </c>
      <c r="G862" s="7">
        <f>Table2[[#This Row],[Unit price]]-10</f>
        <v>76.27</v>
      </c>
      <c r="H862" s="7">
        <v>86.27</v>
      </c>
      <c r="I862" s="8">
        <v>1</v>
      </c>
      <c r="J862" s="8">
        <f>Table2[[#This Row],[Unit price]]*Table2[[#This Row],[Quantity]]</f>
        <v>86.27</v>
      </c>
      <c r="K862" s="8">
        <f>Table2[[#This Row],[Unit Cost]]*Table2[[#This Row],[Quantity]]</f>
        <v>76.27</v>
      </c>
      <c r="L862" s="8">
        <f>Table2[[#This Row],[Gross Sales]]-Table2[[#This Row],[COGS]]</f>
        <v>10</v>
      </c>
      <c r="M862" s="9">
        <f t="shared" si="13"/>
        <v>0.11591515011011939</v>
      </c>
      <c r="N862" s="7">
        <v>4.3135000000000003</v>
      </c>
      <c r="O862" s="7">
        <v>90.583500000000001</v>
      </c>
      <c r="P862" s="10">
        <v>43516</v>
      </c>
      <c r="Q862" s="10" t="str">
        <f>TEXT(Table2[[#This Row],[Date]],"mmm")</f>
        <v>Feb</v>
      </c>
      <c r="R862" s="11">
        <v>0.55833333333333335</v>
      </c>
      <c r="S862" s="6" t="s">
        <v>27</v>
      </c>
      <c r="T862" s="7">
        <v>7</v>
      </c>
      <c r="U862" s="6">
        <f>IF(_xlfn.XLOOKUP(A862,[1]Data2!$A:$A,[1]Data2!$B:$B,"no")="yes",1,0)</f>
        <v>1</v>
      </c>
    </row>
    <row r="863" spans="1:21" s="6" customFormat="1" x14ac:dyDescent="0.3">
      <c r="A863" s="6" t="s">
        <v>901</v>
      </c>
      <c r="B863" s="6" t="s">
        <v>22</v>
      </c>
      <c r="C863" s="6" t="s">
        <v>23</v>
      </c>
      <c r="D863" s="6" t="s">
        <v>24</v>
      </c>
      <c r="E863" s="6" t="s">
        <v>35</v>
      </c>
      <c r="F863" s="6" t="s">
        <v>40</v>
      </c>
      <c r="G863" s="7">
        <f>Table2[[#This Row],[Unit price]]-10</f>
        <v>2.76</v>
      </c>
      <c r="H863" s="7">
        <v>12.76</v>
      </c>
      <c r="I863" s="8">
        <v>2</v>
      </c>
      <c r="J863" s="8">
        <f>Table2[[#This Row],[Unit price]]*Table2[[#This Row],[Quantity]]</f>
        <v>25.52</v>
      </c>
      <c r="K863" s="8">
        <f>Table2[[#This Row],[Unit Cost]]*Table2[[#This Row],[Quantity]]</f>
        <v>5.52</v>
      </c>
      <c r="L863" s="8">
        <f>Table2[[#This Row],[Gross Sales]]-Table2[[#This Row],[COGS]]</f>
        <v>20</v>
      </c>
      <c r="M863" s="9">
        <f t="shared" si="13"/>
        <v>0.78369905956112851</v>
      </c>
      <c r="N863" s="7">
        <v>1.276</v>
      </c>
      <c r="O863" s="7">
        <v>26.795999999999999</v>
      </c>
      <c r="P863" s="10">
        <v>43473</v>
      </c>
      <c r="Q863" s="10" t="str">
        <f>TEXT(Table2[[#This Row],[Date]],"mmm")</f>
        <v>Jan</v>
      </c>
      <c r="R863" s="11">
        <v>0.75416666666666676</v>
      </c>
      <c r="S863" s="6" t="s">
        <v>27</v>
      </c>
      <c r="T863" s="7">
        <v>7.8</v>
      </c>
      <c r="U863" s="6">
        <f>IF(_xlfn.XLOOKUP(A863,[1]Data2!$A:$A,[1]Data2!$B:$B,"no")="yes",1,0)</f>
        <v>0</v>
      </c>
    </row>
    <row r="864" spans="1:21" s="6" customFormat="1" x14ac:dyDescent="0.3">
      <c r="A864" s="6" t="s">
        <v>902</v>
      </c>
      <c r="B864" s="6" t="s">
        <v>46</v>
      </c>
      <c r="C864" s="6" t="s">
        <v>47</v>
      </c>
      <c r="D864" s="6" t="s">
        <v>31</v>
      </c>
      <c r="E864" s="6" t="s">
        <v>25</v>
      </c>
      <c r="F864" s="6" t="s">
        <v>36</v>
      </c>
      <c r="G864" s="7">
        <f>Table2[[#This Row],[Unit price]]-10</f>
        <v>1.2799999999999994</v>
      </c>
      <c r="H864" s="7">
        <v>11.28</v>
      </c>
      <c r="I864" s="8">
        <v>9</v>
      </c>
      <c r="J864" s="8">
        <f>Table2[[#This Row],[Unit price]]*Table2[[#This Row],[Quantity]]</f>
        <v>101.52</v>
      </c>
      <c r="K864" s="8">
        <f>Table2[[#This Row],[Unit Cost]]*Table2[[#This Row],[Quantity]]</f>
        <v>11.519999999999994</v>
      </c>
      <c r="L864" s="8">
        <f>Table2[[#This Row],[Gross Sales]]-Table2[[#This Row],[COGS]]</f>
        <v>90</v>
      </c>
      <c r="M864" s="9">
        <f t="shared" si="13"/>
        <v>0.88652482269503552</v>
      </c>
      <c r="N864" s="7">
        <v>5.0759999999999996</v>
      </c>
      <c r="O864" s="7">
        <v>106.596</v>
      </c>
      <c r="P864" s="10">
        <v>43541</v>
      </c>
      <c r="Q864" s="10" t="str">
        <f>TEXT(Table2[[#This Row],[Date]],"mmm")</f>
        <v>Mar</v>
      </c>
      <c r="R864" s="11">
        <v>0.49652777777777773</v>
      </c>
      <c r="S864" s="6" t="s">
        <v>37</v>
      </c>
      <c r="T864" s="7">
        <v>4.3</v>
      </c>
      <c r="U864" s="6">
        <f>IF(_xlfn.XLOOKUP(A864,[1]Data2!$A:$A,[1]Data2!$B:$B,"no")="yes",1,0)</f>
        <v>0</v>
      </c>
    </row>
    <row r="865" spans="1:21" s="6" customFormat="1" x14ac:dyDescent="0.3">
      <c r="A865" s="6" t="s">
        <v>903</v>
      </c>
      <c r="B865" s="6" t="s">
        <v>46</v>
      </c>
      <c r="C865" s="6" t="s">
        <v>47</v>
      </c>
      <c r="D865" s="6" t="s">
        <v>31</v>
      </c>
      <c r="E865" s="6" t="s">
        <v>25</v>
      </c>
      <c r="F865" s="6" t="s">
        <v>36</v>
      </c>
      <c r="G865" s="7">
        <f>Table2[[#This Row],[Unit price]]-10</f>
        <v>41.07</v>
      </c>
      <c r="H865" s="7">
        <v>51.07</v>
      </c>
      <c r="I865" s="8">
        <v>7</v>
      </c>
      <c r="J865" s="8">
        <f>Table2[[#This Row],[Unit price]]*Table2[[#This Row],[Quantity]]</f>
        <v>357.49</v>
      </c>
      <c r="K865" s="8">
        <f>Table2[[#This Row],[Unit Cost]]*Table2[[#This Row],[Quantity]]</f>
        <v>287.49</v>
      </c>
      <c r="L865" s="8">
        <f>Table2[[#This Row],[Gross Sales]]-Table2[[#This Row],[COGS]]</f>
        <v>70</v>
      </c>
      <c r="M865" s="9">
        <f t="shared" si="13"/>
        <v>0.1958096729978461</v>
      </c>
      <c r="N865" s="7">
        <v>17.874500000000001</v>
      </c>
      <c r="O865" s="7">
        <v>375.36450000000002</v>
      </c>
      <c r="P865" s="10">
        <v>43477</v>
      </c>
      <c r="Q865" s="10" t="str">
        <f>TEXT(Table2[[#This Row],[Date]],"mmm")</f>
        <v>Jan</v>
      </c>
      <c r="R865" s="11">
        <v>0.48749999999999999</v>
      </c>
      <c r="S865" s="6" t="s">
        <v>33</v>
      </c>
      <c r="T865" s="7">
        <v>7</v>
      </c>
      <c r="U865" s="6">
        <f>IF(_xlfn.XLOOKUP(A865,[1]Data2!$A:$A,[1]Data2!$B:$B,"no")="yes",1,0)</f>
        <v>0</v>
      </c>
    </row>
    <row r="866" spans="1:21" s="6" customFormat="1" x14ac:dyDescent="0.3">
      <c r="A866" s="6" t="s">
        <v>904</v>
      </c>
      <c r="B866" s="6" t="s">
        <v>22</v>
      </c>
      <c r="C866" s="6" t="s">
        <v>23</v>
      </c>
      <c r="D866" s="6" t="s">
        <v>24</v>
      </c>
      <c r="E866" s="6" t="s">
        <v>25</v>
      </c>
      <c r="F866" s="6" t="s">
        <v>32</v>
      </c>
      <c r="G866" s="7">
        <f>Table2[[#This Row],[Unit price]]-10</f>
        <v>69.59</v>
      </c>
      <c r="H866" s="7">
        <v>79.59</v>
      </c>
      <c r="I866" s="8">
        <v>3</v>
      </c>
      <c r="J866" s="8">
        <f>Table2[[#This Row],[Unit price]]*Table2[[#This Row],[Quantity]]</f>
        <v>238.77</v>
      </c>
      <c r="K866" s="8">
        <f>Table2[[#This Row],[Unit Cost]]*Table2[[#This Row],[Quantity]]</f>
        <v>208.77</v>
      </c>
      <c r="L866" s="8">
        <f>Table2[[#This Row],[Gross Sales]]-Table2[[#This Row],[COGS]]</f>
        <v>30</v>
      </c>
      <c r="M866" s="9">
        <f t="shared" si="13"/>
        <v>0.12564392511622063</v>
      </c>
      <c r="N866" s="7">
        <v>11.938499999999999</v>
      </c>
      <c r="O866" s="7">
        <v>250.70849999999999</v>
      </c>
      <c r="P866" s="10">
        <v>43473</v>
      </c>
      <c r="Q866" s="10" t="str">
        <f>TEXT(Table2[[#This Row],[Date]],"mmm")</f>
        <v>Jan</v>
      </c>
      <c r="R866" s="11">
        <v>0.60416666666666663</v>
      </c>
      <c r="S866" s="6" t="s">
        <v>33</v>
      </c>
      <c r="T866" s="7">
        <v>6.6</v>
      </c>
      <c r="U866" s="6">
        <f>IF(_xlfn.XLOOKUP(A866,[1]Data2!$A:$A,[1]Data2!$B:$B,"no")="yes",1,0)</f>
        <v>1</v>
      </c>
    </row>
    <row r="867" spans="1:21" s="6" customFormat="1" x14ac:dyDescent="0.3">
      <c r="A867" s="6" t="s">
        <v>905</v>
      </c>
      <c r="B867" s="6" t="s">
        <v>29</v>
      </c>
      <c r="C867" s="6" t="s">
        <v>30</v>
      </c>
      <c r="D867" s="6" t="s">
        <v>24</v>
      </c>
      <c r="E867" s="6" t="s">
        <v>35</v>
      </c>
      <c r="F867" s="6" t="s">
        <v>26</v>
      </c>
      <c r="G867" s="7">
        <f>Table2[[#This Row],[Unit price]]-10</f>
        <v>23.810000000000002</v>
      </c>
      <c r="H867" s="7">
        <v>33.81</v>
      </c>
      <c r="I867" s="8">
        <v>3</v>
      </c>
      <c r="J867" s="8">
        <f>Table2[[#This Row],[Unit price]]*Table2[[#This Row],[Quantity]]</f>
        <v>101.43</v>
      </c>
      <c r="K867" s="8">
        <f>Table2[[#This Row],[Unit Cost]]*Table2[[#This Row],[Quantity]]</f>
        <v>71.430000000000007</v>
      </c>
      <c r="L867" s="8">
        <f>Table2[[#This Row],[Gross Sales]]-Table2[[#This Row],[COGS]]</f>
        <v>30</v>
      </c>
      <c r="M867" s="9">
        <f t="shared" si="13"/>
        <v>0.2957704821058858</v>
      </c>
      <c r="N867" s="7">
        <v>5.0715000000000003</v>
      </c>
      <c r="O867" s="7">
        <v>106.50149999999999</v>
      </c>
      <c r="P867" s="10">
        <v>43491</v>
      </c>
      <c r="Q867" s="10" t="str">
        <f>TEXT(Table2[[#This Row],[Date]],"mmm")</f>
        <v>Jan</v>
      </c>
      <c r="R867" s="11">
        <v>0.63263888888888886</v>
      </c>
      <c r="S867" s="6" t="s">
        <v>27</v>
      </c>
      <c r="T867" s="7">
        <v>7.3</v>
      </c>
      <c r="U867" s="6">
        <f>IF(_xlfn.XLOOKUP(A867,[1]Data2!$A:$A,[1]Data2!$B:$B,"no")="yes",1,0)</f>
        <v>0</v>
      </c>
    </row>
    <row r="868" spans="1:21" s="6" customFormat="1" x14ac:dyDescent="0.3">
      <c r="A868" s="6" t="s">
        <v>906</v>
      </c>
      <c r="B868" s="6" t="s">
        <v>46</v>
      </c>
      <c r="C868" s="6" t="s">
        <v>47</v>
      </c>
      <c r="D868" s="6" t="s">
        <v>24</v>
      </c>
      <c r="E868" s="6" t="s">
        <v>35</v>
      </c>
      <c r="F868" s="6" t="s">
        <v>40</v>
      </c>
      <c r="G868" s="7">
        <f>Table2[[#This Row],[Unit price]]-10</f>
        <v>80.53</v>
      </c>
      <c r="H868" s="7">
        <v>90.53</v>
      </c>
      <c r="I868" s="8">
        <v>8</v>
      </c>
      <c r="J868" s="8">
        <f>Table2[[#This Row],[Unit price]]*Table2[[#This Row],[Quantity]]</f>
        <v>724.24</v>
      </c>
      <c r="K868" s="8">
        <f>Table2[[#This Row],[Unit Cost]]*Table2[[#This Row],[Quantity]]</f>
        <v>644.24</v>
      </c>
      <c r="L868" s="8">
        <f>Table2[[#This Row],[Gross Sales]]-Table2[[#This Row],[COGS]]</f>
        <v>80</v>
      </c>
      <c r="M868" s="9">
        <f t="shared" si="13"/>
        <v>0.11046062078868883</v>
      </c>
      <c r="N868" s="7">
        <v>36.212000000000003</v>
      </c>
      <c r="O868" s="7">
        <v>760.452</v>
      </c>
      <c r="P868" s="10">
        <v>43539</v>
      </c>
      <c r="Q868" s="10" t="str">
        <f>TEXT(Table2[[#This Row],[Date]],"mmm")</f>
        <v>Mar</v>
      </c>
      <c r="R868" s="11">
        <v>0.6166666666666667</v>
      </c>
      <c r="S868" s="6" t="s">
        <v>37</v>
      </c>
      <c r="T868" s="7">
        <v>6.5</v>
      </c>
      <c r="U868" s="6">
        <f>IF(_xlfn.XLOOKUP(A868,[1]Data2!$A:$A,[1]Data2!$B:$B,"no")="yes",1,0)</f>
        <v>0</v>
      </c>
    </row>
    <row r="869" spans="1:21" s="6" customFormat="1" x14ac:dyDescent="0.3">
      <c r="A869" s="6" t="s">
        <v>907</v>
      </c>
      <c r="B869" s="6" t="s">
        <v>29</v>
      </c>
      <c r="C869" s="6" t="s">
        <v>30</v>
      </c>
      <c r="D869" s="6" t="s">
        <v>24</v>
      </c>
      <c r="E869" s="6" t="s">
        <v>25</v>
      </c>
      <c r="F869" s="6" t="s">
        <v>26</v>
      </c>
      <c r="G869" s="7">
        <f>Table2[[#This Row],[Unit price]]-10</f>
        <v>52.82</v>
      </c>
      <c r="H869" s="7">
        <v>62.82</v>
      </c>
      <c r="I869" s="8">
        <v>2</v>
      </c>
      <c r="J869" s="8">
        <f>Table2[[#This Row],[Unit price]]*Table2[[#This Row],[Quantity]]</f>
        <v>125.64</v>
      </c>
      <c r="K869" s="8">
        <f>Table2[[#This Row],[Unit Cost]]*Table2[[#This Row],[Quantity]]</f>
        <v>105.64</v>
      </c>
      <c r="L869" s="8">
        <f>Table2[[#This Row],[Gross Sales]]-Table2[[#This Row],[COGS]]</f>
        <v>20</v>
      </c>
      <c r="M869" s="9">
        <f t="shared" si="13"/>
        <v>0.1591849729385546</v>
      </c>
      <c r="N869" s="7">
        <v>6.282</v>
      </c>
      <c r="O869" s="7">
        <v>131.922</v>
      </c>
      <c r="P869" s="10">
        <v>43482</v>
      </c>
      <c r="Q869" s="10" t="str">
        <f>TEXT(Table2[[#This Row],[Date]],"mmm")</f>
        <v>Jan</v>
      </c>
      <c r="R869" s="11">
        <v>0.52500000000000002</v>
      </c>
      <c r="S869" s="6" t="s">
        <v>27</v>
      </c>
      <c r="T869" s="7">
        <v>4.9000000000000004</v>
      </c>
      <c r="U869" s="6">
        <f>IF(_xlfn.XLOOKUP(A869,[1]Data2!$A:$A,[1]Data2!$B:$B,"no")="yes",1,0)</f>
        <v>0</v>
      </c>
    </row>
    <row r="870" spans="1:21" s="6" customFormat="1" x14ac:dyDescent="0.3">
      <c r="A870" s="6" t="s">
        <v>908</v>
      </c>
      <c r="B870" s="6" t="s">
        <v>29</v>
      </c>
      <c r="C870" s="6" t="s">
        <v>30</v>
      </c>
      <c r="D870" s="6" t="s">
        <v>24</v>
      </c>
      <c r="E870" s="6" t="s">
        <v>35</v>
      </c>
      <c r="F870" s="6" t="s">
        <v>48</v>
      </c>
      <c r="G870" s="7">
        <f>Table2[[#This Row],[Unit price]]-10</f>
        <v>14.309999999999999</v>
      </c>
      <c r="H870" s="7">
        <v>24.31</v>
      </c>
      <c r="I870" s="8">
        <v>3</v>
      </c>
      <c r="J870" s="8">
        <f>Table2[[#This Row],[Unit price]]*Table2[[#This Row],[Quantity]]</f>
        <v>72.929999999999993</v>
      </c>
      <c r="K870" s="8">
        <f>Table2[[#This Row],[Unit Cost]]*Table2[[#This Row],[Quantity]]</f>
        <v>42.929999999999993</v>
      </c>
      <c r="L870" s="8">
        <f>Table2[[#This Row],[Gross Sales]]-Table2[[#This Row],[COGS]]</f>
        <v>30</v>
      </c>
      <c r="M870" s="9">
        <f t="shared" si="13"/>
        <v>0.41135335252982314</v>
      </c>
      <c r="N870" s="7">
        <v>3.6465000000000001</v>
      </c>
      <c r="O870" s="7">
        <v>76.576499999999996</v>
      </c>
      <c r="P870" s="10">
        <v>43473</v>
      </c>
      <c r="Q870" s="10" t="str">
        <f>TEXT(Table2[[#This Row],[Date]],"mmm")</f>
        <v>Jan</v>
      </c>
      <c r="R870" s="11">
        <v>0.79791666666666661</v>
      </c>
      <c r="S870" s="6" t="s">
        <v>37</v>
      </c>
      <c r="T870" s="7">
        <v>4.3</v>
      </c>
      <c r="U870" s="6">
        <f>IF(_xlfn.XLOOKUP(A870,[1]Data2!$A:$A,[1]Data2!$B:$B,"no")="yes",1,0)</f>
        <v>1</v>
      </c>
    </row>
    <row r="871" spans="1:21" s="6" customFormat="1" x14ac:dyDescent="0.3">
      <c r="A871" s="6" t="s">
        <v>909</v>
      </c>
      <c r="B871" s="6" t="s">
        <v>22</v>
      </c>
      <c r="C871" s="6" t="s">
        <v>23</v>
      </c>
      <c r="D871" s="6" t="s">
        <v>31</v>
      </c>
      <c r="E871" s="6" t="s">
        <v>35</v>
      </c>
      <c r="F871" s="6" t="s">
        <v>40</v>
      </c>
      <c r="G871" s="7">
        <f>Table2[[#This Row],[Unit price]]-10</f>
        <v>54.59</v>
      </c>
      <c r="H871" s="7">
        <v>64.59</v>
      </c>
      <c r="I871" s="8">
        <v>4</v>
      </c>
      <c r="J871" s="8">
        <f>Table2[[#This Row],[Unit price]]*Table2[[#This Row],[Quantity]]</f>
        <v>258.36</v>
      </c>
      <c r="K871" s="8">
        <f>Table2[[#This Row],[Unit Cost]]*Table2[[#This Row],[Quantity]]</f>
        <v>218.36</v>
      </c>
      <c r="L871" s="8">
        <f>Table2[[#This Row],[Gross Sales]]-Table2[[#This Row],[COGS]]</f>
        <v>40</v>
      </c>
      <c r="M871" s="9">
        <f t="shared" si="13"/>
        <v>0.15482272797646693</v>
      </c>
      <c r="N871" s="7">
        <v>12.917999999999999</v>
      </c>
      <c r="O871" s="7">
        <v>271.27800000000002</v>
      </c>
      <c r="P871" s="10">
        <v>43471</v>
      </c>
      <c r="Q871" s="10" t="str">
        <f>TEXT(Table2[[#This Row],[Date]],"mmm")</f>
        <v>Jan</v>
      </c>
      <c r="R871" s="11">
        <v>0.56597222222222221</v>
      </c>
      <c r="S871" s="6" t="s">
        <v>27</v>
      </c>
      <c r="T871" s="7">
        <v>9.3000000000000007</v>
      </c>
      <c r="U871" s="6">
        <f>IF(_xlfn.XLOOKUP(A871,[1]Data2!$A:$A,[1]Data2!$B:$B,"no")="yes",1,0)</f>
        <v>0</v>
      </c>
    </row>
    <row r="872" spans="1:21" s="6" customFormat="1" x14ac:dyDescent="0.3">
      <c r="A872" s="6" t="s">
        <v>910</v>
      </c>
      <c r="B872" s="6" t="s">
        <v>22</v>
      </c>
      <c r="C872" s="6" t="s">
        <v>23</v>
      </c>
      <c r="D872" s="6" t="s">
        <v>24</v>
      </c>
      <c r="E872" s="6" t="s">
        <v>35</v>
      </c>
      <c r="F872" s="6" t="s">
        <v>48</v>
      </c>
      <c r="G872" s="7">
        <f>Table2[[#This Row],[Unit price]]-10</f>
        <v>14.82</v>
      </c>
      <c r="H872" s="7">
        <v>24.82</v>
      </c>
      <c r="I872" s="8">
        <v>7</v>
      </c>
      <c r="J872" s="8">
        <f>Table2[[#This Row],[Unit price]]*Table2[[#This Row],[Quantity]]</f>
        <v>173.74</v>
      </c>
      <c r="K872" s="8">
        <f>Table2[[#This Row],[Unit Cost]]*Table2[[#This Row],[Quantity]]</f>
        <v>103.74000000000001</v>
      </c>
      <c r="L872" s="8">
        <f>Table2[[#This Row],[Gross Sales]]-Table2[[#This Row],[COGS]]</f>
        <v>70</v>
      </c>
      <c r="M872" s="9">
        <f t="shared" si="13"/>
        <v>0.40290088638195004</v>
      </c>
      <c r="N872" s="7">
        <v>8.6869999999999994</v>
      </c>
      <c r="O872" s="7">
        <v>182.42699999999999</v>
      </c>
      <c r="P872" s="10">
        <v>43512</v>
      </c>
      <c r="Q872" s="10" t="str">
        <f>TEXT(Table2[[#This Row],[Date]],"mmm")</f>
        <v>Feb</v>
      </c>
      <c r="R872" s="11">
        <v>0.43958333333333338</v>
      </c>
      <c r="S872" s="6" t="s">
        <v>37</v>
      </c>
      <c r="T872" s="7">
        <v>7.1</v>
      </c>
      <c r="U872" s="6">
        <f>IF(_xlfn.XLOOKUP(A872,[1]Data2!$A:$A,[1]Data2!$B:$B,"no")="yes",1,0)</f>
        <v>0</v>
      </c>
    </row>
    <row r="873" spans="1:21" s="6" customFormat="1" x14ac:dyDescent="0.3">
      <c r="A873" s="6" t="s">
        <v>911</v>
      </c>
      <c r="B873" s="6" t="s">
        <v>29</v>
      </c>
      <c r="C873" s="6" t="s">
        <v>30</v>
      </c>
      <c r="D873" s="6" t="s">
        <v>31</v>
      </c>
      <c r="E873" s="6" t="s">
        <v>35</v>
      </c>
      <c r="F873" s="6" t="s">
        <v>50</v>
      </c>
      <c r="G873" s="7">
        <f>Table2[[#This Row],[Unit price]]-10</f>
        <v>46.5</v>
      </c>
      <c r="H873" s="7">
        <v>56.5</v>
      </c>
      <c r="I873" s="8">
        <v>1</v>
      </c>
      <c r="J873" s="8">
        <f>Table2[[#This Row],[Unit price]]*Table2[[#This Row],[Quantity]]</f>
        <v>56.5</v>
      </c>
      <c r="K873" s="8">
        <f>Table2[[#This Row],[Unit Cost]]*Table2[[#This Row],[Quantity]]</f>
        <v>46.5</v>
      </c>
      <c r="L873" s="8">
        <f>Table2[[#This Row],[Gross Sales]]-Table2[[#This Row],[COGS]]</f>
        <v>10</v>
      </c>
      <c r="M873" s="9">
        <f t="shared" si="13"/>
        <v>0.17699115044247787</v>
      </c>
      <c r="N873" s="7">
        <v>2.8250000000000002</v>
      </c>
      <c r="O873" s="7">
        <v>59.325000000000003</v>
      </c>
      <c r="P873" s="10">
        <v>43537</v>
      </c>
      <c r="Q873" s="10" t="str">
        <f>TEXT(Table2[[#This Row],[Date]],"mmm")</f>
        <v>Mar</v>
      </c>
      <c r="R873" s="11">
        <v>0.65625</v>
      </c>
      <c r="S873" s="6" t="s">
        <v>27</v>
      </c>
      <c r="T873" s="7">
        <v>9.6</v>
      </c>
      <c r="U873" s="6">
        <f>IF(_xlfn.XLOOKUP(A873,[1]Data2!$A:$A,[1]Data2!$B:$B,"no")="yes",1,0)</f>
        <v>0</v>
      </c>
    </row>
    <row r="874" spans="1:21" s="6" customFormat="1" x14ac:dyDescent="0.3">
      <c r="A874" s="6" t="s">
        <v>912</v>
      </c>
      <c r="B874" s="6" t="s">
        <v>46</v>
      </c>
      <c r="C874" s="6" t="s">
        <v>47</v>
      </c>
      <c r="D874" s="6" t="s">
        <v>24</v>
      </c>
      <c r="E874" s="6" t="s">
        <v>25</v>
      </c>
      <c r="F874" s="6" t="s">
        <v>32</v>
      </c>
      <c r="G874" s="7">
        <f>Table2[[#This Row],[Unit price]]-10</f>
        <v>11.43</v>
      </c>
      <c r="H874" s="7">
        <v>21.43</v>
      </c>
      <c r="I874" s="8">
        <v>10</v>
      </c>
      <c r="J874" s="8">
        <f>Table2[[#This Row],[Unit price]]*Table2[[#This Row],[Quantity]]</f>
        <v>214.3</v>
      </c>
      <c r="K874" s="8">
        <f>Table2[[#This Row],[Unit Cost]]*Table2[[#This Row],[Quantity]]</f>
        <v>114.3</v>
      </c>
      <c r="L874" s="8">
        <f>Table2[[#This Row],[Gross Sales]]-Table2[[#This Row],[COGS]]</f>
        <v>100.00000000000001</v>
      </c>
      <c r="M874" s="9">
        <f t="shared" si="13"/>
        <v>0.46663555762949138</v>
      </c>
      <c r="N874" s="7">
        <v>10.715</v>
      </c>
      <c r="O874" s="7">
        <v>225.01499999999999</v>
      </c>
      <c r="P874" s="10">
        <v>43493</v>
      </c>
      <c r="Q874" s="10" t="str">
        <f>TEXT(Table2[[#This Row],[Date]],"mmm")</f>
        <v>Jan</v>
      </c>
      <c r="R874" s="11">
        <v>0.49374999999999997</v>
      </c>
      <c r="S874" s="6" t="s">
        <v>33</v>
      </c>
      <c r="T874" s="7">
        <v>6.2</v>
      </c>
      <c r="U874" s="6">
        <f>IF(_xlfn.XLOOKUP(A874,[1]Data2!$A:$A,[1]Data2!$B:$B,"no")="yes",1,0)</f>
        <v>1</v>
      </c>
    </row>
    <row r="875" spans="1:21" s="6" customFormat="1" x14ac:dyDescent="0.3">
      <c r="A875" s="6" t="s">
        <v>913</v>
      </c>
      <c r="B875" s="6" t="s">
        <v>22</v>
      </c>
      <c r="C875" s="6" t="s">
        <v>23</v>
      </c>
      <c r="D875" s="6" t="s">
        <v>24</v>
      </c>
      <c r="E875" s="6" t="s">
        <v>35</v>
      </c>
      <c r="F875" s="6" t="s">
        <v>40</v>
      </c>
      <c r="G875" s="7">
        <f>Table2[[#This Row],[Unit price]]-10</f>
        <v>79.06</v>
      </c>
      <c r="H875" s="7">
        <v>89.06</v>
      </c>
      <c r="I875" s="8">
        <v>6</v>
      </c>
      <c r="J875" s="8">
        <f>Table2[[#This Row],[Unit price]]*Table2[[#This Row],[Quantity]]</f>
        <v>534.36</v>
      </c>
      <c r="K875" s="8">
        <f>Table2[[#This Row],[Unit Cost]]*Table2[[#This Row],[Quantity]]</f>
        <v>474.36</v>
      </c>
      <c r="L875" s="8">
        <f>Table2[[#This Row],[Gross Sales]]-Table2[[#This Row],[COGS]]</f>
        <v>60</v>
      </c>
      <c r="M875" s="9">
        <f t="shared" si="13"/>
        <v>0.11228385358185493</v>
      </c>
      <c r="N875" s="7">
        <v>26.718</v>
      </c>
      <c r="O875" s="7">
        <v>561.07799999999997</v>
      </c>
      <c r="P875" s="10">
        <v>43483</v>
      </c>
      <c r="Q875" s="10" t="str">
        <f>TEXT(Table2[[#This Row],[Date]],"mmm")</f>
        <v>Jan</v>
      </c>
      <c r="R875" s="11">
        <v>0.72638888888888886</v>
      </c>
      <c r="S875" s="6" t="s">
        <v>33</v>
      </c>
      <c r="T875" s="7">
        <v>9.9</v>
      </c>
      <c r="U875" s="6">
        <f>IF(_xlfn.XLOOKUP(A875,[1]Data2!$A:$A,[1]Data2!$B:$B,"no")="yes",1,0)</f>
        <v>0</v>
      </c>
    </row>
    <row r="876" spans="1:21" s="6" customFormat="1" x14ac:dyDescent="0.3">
      <c r="A876" s="6" t="s">
        <v>914</v>
      </c>
      <c r="B876" s="6" t="s">
        <v>22</v>
      </c>
      <c r="C876" s="6" t="s">
        <v>23</v>
      </c>
      <c r="D876" s="6" t="s">
        <v>24</v>
      </c>
      <c r="E876" s="6" t="s">
        <v>35</v>
      </c>
      <c r="F876" s="6" t="s">
        <v>36</v>
      </c>
      <c r="G876" s="7">
        <f>Table2[[#This Row],[Unit price]]-10</f>
        <v>13.29</v>
      </c>
      <c r="H876" s="7">
        <v>23.29</v>
      </c>
      <c r="I876" s="8">
        <v>4</v>
      </c>
      <c r="J876" s="8">
        <f>Table2[[#This Row],[Unit price]]*Table2[[#This Row],[Quantity]]</f>
        <v>93.16</v>
      </c>
      <c r="K876" s="8">
        <f>Table2[[#This Row],[Unit Cost]]*Table2[[#This Row],[Quantity]]</f>
        <v>53.16</v>
      </c>
      <c r="L876" s="8">
        <f>Table2[[#This Row],[Gross Sales]]-Table2[[#This Row],[COGS]]</f>
        <v>40</v>
      </c>
      <c r="M876" s="9">
        <f t="shared" si="13"/>
        <v>0.42936882782310004</v>
      </c>
      <c r="N876" s="7">
        <v>4.6580000000000004</v>
      </c>
      <c r="O876" s="7">
        <v>97.817999999999998</v>
      </c>
      <c r="P876" s="10">
        <v>43543</v>
      </c>
      <c r="Q876" s="10" t="str">
        <f>TEXT(Table2[[#This Row],[Date]],"mmm")</f>
        <v>Mar</v>
      </c>
      <c r="R876" s="11">
        <v>0.49444444444444446</v>
      </c>
      <c r="S876" s="6" t="s">
        <v>37</v>
      </c>
      <c r="T876" s="7">
        <v>5.9</v>
      </c>
      <c r="U876" s="6">
        <f>IF(_xlfn.XLOOKUP(A876,[1]Data2!$A:$A,[1]Data2!$B:$B,"no")="yes",1,0)</f>
        <v>0</v>
      </c>
    </row>
    <row r="877" spans="1:21" s="6" customFormat="1" x14ac:dyDescent="0.3">
      <c r="A877" s="6" t="s">
        <v>915</v>
      </c>
      <c r="B877" s="6" t="s">
        <v>29</v>
      </c>
      <c r="C877" s="6" t="s">
        <v>30</v>
      </c>
      <c r="D877" s="6" t="s">
        <v>31</v>
      </c>
      <c r="E877" s="6" t="s">
        <v>35</v>
      </c>
      <c r="F877" s="6" t="s">
        <v>36</v>
      </c>
      <c r="G877" s="7">
        <f>Table2[[#This Row],[Unit price]]-10</f>
        <v>55.260000000000005</v>
      </c>
      <c r="H877" s="7">
        <v>65.260000000000005</v>
      </c>
      <c r="I877" s="8">
        <v>8</v>
      </c>
      <c r="J877" s="8">
        <f>Table2[[#This Row],[Unit price]]*Table2[[#This Row],[Quantity]]</f>
        <v>522.08000000000004</v>
      </c>
      <c r="K877" s="8">
        <f>Table2[[#This Row],[Unit Cost]]*Table2[[#This Row],[Quantity]]</f>
        <v>442.08000000000004</v>
      </c>
      <c r="L877" s="8">
        <f>Table2[[#This Row],[Gross Sales]]-Table2[[#This Row],[COGS]]</f>
        <v>80</v>
      </c>
      <c r="M877" s="9">
        <f t="shared" si="13"/>
        <v>0.15323322096230463</v>
      </c>
      <c r="N877" s="7">
        <v>26.103999999999999</v>
      </c>
      <c r="O877" s="7">
        <v>548.18399999999997</v>
      </c>
      <c r="P877" s="10">
        <v>43539</v>
      </c>
      <c r="Q877" s="10" t="str">
        <f>TEXT(Table2[[#This Row],[Date]],"mmm")</f>
        <v>Mar</v>
      </c>
      <c r="R877" s="11">
        <v>0.58611111111111114</v>
      </c>
      <c r="S877" s="6" t="s">
        <v>27</v>
      </c>
      <c r="T877" s="7">
        <v>6.3</v>
      </c>
      <c r="U877" s="6">
        <f>IF(_xlfn.XLOOKUP(A877,[1]Data2!$A:$A,[1]Data2!$B:$B,"no")="yes",1,0)</f>
        <v>0</v>
      </c>
    </row>
    <row r="878" spans="1:21" s="6" customFormat="1" x14ac:dyDescent="0.3">
      <c r="A878" s="6" t="s">
        <v>916</v>
      </c>
      <c r="B878" s="6" t="s">
        <v>29</v>
      </c>
      <c r="C878" s="6" t="s">
        <v>30</v>
      </c>
      <c r="D878" s="6" t="s">
        <v>24</v>
      </c>
      <c r="E878" s="6" t="s">
        <v>35</v>
      </c>
      <c r="F878" s="6" t="s">
        <v>50</v>
      </c>
      <c r="G878" s="7">
        <f>Table2[[#This Row],[Unit price]]-10</f>
        <v>42.35</v>
      </c>
      <c r="H878" s="7">
        <v>52.35</v>
      </c>
      <c r="I878" s="8">
        <v>1</v>
      </c>
      <c r="J878" s="8">
        <f>Table2[[#This Row],[Unit price]]*Table2[[#This Row],[Quantity]]</f>
        <v>52.35</v>
      </c>
      <c r="K878" s="8">
        <f>Table2[[#This Row],[Unit Cost]]*Table2[[#This Row],[Quantity]]</f>
        <v>42.35</v>
      </c>
      <c r="L878" s="8">
        <f>Table2[[#This Row],[Gross Sales]]-Table2[[#This Row],[COGS]]</f>
        <v>10</v>
      </c>
      <c r="M878" s="9">
        <f t="shared" si="13"/>
        <v>0.19102196752626552</v>
      </c>
      <c r="N878" s="7">
        <v>2.6175000000000002</v>
      </c>
      <c r="O878" s="7">
        <v>54.967500000000001</v>
      </c>
      <c r="P878" s="10">
        <v>43508</v>
      </c>
      <c r="Q878" s="10" t="str">
        <f>TEXT(Table2[[#This Row],[Date]],"mmm")</f>
        <v>Feb</v>
      </c>
      <c r="R878" s="11">
        <v>0.74236111111111114</v>
      </c>
      <c r="S878" s="6" t="s">
        <v>33</v>
      </c>
      <c r="T878" s="7">
        <v>4</v>
      </c>
      <c r="U878" s="6">
        <f>IF(_xlfn.XLOOKUP(A878,[1]Data2!$A:$A,[1]Data2!$B:$B,"no")="yes",1,0)</f>
        <v>1</v>
      </c>
    </row>
    <row r="879" spans="1:21" s="6" customFormat="1" x14ac:dyDescent="0.3">
      <c r="A879" s="6" t="s">
        <v>917</v>
      </c>
      <c r="B879" s="6" t="s">
        <v>46</v>
      </c>
      <c r="C879" s="6" t="s">
        <v>47</v>
      </c>
      <c r="D879" s="6" t="s">
        <v>24</v>
      </c>
      <c r="E879" s="6" t="s">
        <v>35</v>
      </c>
      <c r="F879" s="6" t="s">
        <v>32</v>
      </c>
      <c r="G879" s="7">
        <f>Table2[[#This Row],[Unit price]]-10</f>
        <v>29.75</v>
      </c>
      <c r="H879" s="7">
        <v>39.75</v>
      </c>
      <c r="I879" s="8">
        <v>1</v>
      </c>
      <c r="J879" s="8">
        <f>Table2[[#This Row],[Unit price]]*Table2[[#This Row],[Quantity]]</f>
        <v>39.75</v>
      </c>
      <c r="K879" s="8">
        <f>Table2[[#This Row],[Unit Cost]]*Table2[[#This Row],[Quantity]]</f>
        <v>29.75</v>
      </c>
      <c r="L879" s="8">
        <f>Table2[[#This Row],[Gross Sales]]-Table2[[#This Row],[COGS]]</f>
        <v>10</v>
      </c>
      <c r="M879" s="9">
        <f t="shared" si="13"/>
        <v>0.25157232704402516</v>
      </c>
      <c r="N879" s="7">
        <v>1.9875</v>
      </c>
      <c r="O879" s="7">
        <v>41.737499999999997</v>
      </c>
      <c r="P879" s="10">
        <v>43521</v>
      </c>
      <c r="Q879" s="10" t="str">
        <f>TEXT(Table2[[#This Row],[Date]],"mmm")</f>
        <v>Feb</v>
      </c>
      <c r="R879" s="11">
        <v>0.84652777777777777</v>
      </c>
      <c r="S879" s="6" t="s">
        <v>33</v>
      </c>
      <c r="T879" s="7">
        <v>6.1</v>
      </c>
      <c r="U879" s="6">
        <f>IF(_xlfn.XLOOKUP(A879,[1]Data2!$A:$A,[1]Data2!$B:$B,"no")="yes",1,0)</f>
        <v>0</v>
      </c>
    </row>
    <row r="880" spans="1:21" s="6" customFormat="1" x14ac:dyDescent="0.3">
      <c r="A880" s="6" t="s">
        <v>918</v>
      </c>
      <c r="B880" s="6" t="s">
        <v>22</v>
      </c>
      <c r="C880" s="6" t="s">
        <v>23</v>
      </c>
      <c r="D880" s="6" t="s">
        <v>31</v>
      </c>
      <c r="E880" s="6" t="s">
        <v>25</v>
      </c>
      <c r="F880" s="6" t="s">
        <v>32</v>
      </c>
      <c r="G880" s="7">
        <f>Table2[[#This Row],[Unit price]]-10</f>
        <v>80.02</v>
      </c>
      <c r="H880" s="7">
        <v>90.02</v>
      </c>
      <c r="I880" s="8">
        <v>8</v>
      </c>
      <c r="J880" s="8">
        <f>Table2[[#This Row],[Unit price]]*Table2[[#This Row],[Quantity]]</f>
        <v>720.16</v>
      </c>
      <c r="K880" s="8">
        <f>Table2[[#This Row],[Unit Cost]]*Table2[[#This Row],[Quantity]]</f>
        <v>640.16</v>
      </c>
      <c r="L880" s="8">
        <f>Table2[[#This Row],[Gross Sales]]-Table2[[#This Row],[COGS]]</f>
        <v>80</v>
      </c>
      <c r="M880" s="9">
        <f t="shared" si="13"/>
        <v>0.11108642523883581</v>
      </c>
      <c r="N880" s="7">
        <v>36.008000000000003</v>
      </c>
      <c r="O880" s="7">
        <v>756.16800000000001</v>
      </c>
      <c r="P880" s="10">
        <v>43545</v>
      </c>
      <c r="Q880" s="10" t="str">
        <f>TEXT(Table2[[#This Row],[Date]],"mmm")</f>
        <v>Mar</v>
      </c>
      <c r="R880" s="11">
        <v>0.67222222222222217</v>
      </c>
      <c r="S880" s="6" t="s">
        <v>37</v>
      </c>
      <c r="T880" s="7">
        <v>4.5</v>
      </c>
      <c r="U880" s="6">
        <f>IF(_xlfn.XLOOKUP(A880,[1]Data2!$A:$A,[1]Data2!$B:$B,"no")="yes",1,0)</f>
        <v>0</v>
      </c>
    </row>
    <row r="881" spans="1:21" s="6" customFormat="1" x14ac:dyDescent="0.3">
      <c r="A881" s="6" t="s">
        <v>919</v>
      </c>
      <c r="B881" s="6" t="s">
        <v>46</v>
      </c>
      <c r="C881" s="6" t="s">
        <v>47</v>
      </c>
      <c r="D881" s="6" t="s">
        <v>24</v>
      </c>
      <c r="E881" s="6" t="s">
        <v>25</v>
      </c>
      <c r="F881" s="6" t="s">
        <v>32</v>
      </c>
      <c r="G881" s="7">
        <f>Table2[[#This Row],[Unit price]]-10</f>
        <v>2.0999999999999996</v>
      </c>
      <c r="H881" s="7">
        <v>12.1</v>
      </c>
      <c r="I881" s="8">
        <v>8</v>
      </c>
      <c r="J881" s="8">
        <f>Table2[[#This Row],[Unit price]]*Table2[[#This Row],[Quantity]]</f>
        <v>96.8</v>
      </c>
      <c r="K881" s="8">
        <f>Table2[[#This Row],[Unit Cost]]*Table2[[#This Row],[Quantity]]</f>
        <v>16.799999999999997</v>
      </c>
      <c r="L881" s="8">
        <f>Table2[[#This Row],[Gross Sales]]-Table2[[#This Row],[COGS]]</f>
        <v>80</v>
      </c>
      <c r="M881" s="9">
        <f t="shared" si="13"/>
        <v>0.82644628099173556</v>
      </c>
      <c r="N881" s="7">
        <v>4.84</v>
      </c>
      <c r="O881" s="7">
        <v>101.64</v>
      </c>
      <c r="P881" s="10">
        <v>43484</v>
      </c>
      <c r="Q881" s="10" t="str">
        <f>TEXT(Table2[[#This Row],[Date]],"mmm")</f>
        <v>Jan</v>
      </c>
      <c r="R881" s="11">
        <v>0.4284722222222222</v>
      </c>
      <c r="S881" s="6" t="s">
        <v>27</v>
      </c>
      <c r="T881" s="7">
        <v>8.6</v>
      </c>
      <c r="U881" s="6">
        <f>IF(_xlfn.XLOOKUP(A881,[1]Data2!$A:$A,[1]Data2!$B:$B,"no")="yes",1,0)</f>
        <v>0</v>
      </c>
    </row>
    <row r="882" spans="1:21" s="6" customFormat="1" x14ac:dyDescent="0.3">
      <c r="A882" s="6" t="s">
        <v>920</v>
      </c>
      <c r="B882" s="6" t="s">
        <v>46</v>
      </c>
      <c r="C882" s="6" t="s">
        <v>47</v>
      </c>
      <c r="D882" s="6" t="s">
        <v>24</v>
      </c>
      <c r="E882" s="6" t="s">
        <v>25</v>
      </c>
      <c r="F882" s="6" t="s">
        <v>48</v>
      </c>
      <c r="G882" s="7">
        <f>Table2[[#This Row],[Unit price]]-10</f>
        <v>23.21</v>
      </c>
      <c r="H882" s="7">
        <v>33.21</v>
      </c>
      <c r="I882" s="8">
        <v>10</v>
      </c>
      <c r="J882" s="8">
        <f>Table2[[#This Row],[Unit price]]*Table2[[#This Row],[Quantity]]</f>
        <v>332.1</v>
      </c>
      <c r="K882" s="8">
        <f>Table2[[#This Row],[Unit Cost]]*Table2[[#This Row],[Quantity]]</f>
        <v>232.10000000000002</v>
      </c>
      <c r="L882" s="8">
        <f>Table2[[#This Row],[Gross Sales]]-Table2[[#This Row],[COGS]]</f>
        <v>100</v>
      </c>
      <c r="M882" s="9">
        <f t="shared" si="13"/>
        <v>0.30111412225233364</v>
      </c>
      <c r="N882" s="7">
        <v>16.605</v>
      </c>
      <c r="O882" s="7">
        <v>348.70499999999998</v>
      </c>
      <c r="P882" s="10">
        <v>43473</v>
      </c>
      <c r="Q882" s="10" t="str">
        <f>TEXT(Table2[[#This Row],[Date]],"mmm")</f>
        <v>Jan</v>
      </c>
      <c r="R882" s="11">
        <v>0.60069444444444442</v>
      </c>
      <c r="S882" s="6" t="s">
        <v>27</v>
      </c>
      <c r="T882" s="7">
        <v>6</v>
      </c>
      <c r="U882" s="6">
        <f>IF(_xlfn.XLOOKUP(A882,[1]Data2!$A:$A,[1]Data2!$B:$B,"no")="yes",1,0)</f>
        <v>1</v>
      </c>
    </row>
    <row r="883" spans="1:21" s="6" customFormat="1" x14ac:dyDescent="0.3">
      <c r="A883" s="6" t="s">
        <v>921</v>
      </c>
      <c r="B883" s="6" t="s">
        <v>29</v>
      </c>
      <c r="C883" s="6" t="s">
        <v>30</v>
      </c>
      <c r="D883" s="6" t="s">
        <v>24</v>
      </c>
      <c r="E883" s="6" t="s">
        <v>25</v>
      </c>
      <c r="F883" s="6" t="s">
        <v>50</v>
      </c>
      <c r="G883" s="7">
        <f>Table2[[#This Row],[Unit price]]-10</f>
        <v>0.17999999999999972</v>
      </c>
      <c r="H883" s="7">
        <v>10.18</v>
      </c>
      <c r="I883" s="8">
        <v>8</v>
      </c>
      <c r="J883" s="8">
        <f>Table2[[#This Row],[Unit price]]*Table2[[#This Row],[Quantity]]</f>
        <v>81.44</v>
      </c>
      <c r="K883" s="8">
        <f>Table2[[#This Row],[Unit Cost]]*Table2[[#This Row],[Quantity]]</f>
        <v>1.4399999999999977</v>
      </c>
      <c r="L883" s="8">
        <f>Table2[[#This Row],[Gross Sales]]-Table2[[#This Row],[COGS]]</f>
        <v>80</v>
      </c>
      <c r="M883" s="9">
        <f t="shared" si="13"/>
        <v>0.98231827111984282</v>
      </c>
      <c r="N883" s="7">
        <v>4.0720000000000001</v>
      </c>
      <c r="O883" s="7">
        <v>85.512</v>
      </c>
      <c r="P883" s="10">
        <v>43554</v>
      </c>
      <c r="Q883" s="10" t="str">
        <f>TEXT(Table2[[#This Row],[Date]],"mmm")</f>
        <v>Mar</v>
      </c>
      <c r="R883" s="11">
        <v>0.53541666666666665</v>
      </c>
      <c r="S883" s="6" t="s">
        <v>37</v>
      </c>
      <c r="T883" s="7">
        <v>9.5</v>
      </c>
      <c r="U883" s="6">
        <f>IF(_xlfn.XLOOKUP(A883,[1]Data2!$A:$A,[1]Data2!$B:$B,"no")="yes",1,0)</f>
        <v>0</v>
      </c>
    </row>
    <row r="884" spans="1:21" s="6" customFormat="1" x14ac:dyDescent="0.3">
      <c r="A884" s="6" t="s">
        <v>922</v>
      </c>
      <c r="B884" s="6" t="s">
        <v>46</v>
      </c>
      <c r="C884" s="6" t="s">
        <v>47</v>
      </c>
      <c r="D884" s="6" t="s">
        <v>24</v>
      </c>
      <c r="E884" s="6" t="s">
        <v>35</v>
      </c>
      <c r="F884" s="6" t="s">
        <v>40</v>
      </c>
      <c r="G884" s="7">
        <f>Table2[[#This Row],[Unit price]]-10</f>
        <v>21.99</v>
      </c>
      <c r="H884" s="7">
        <v>31.99</v>
      </c>
      <c r="I884" s="8">
        <v>10</v>
      </c>
      <c r="J884" s="8">
        <f>Table2[[#This Row],[Unit price]]*Table2[[#This Row],[Quantity]]</f>
        <v>319.89999999999998</v>
      </c>
      <c r="K884" s="8">
        <f>Table2[[#This Row],[Unit Cost]]*Table2[[#This Row],[Quantity]]</f>
        <v>219.89999999999998</v>
      </c>
      <c r="L884" s="8">
        <f>Table2[[#This Row],[Gross Sales]]-Table2[[#This Row],[COGS]]</f>
        <v>100</v>
      </c>
      <c r="M884" s="9">
        <f t="shared" si="13"/>
        <v>0.31259768677711786</v>
      </c>
      <c r="N884" s="7">
        <v>15.994999999999999</v>
      </c>
      <c r="O884" s="7">
        <v>335.89499999999998</v>
      </c>
      <c r="P884" s="10">
        <v>43516</v>
      </c>
      <c r="Q884" s="10" t="str">
        <f>TEXT(Table2[[#This Row],[Date]],"mmm")</f>
        <v>Feb</v>
      </c>
      <c r="R884" s="11">
        <v>0.63750000000000007</v>
      </c>
      <c r="S884" s="6" t="s">
        <v>37</v>
      </c>
      <c r="T884" s="7">
        <v>9.9</v>
      </c>
      <c r="U884" s="6">
        <f>IF(_xlfn.XLOOKUP(A884,[1]Data2!$A:$A,[1]Data2!$B:$B,"no")="yes",1,0)</f>
        <v>0</v>
      </c>
    </row>
    <row r="885" spans="1:21" s="6" customFormat="1" x14ac:dyDescent="0.3">
      <c r="A885" s="6" t="s">
        <v>923</v>
      </c>
      <c r="B885" s="6" t="s">
        <v>22</v>
      </c>
      <c r="C885" s="6" t="s">
        <v>23</v>
      </c>
      <c r="D885" s="6" t="s">
        <v>24</v>
      </c>
      <c r="E885" s="6" t="s">
        <v>25</v>
      </c>
      <c r="F885" s="6" t="s">
        <v>36</v>
      </c>
      <c r="G885" s="7">
        <f>Table2[[#This Row],[Unit price]]-10</f>
        <v>24.42</v>
      </c>
      <c r="H885" s="7">
        <v>34.42</v>
      </c>
      <c r="I885" s="8">
        <v>6</v>
      </c>
      <c r="J885" s="8">
        <f>Table2[[#This Row],[Unit price]]*Table2[[#This Row],[Quantity]]</f>
        <v>206.52</v>
      </c>
      <c r="K885" s="8">
        <f>Table2[[#This Row],[Unit Cost]]*Table2[[#This Row],[Quantity]]</f>
        <v>146.52000000000001</v>
      </c>
      <c r="L885" s="8">
        <f>Table2[[#This Row],[Gross Sales]]-Table2[[#This Row],[COGS]]</f>
        <v>60</v>
      </c>
      <c r="M885" s="9">
        <f t="shared" si="13"/>
        <v>0.29052876234747238</v>
      </c>
      <c r="N885" s="7">
        <v>10.326000000000001</v>
      </c>
      <c r="O885" s="7">
        <v>216.846</v>
      </c>
      <c r="P885" s="10">
        <v>43554</v>
      </c>
      <c r="Q885" s="10" t="str">
        <f>TEXT(Table2[[#This Row],[Date]],"mmm")</f>
        <v>Mar</v>
      </c>
      <c r="R885" s="11">
        <v>0.53125</v>
      </c>
      <c r="S885" s="6" t="s">
        <v>27</v>
      </c>
      <c r="T885" s="7">
        <v>7.5</v>
      </c>
      <c r="U885" s="6">
        <f>IF(_xlfn.XLOOKUP(A885,[1]Data2!$A:$A,[1]Data2!$B:$B,"no")="yes",1,0)</f>
        <v>0</v>
      </c>
    </row>
    <row r="886" spans="1:21" s="6" customFormat="1" x14ac:dyDescent="0.3">
      <c r="A886" s="6" t="s">
        <v>924</v>
      </c>
      <c r="B886" s="6" t="s">
        <v>22</v>
      </c>
      <c r="C886" s="6" t="s">
        <v>23</v>
      </c>
      <c r="D886" s="6" t="s">
        <v>24</v>
      </c>
      <c r="E886" s="6" t="s">
        <v>25</v>
      </c>
      <c r="F886" s="6" t="s">
        <v>48</v>
      </c>
      <c r="G886" s="7">
        <f>Table2[[#This Row],[Unit price]]-10</f>
        <v>73.34</v>
      </c>
      <c r="H886" s="7">
        <v>83.34</v>
      </c>
      <c r="I886" s="8">
        <v>2</v>
      </c>
      <c r="J886" s="8">
        <f>Table2[[#This Row],[Unit price]]*Table2[[#This Row],[Quantity]]</f>
        <v>166.68</v>
      </c>
      <c r="K886" s="8">
        <f>Table2[[#This Row],[Unit Cost]]*Table2[[#This Row],[Quantity]]</f>
        <v>146.68</v>
      </c>
      <c r="L886" s="8">
        <f>Table2[[#This Row],[Gross Sales]]-Table2[[#This Row],[COGS]]</f>
        <v>20</v>
      </c>
      <c r="M886" s="9">
        <f t="shared" si="13"/>
        <v>0.11999040076793856</v>
      </c>
      <c r="N886" s="7">
        <v>8.3339999999999996</v>
      </c>
      <c r="O886" s="7">
        <v>175.01400000000001</v>
      </c>
      <c r="P886" s="10">
        <v>43543</v>
      </c>
      <c r="Q886" s="10" t="str">
        <f>TEXT(Table2[[#This Row],[Date]],"mmm")</f>
        <v>Mar</v>
      </c>
      <c r="R886" s="11">
        <v>0.56736111111111109</v>
      </c>
      <c r="S886" s="6" t="s">
        <v>33</v>
      </c>
      <c r="T886" s="7">
        <v>7.6</v>
      </c>
      <c r="U886" s="6">
        <f>IF(_xlfn.XLOOKUP(A886,[1]Data2!$A:$A,[1]Data2!$B:$B,"no")="yes",1,0)</f>
        <v>1</v>
      </c>
    </row>
    <row r="887" spans="1:21" s="6" customFormat="1" x14ac:dyDescent="0.3">
      <c r="A887" s="6" t="s">
        <v>925</v>
      </c>
      <c r="B887" s="6" t="s">
        <v>22</v>
      </c>
      <c r="C887" s="6" t="s">
        <v>23</v>
      </c>
      <c r="D887" s="6" t="s">
        <v>31</v>
      </c>
      <c r="E887" s="6" t="s">
        <v>35</v>
      </c>
      <c r="F887" s="6" t="s">
        <v>40</v>
      </c>
      <c r="G887" s="7">
        <f>Table2[[#This Row],[Unit price]]-10</f>
        <v>35.58</v>
      </c>
      <c r="H887" s="7">
        <v>45.58</v>
      </c>
      <c r="I887" s="8">
        <v>7</v>
      </c>
      <c r="J887" s="8">
        <f>Table2[[#This Row],[Unit price]]*Table2[[#This Row],[Quantity]]</f>
        <v>319.06</v>
      </c>
      <c r="K887" s="8">
        <f>Table2[[#This Row],[Unit Cost]]*Table2[[#This Row],[Quantity]]</f>
        <v>249.06</v>
      </c>
      <c r="L887" s="8">
        <f>Table2[[#This Row],[Gross Sales]]-Table2[[#This Row],[COGS]]</f>
        <v>70</v>
      </c>
      <c r="M887" s="9">
        <f t="shared" si="13"/>
        <v>0.21939447125932426</v>
      </c>
      <c r="N887" s="7">
        <v>15.952999999999999</v>
      </c>
      <c r="O887" s="7">
        <v>335.01299999999998</v>
      </c>
      <c r="P887" s="10">
        <v>43478</v>
      </c>
      <c r="Q887" s="10" t="str">
        <f>TEXT(Table2[[#This Row],[Date]],"mmm")</f>
        <v>Jan</v>
      </c>
      <c r="R887" s="11">
        <v>0.41875000000000001</v>
      </c>
      <c r="S887" s="6" t="s">
        <v>33</v>
      </c>
      <c r="T887" s="7">
        <v>5</v>
      </c>
      <c r="U887" s="6">
        <f>IF(_xlfn.XLOOKUP(A887,[1]Data2!$A:$A,[1]Data2!$B:$B,"no")="yes",1,0)</f>
        <v>0</v>
      </c>
    </row>
    <row r="888" spans="1:21" s="6" customFormat="1" x14ac:dyDescent="0.3">
      <c r="A888" s="6" t="s">
        <v>926</v>
      </c>
      <c r="B888" s="6" t="s">
        <v>22</v>
      </c>
      <c r="C888" s="6" t="s">
        <v>23</v>
      </c>
      <c r="D888" s="6" t="s">
        <v>24</v>
      </c>
      <c r="E888" s="6" t="s">
        <v>35</v>
      </c>
      <c r="F888" s="6" t="s">
        <v>48</v>
      </c>
      <c r="G888" s="7">
        <f>Table2[[#This Row],[Unit price]]-10</f>
        <v>77.900000000000006</v>
      </c>
      <c r="H888" s="7">
        <v>87.9</v>
      </c>
      <c r="I888" s="8">
        <v>1</v>
      </c>
      <c r="J888" s="8">
        <f>Table2[[#This Row],[Unit price]]*Table2[[#This Row],[Quantity]]</f>
        <v>87.9</v>
      </c>
      <c r="K888" s="8">
        <f>Table2[[#This Row],[Unit Cost]]*Table2[[#This Row],[Quantity]]</f>
        <v>77.900000000000006</v>
      </c>
      <c r="L888" s="8">
        <f>Table2[[#This Row],[Gross Sales]]-Table2[[#This Row],[COGS]]</f>
        <v>10</v>
      </c>
      <c r="M888" s="9">
        <f t="shared" si="13"/>
        <v>0.11376564277588168</v>
      </c>
      <c r="N888" s="7">
        <v>4.3949999999999996</v>
      </c>
      <c r="O888" s="7">
        <v>92.295000000000002</v>
      </c>
      <c r="P888" s="10">
        <v>43501</v>
      </c>
      <c r="Q888" s="10" t="str">
        <f>TEXT(Table2[[#This Row],[Date]],"mmm")</f>
        <v>Feb</v>
      </c>
      <c r="R888" s="11">
        <v>0.8208333333333333</v>
      </c>
      <c r="S888" s="6" t="s">
        <v>27</v>
      </c>
      <c r="T888" s="7">
        <v>6.7</v>
      </c>
      <c r="U888" s="6">
        <f>IF(_xlfn.XLOOKUP(A888,[1]Data2!$A:$A,[1]Data2!$B:$B,"no")="yes",1,0)</f>
        <v>0</v>
      </c>
    </row>
    <row r="889" spans="1:21" s="6" customFormat="1" x14ac:dyDescent="0.3">
      <c r="A889" s="6" t="s">
        <v>927</v>
      </c>
      <c r="B889" s="6" t="s">
        <v>22</v>
      </c>
      <c r="C889" s="6" t="s">
        <v>23</v>
      </c>
      <c r="D889" s="6" t="s">
        <v>24</v>
      </c>
      <c r="E889" s="6" t="s">
        <v>25</v>
      </c>
      <c r="F889" s="6" t="s">
        <v>32</v>
      </c>
      <c r="G889" s="7">
        <f>Table2[[#This Row],[Unit price]]-10</f>
        <v>63.47</v>
      </c>
      <c r="H889" s="7">
        <v>73.47</v>
      </c>
      <c r="I889" s="8">
        <v>10</v>
      </c>
      <c r="J889" s="8">
        <f>Table2[[#This Row],[Unit price]]*Table2[[#This Row],[Quantity]]</f>
        <v>734.7</v>
      </c>
      <c r="K889" s="8">
        <f>Table2[[#This Row],[Unit Cost]]*Table2[[#This Row],[Quantity]]</f>
        <v>634.70000000000005</v>
      </c>
      <c r="L889" s="8">
        <f>Table2[[#This Row],[Gross Sales]]-Table2[[#This Row],[COGS]]</f>
        <v>100</v>
      </c>
      <c r="M889" s="9">
        <f t="shared" si="13"/>
        <v>0.13610997686130394</v>
      </c>
      <c r="N889" s="7">
        <v>36.734999999999999</v>
      </c>
      <c r="O889" s="7">
        <v>771.43499999999995</v>
      </c>
      <c r="P889" s="10">
        <v>43547</v>
      </c>
      <c r="Q889" s="10" t="str">
        <f>TEXT(Table2[[#This Row],[Date]],"mmm")</f>
        <v>Mar</v>
      </c>
      <c r="R889" s="11">
        <v>0.55138888888888882</v>
      </c>
      <c r="S889" s="6" t="s">
        <v>27</v>
      </c>
      <c r="T889" s="7">
        <v>9.5</v>
      </c>
      <c r="U889" s="6">
        <f>IF(_xlfn.XLOOKUP(A889,[1]Data2!$A:$A,[1]Data2!$B:$B,"no")="yes",1,0)</f>
        <v>0</v>
      </c>
    </row>
    <row r="890" spans="1:21" s="6" customFormat="1" x14ac:dyDescent="0.3">
      <c r="A890" s="6" t="s">
        <v>928</v>
      </c>
      <c r="B890" s="6" t="s">
        <v>29</v>
      </c>
      <c r="C890" s="6" t="s">
        <v>30</v>
      </c>
      <c r="D890" s="6" t="s">
        <v>31</v>
      </c>
      <c r="E890" s="6" t="s">
        <v>25</v>
      </c>
      <c r="F890" s="6" t="s">
        <v>50</v>
      </c>
      <c r="G890" s="7">
        <f>Table2[[#This Row],[Unit price]]-10</f>
        <v>2.1899999999999995</v>
      </c>
      <c r="H890" s="7">
        <v>12.19</v>
      </c>
      <c r="I890" s="8">
        <v>8</v>
      </c>
      <c r="J890" s="8">
        <f>Table2[[#This Row],[Unit price]]*Table2[[#This Row],[Quantity]]</f>
        <v>97.52</v>
      </c>
      <c r="K890" s="8">
        <f>Table2[[#This Row],[Unit Cost]]*Table2[[#This Row],[Quantity]]</f>
        <v>17.519999999999996</v>
      </c>
      <c r="L890" s="8">
        <f>Table2[[#This Row],[Gross Sales]]-Table2[[#This Row],[COGS]]</f>
        <v>80</v>
      </c>
      <c r="M890" s="9">
        <f t="shared" si="13"/>
        <v>0.82034454470877771</v>
      </c>
      <c r="N890" s="7">
        <v>4.8760000000000003</v>
      </c>
      <c r="O890" s="7">
        <v>102.396</v>
      </c>
      <c r="P890" s="10">
        <v>43537</v>
      </c>
      <c r="Q890" s="10" t="str">
        <f>TEXT(Table2[[#This Row],[Date]],"mmm")</f>
        <v>Mar</v>
      </c>
      <c r="R890" s="11">
        <v>0.53263888888888888</v>
      </c>
      <c r="S890" s="6" t="s">
        <v>27</v>
      </c>
      <c r="T890" s="7">
        <v>6.8</v>
      </c>
      <c r="U890" s="6">
        <f>IF(_xlfn.XLOOKUP(A890,[1]Data2!$A:$A,[1]Data2!$B:$B,"no")="yes",1,0)</f>
        <v>1</v>
      </c>
    </row>
    <row r="891" spans="1:21" s="6" customFormat="1" x14ac:dyDescent="0.3">
      <c r="A891" s="6" t="s">
        <v>929</v>
      </c>
      <c r="B891" s="6" t="s">
        <v>22</v>
      </c>
      <c r="C891" s="6" t="s">
        <v>23</v>
      </c>
      <c r="D891" s="6" t="s">
        <v>24</v>
      </c>
      <c r="E891" s="6" t="s">
        <v>35</v>
      </c>
      <c r="F891" s="6" t="s">
        <v>40</v>
      </c>
      <c r="G891" s="7">
        <f>Table2[[#This Row],[Unit price]]-10</f>
        <v>66.92</v>
      </c>
      <c r="H891" s="7">
        <v>76.92</v>
      </c>
      <c r="I891" s="8">
        <v>10</v>
      </c>
      <c r="J891" s="8">
        <f>Table2[[#This Row],[Unit price]]*Table2[[#This Row],[Quantity]]</f>
        <v>769.2</v>
      </c>
      <c r="K891" s="8">
        <f>Table2[[#This Row],[Unit Cost]]*Table2[[#This Row],[Quantity]]</f>
        <v>669.2</v>
      </c>
      <c r="L891" s="8">
        <f>Table2[[#This Row],[Gross Sales]]-Table2[[#This Row],[COGS]]</f>
        <v>100</v>
      </c>
      <c r="M891" s="9">
        <f t="shared" si="13"/>
        <v>0.13000520020800832</v>
      </c>
      <c r="N891" s="7">
        <v>38.46</v>
      </c>
      <c r="O891" s="7">
        <v>807.66</v>
      </c>
      <c r="P891" s="10">
        <v>43541</v>
      </c>
      <c r="Q891" s="10" t="str">
        <f>TEXT(Table2[[#This Row],[Date]],"mmm")</f>
        <v>Mar</v>
      </c>
      <c r="R891" s="11">
        <v>0.82847222222222217</v>
      </c>
      <c r="S891" s="6" t="s">
        <v>27</v>
      </c>
      <c r="T891" s="7">
        <v>5.6</v>
      </c>
      <c r="U891" s="6">
        <f>IF(_xlfn.XLOOKUP(A891,[1]Data2!$A:$A,[1]Data2!$B:$B,"no")="yes",1,0)</f>
        <v>0</v>
      </c>
    </row>
    <row r="892" spans="1:21" s="6" customFormat="1" x14ac:dyDescent="0.3">
      <c r="A892" s="6" t="s">
        <v>930</v>
      </c>
      <c r="B892" s="6" t="s">
        <v>29</v>
      </c>
      <c r="C892" s="6" t="s">
        <v>30</v>
      </c>
      <c r="D892" s="6" t="s">
        <v>31</v>
      </c>
      <c r="E892" s="6" t="s">
        <v>25</v>
      </c>
      <c r="F892" s="6" t="s">
        <v>26</v>
      </c>
      <c r="G892" s="7">
        <f>Table2[[#This Row],[Unit price]]-10</f>
        <v>73.66</v>
      </c>
      <c r="H892" s="7">
        <v>83.66</v>
      </c>
      <c r="I892" s="8">
        <v>5</v>
      </c>
      <c r="J892" s="8">
        <f>Table2[[#This Row],[Unit price]]*Table2[[#This Row],[Quantity]]</f>
        <v>418.29999999999995</v>
      </c>
      <c r="K892" s="8">
        <f>Table2[[#This Row],[Unit Cost]]*Table2[[#This Row],[Quantity]]</f>
        <v>368.29999999999995</v>
      </c>
      <c r="L892" s="8">
        <f>Table2[[#This Row],[Gross Sales]]-Table2[[#This Row],[COGS]]</f>
        <v>50</v>
      </c>
      <c r="M892" s="9">
        <f t="shared" si="13"/>
        <v>0.11953143676786997</v>
      </c>
      <c r="N892" s="7">
        <v>20.914999999999999</v>
      </c>
      <c r="O892" s="7">
        <v>439.21499999999997</v>
      </c>
      <c r="P892" s="10">
        <v>43517</v>
      </c>
      <c r="Q892" s="10" t="str">
        <f>TEXT(Table2[[#This Row],[Date]],"mmm")</f>
        <v>Feb</v>
      </c>
      <c r="R892" s="11">
        <v>0.43472222222222223</v>
      </c>
      <c r="S892" s="6" t="s">
        <v>33</v>
      </c>
      <c r="T892" s="7">
        <v>7.2</v>
      </c>
      <c r="U892" s="6">
        <f>IF(_xlfn.XLOOKUP(A892,[1]Data2!$A:$A,[1]Data2!$B:$B,"no")="yes",1,0)</f>
        <v>0</v>
      </c>
    </row>
    <row r="893" spans="1:21" s="6" customFormat="1" x14ac:dyDescent="0.3">
      <c r="A893" s="6" t="s">
        <v>931</v>
      </c>
      <c r="B893" s="6" t="s">
        <v>46</v>
      </c>
      <c r="C893" s="6" t="s">
        <v>47</v>
      </c>
      <c r="D893" s="6" t="s">
        <v>31</v>
      </c>
      <c r="E893" s="6" t="s">
        <v>25</v>
      </c>
      <c r="F893" s="6" t="s">
        <v>32</v>
      </c>
      <c r="G893" s="7">
        <f>Table2[[#This Row],[Unit price]]-10</f>
        <v>47.91</v>
      </c>
      <c r="H893" s="7">
        <v>57.91</v>
      </c>
      <c r="I893" s="8">
        <v>8</v>
      </c>
      <c r="J893" s="8">
        <f>Table2[[#This Row],[Unit price]]*Table2[[#This Row],[Quantity]]</f>
        <v>463.28</v>
      </c>
      <c r="K893" s="8">
        <f>Table2[[#This Row],[Unit Cost]]*Table2[[#This Row],[Quantity]]</f>
        <v>383.28</v>
      </c>
      <c r="L893" s="8">
        <f>Table2[[#This Row],[Gross Sales]]-Table2[[#This Row],[COGS]]</f>
        <v>80</v>
      </c>
      <c r="M893" s="9">
        <f t="shared" si="13"/>
        <v>0.17268174753928511</v>
      </c>
      <c r="N893" s="7">
        <v>23.164000000000001</v>
      </c>
      <c r="O893" s="7">
        <v>486.44400000000002</v>
      </c>
      <c r="P893" s="10">
        <v>43503</v>
      </c>
      <c r="Q893" s="10" t="str">
        <f>TEXT(Table2[[#This Row],[Date]],"mmm")</f>
        <v>Feb</v>
      </c>
      <c r="R893" s="11">
        <v>0.62916666666666665</v>
      </c>
      <c r="S893" s="6" t="s">
        <v>33</v>
      </c>
      <c r="T893" s="7">
        <v>8.1</v>
      </c>
      <c r="U893" s="6">
        <f>IF(_xlfn.XLOOKUP(A893,[1]Data2!$A:$A,[1]Data2!$B:$B,"no")="yes",1,0)</f>
        <v>0</v>
      </c>
    </row>
    <row r="894" spans="1:21" s="6" customFormat="1" x14ac:dyDescent="0.3">
      <c r="A894" s="6" t="s">
        <v>932</v>
      </c>
      <c r="B894" s="6" t="s">
        <v>29</v>
      </c>
      <c r="C894" s="6" t="s">
        <v>30</v>
      </c>
      <c r="D894" s="6" t="s">
        <v>24</v>
      </c>
      <c r="E894" s="6" t="s">
        <v>25</v>
      </c>
      <c r="F894" s="6" t="s">
        <v>50</v>
      </c>
      <c r="G894" s="7">
        <f>Table2[[#This Row],[Unit price]]-10</f>
        <v>82.49</v>
      </c>
      <c r="H894" s="7">
        <v>92.49</v>
      </c>
      <c r="I894" s="8">
        <v>5</v>
      </c>
      <c r="J894" s="8">
        <f>Table2[[#This Row],[Unit price]]*Table2[[#This Row],[Quantity]]</f>
        <v>462.45</v>
      </c>
      <c r="K894" s="8">
        <f>Table2[[#This Row],[Unit Cost]]*Table2[[#This Row],[Quantity]]</f>
        <v>412.45</v>
      </c>
      <c r="L894" s="8">
        <f>Table2[[#This Row],[Gross Sales]]-Table2[[#This Row],[COGS]]</f>
        <v>50</v>
      </c>
      <c r="M894" s="9">
        <f t="shared" si="13"/>
        <v>0.10811979673478214</v>
      </c>
      <c r="N894" s="7">
        <v>23.122499999999999</v>
      </c>
      <c r="O894" s="7">
        <v>485.57249999999999</v>
      </c>
      <c r="P894" s="10">
        <v>43526</v>
      </c>
      <c r="Q894" s="10" t="str">
        <f>TEXT(Table2[[#This Row],[Date]],"mmm")</f>
        <v>Mar</v>
      </c>
      <c r="R894" s="11">
        <v>0.69097222222222221</v>
      </c>
      <c r="S894" s="6" t="s">
        <v>37</v>
      </c>
      <c r="T894" s="7">
        <v>8.6</v>
      </c>
      <c r="U894" s="6">
        <f>IF(_xlfn.XLOOKUP(A894,[1]Data2!$A:$A,[1]Data2!$B:$B,"no")="yes",1,0)</f>
        <v>1</v>
      </c>
    </row>
    <row r="895" spans="1:21" s="6" customFormat="1" x14ac:dyDescent="0.3">
      <c r="A895" s="6" t="s">
        <v>933</v>
      </c>
      <c r="B895" s="6" t="s">
        <v>46</v>
      </c>
      <c r="C895" s="6" t="s">
        <v>47</v>
      </c>
      <c r="D895" s="6" t="s">
        <v>31</v>
      </c>
      <c r="E895" s="6" t="s">
        <v>35</v>
      </c>
      <c r="F895" s="6" t="s">
        <v>32</v>
      </c>
      <c r="G895" s="7">
        <f>Table2[[#This Row],[Unit price]]-10</f>
        <v>18.38</v>
      </c>
      <c r="H895" s="7">
        <v>28.38</v>
      </c>
      <c r="I895" s="8">
        <v>5</v>
      </c>
      <c r="J895" s="8">
        <f>Table2[[#This Row],[Unit price]]*Table2[[#This Row],[Quantity]]</f>
        <v>141.9</v>
      </c>
      <c r="K895" s="8">
        <f>Table2[[#This Row],[Unit Cost]]*Table2[[#This Row],[Quantity]]</f>
        <v>91.899999999999991</v>
      </c>
      <c r="L895" s="8">
        <f>Table2[[#This Row],[Gross Sales]]-Table2[[#This Row],[COGS]]</f>
        <v>50.000000000000014</v>
      </c>
      <c r="M895" s="9">
        <f t="shared" si="13"/>
        <v>0.35236081747709663</v>
      </c>
      <c r="N895" s="7">
        <v>7.0949999999999998</v>
      </c>
      <c r="O895" s="7">
        <v>148.995</v>
      </c>
      <c r="P895" s="10">
        <v>43530</v>
      </c>
      <c r="Q895" s="10" t="str">
        <f>TEXT(Table2[[#This Row],[Date]],"mmm")</f>
        <v>Mar</v>
      </c>
      <c r="R895" s="11">
        <v>0.87291666666666667</v>
      </c>
      <c r="S895" s="6" t="s">
        <v>33</v>
      </c>
      <c r="T895" s="7">
        <v>9.4</v>
      </c>
      <c r="U895" s="6">
        <f>IF(_xlfn.XLOOKUP(A895,[1]Data2!$A:$A,[1]Data2!$B:$B,"no")="yes",1,0)</f>
        <v>0</v>
      </c>
    </row>
    <row r="896" spans="1:21" s="6" customFormat="1" x14ac:dyDescent="0.3">
      <c r="A896" s="6" t="s">
        <v>934</v>
      </c>
      <c r="B896" s="6" t="s">
        <v>46</v>
      </c>
      <c r="C896" s="6" t="s">
        <v>47</v>
      </c>
      <c r="D896" s="6" t="s">
        <v>24</v>
      </c>
      <c r="E896" s="6" t="s">
        <v>35</v>
      </c>
      <c r="F896" s="6" t="s">
        <v>32</v>
      </c>
      <c r="G896" s="7">
        <f>Table2[[#This Row],[Unit price]]-10</f>
        <v>40.450000000000003</v>
      </c>
      <c r="H896" s="7">
        <v>50.45</v>
      </c>
      <c r="I896" s="8">
        <v>6</v>
      </c>
      <c r="J896" s="8">
        <f>Table2[[#This Row],[Unit price]]*Table2[[#This Row],[Quantity]]</f>
        <v>302.70000000000005</v>
      </c>
      <c r="K896" s="8">
        <f>Table2[[#This Row],[Unit Cost]]*Table2[[#This Row],[Quantity]]</f>
        <v>242.70000000000002</v>
      </c>
      <c r="L896" s="8">
        <f>Table2[[#This Row],[Gross Sales]]-Table2[[#This Row],[COGS]]</f>
        <v>60.000000000000028</v>
      </c>
      <c r="M896" s="9">
        <f t="shared" si="13"/>
        <v>0.19821605550049559</v>
      </c>
      <c r="N896" s="7">
        <v>15.135</v>
      </c>
      <c r="O896" s="7">
        <v>317.83499999999998</v>
      </c>
      <c r="P896" s="10">
        <v>43502</v>
      </c>
      <c r="Q896" s="10" t="str">
        <f>TEXT(Table2[[#This Row],[Date]],"mmm")</f>
        <v>Feb</v>
      </c>
      <c r="R896" s="11">
        <v>0.63611111111111118</v>
      </c>
      <c r="S896" s="6" t="s">
        <v>37</v>
      </c>
      <c r="T896" s="7">
        <v>8.9</v>
      </c>
      <c r="U896" s="6">
        <f>IF(_xlfn.XLOOKUP(A896,[1]Data2!$A:$A,[1]Data2!$B:$B,"no")="yes",1,0)</f>
        <v>0</v>
      </c>
    </row>
    <row r="897" spans="1:21" s="6" customFormat="1" x14ac:dyDescent="0.3">
      <c r="A897" s="6" t="s">
        <v>935</v>
      </c>
      <c r="B897" s="6" t="s">
        <v>46</v>
      </c>
      <c r="C897" s="6" t="s">
        <v>47</v>
      </c>
      <c r="D897" s="6" t="s">
        <v>31</v>
      </c>
      <c r="E897" s="6" t="s">
        <v>35</v>
      </c>
      <c r="F897" s="6" t="s">
        <v>26</v>
      </c>
      <c r="G897" s="7">
        <f>Table2[[#This Row],[Unit price]]-10</f>
        <v>89.16</v>
      </c>
      <c r="H897" s="7">
        <v>99.16</v>
      </c>
      <c r="I897" s="8">
        <v>8</v>
      </c>
      <c r="J897" s="8">
        <f>Table2[[#This Row],[Unit price]]*Table2[[#This Row],[Quantity]]</f>
        <v>793.28</v>
      </c>
      <c r="K897" s="8">
        <f>Table2[[#This Row],[Unit Cost]]*Table2[[#This Row],[Quantity]]</f>
        <v>713.28</v>
      </c>
      <c r="L897" s="8">
        <f>Table2[[#This Row],[Gross Sales]]-Table2[[#This Row],[COGS]]</f>
        <v>80</v>
      </c>
      <c r="M897" s="9">
        <f t="shared" si="13"/>
        <v>0.10084711577248891</v>
      </c>
      <c r="N897" s="7">
        <v>39.664000000000001</v>
      </c>
      <c r="O897" s="7">
        <v>832.94399999999996</v>
      </c>
      <c r="P897" s="10">
        <v>43493</v>
      </c>
      <c r="Q897" s="10" t="str">
        <f>TEXT(Table2[[#This Row],[Date]],"mmm")</f>
        <v>Jan</v>
      </c>
      <c r="R897" s="11">
        <v>0.74097222222222225</v>
      </c>
      <c r="S897" s="6" t="s">
        <v>37</v>
      </c>
      <c r="T897" s="7">
        <v>4.2</v>
      </c>
      <c r="U897" s="6">
        <f>IF(_xlfn.XLOOKUP(A897,[1]Data2!$A:$A,[1]Data2!$B:$B,"no")="yes",1,0)</f>
        <v>0</v>
      </c>
    </row>
    <row r="898" spans="1:21" s="6" customFormat="1" x14ac:dyDescent="0.3">
      <c r="A898" s="6" t="s">
        <v>936</v>
      </c>
      <c r="B898" s="6" t="s">
        <v>29</v>
      </c>
      <c r="C898" s="6" t="s">
        <v>30</v>
      </c>
      <c r="D898" s="6" t="s">
        <v>31</v>
      </c>
      <c r="E898" s="6" t="s">
        <v>35</v>
      </c>
      <c r="F898" s="6" t="s">
        <v>50</v>
      </c>
      <c r="G898" s="7">
        <f>Table2[[#This Row],[Unit price]]-10</f>
        <v>50.74</v>
      </c>
      <c r="H898" s="7">
        <v>60.74</v>
      </c>
      <c r="I898" s="8">
        <v>7</v>
      </c>
      <c r="J898" s="8">
        <f>Table2[[#This Row],[Unit price]]*Table2[[#This Row],[Quantity]]</f>
        <v>425.18</v>
      </c>
      <c r="K898" s="8">
        <f>Table2[[#This Row],[Unit Cost]]*Table2[[#This Row],[Quantity]]</f>
        <v>355.18</v>
      </c>
      <c r="L898" s="8">
        <f>Table2[[#This Row],[Gross Sales]]-Table2[[#This Row],[COGS]]</f>
        <v>70</v>
      </c>
      <c r="M898" s="9">
        <f t="shared" si="13"/>
        <v>0.16463615409944024</v>
      </c>
      <c r="N898" s="7">
        <v>21.259</v>
      </c>
      <c r="O898" s="7">
        <v>446.43900000000002</v>
      </c>
      <c r="P898" s="10">
        <v>43483</v>
      </c>
      <c r="Q898" s="10" t="str">
        <f>TEXT(Table2[[#This Row],[Date]],"mmm")</f>
        <v>Jan</v>
      </c>
      <c r="R898" s="11">
        <v>0.68263888888888891</v>
      </c>
      <c r="S898" s="6" t="s">
        <v>27</v>
      </c>
      <c r="T898" s="7">
        <v>5</v>
      </c>
      <c r="U898" s="6">
        <f>IF(_xlfn.XLOOKUP(A898,[1]Data2!$A:$A,[1]Data2!$B:$B,"no")="yes",1,0)</f>
        <v>1</v>
      </c>
    </row>
    <row r="899" spans="1:21" s="6" customFormat="1" x14ac:dyDescent="0.3">
      <c r="A899" s="6" t="s">
        <v>937</v>
      </c>
      <c r="B899" s="6" t="s">
        <v>29</v>
      </c>
      <c r="C899" s="6" t="s">
        <v>30</v>
      </c>
      <c r="D899" s="6" t="s">
        <v>24</v>
      </c>
      <c r="E899" s="6" t="s">
        <v>25</v>
      </c>
      <c r="F899" s="6" t="s">
        <v>48</v>
      </c>
      <c r="G899" s="7">
        <f>Table2[[#This Row],[Unit price]]-10</f>
        <v>37.270000000000003</v>
      </c>
      <c r="H899" s="7">
        <v>47.27</v>
      </c>
      <c r="I899" s="8">
        <v>6</v>
      </c>
      <c r="J899" s="8">
        <f>Table2[[#This Row],[Unit price]]*Table2[[#This Row],[Quantity]]</f>
        <v>283.62</v>
      </c>
      <c r="K899" s="8">
        <f>Table2[[#This Row],[Unit Cost]]*Table2[[#This Row],[Quantity]]</f>
        <v>223.62</v>
      </c>
      <c r="L899" s="8">
        <f>Table2[[#This Row],[Gross Sales]]-Table2[[#This Row],[COGS]]</f>
        <v>60</v>
      </c>
      <c r="M899" s="9">
        <f t="shared" ref="M899:M962" si="14">IFERROR(L899/J899,0)</f>
        <v>0.2115506663845991</v>
      </c>
      <c r="N899" s="7">
        <v>14.180999999999999</v>
      </c>
      <c r="O899" s="7">
        <v>297.80099999999999</v>
      </c>
      <c r="P899" s="10">
        <v>43501</v>
      </c>
      <c r="Q899" s="10" t="str">
        <f>TEXT(Table2[[#This Row],[Date]],"mmm")</f>
        <v>Feb</v>
      </c>
      <c r="R899" s="11">
        <v>0.4284722222222222</v>
      </c>
      <c r="S899" s="6" t="s">
        <v>33</v>
      </c>
      <c r="T899" s="7">
        <v>8.8000000000000007</v>
      </c>
      <c r="U899" s="6">
        <f>IF(_xlfn.XLOOKUP(A899,[1]Data2!$A:$A,[1]Data2!$B:$B,"no")="yes",1,0)</f>
        <v>0</v>
      </c>
    </row>
    <row r="900" spans="1:21" s="6" customFormat="1" x14ac:dyDescent="0.3">
      <c r="A900" s="6" t="s">
        <v>938</v>
      </c>
      <c r="B900" s="6" t="s">
        <v>29</v>
      </c>
      <c r="C900" s="6" t="s">
        <v>30</v>
      </c>
      <c r="D900" s="6" t="s">
        <v>24</v>
      </c>
      <c r="E900" s="6" t="s">
        <v>35</v>
      </c>
      <c r="F900" s="6" t="s">
        <v>26</v>
      </c>
      <c r="G900" s="7">
        <f>Table2[[#This Row],[Unit price]]-10</f>
        <v>75.599999999999994</v>
      </c>
      <c r="H900" s="7">
        <v>85.6</v>
      </c>
      <c r="I900" s="8">
        <v>7</v>
      </c>
      <c r="J900" s="8">
        <f>Table2[[#This Row],[Unit price]]*Table2[[#This Row],[Quantity]]</f>
        <v>599.19999999999993</v>
      </c>
      <c r="K900" s="8">
        <f>Table2[[#This Row],[Unit Cost]]*Table2[[#This Row],[Quantity]]</f>
        <v>529.19999999999993</v>
      </c>
      <c r="L900" s="8">
        <f>Table2[[#This Row],[Gross Sales]]-Table2[[#This Row],[COGS]]</f>
        <v>70</v>
      </c>
      <c r="M900" s="9">
        <f t="shared" si="14"/>
        <v>0.11682242990654207</v>
      </c>
      <c r="N900" s="7">
        <v>29.96</v>
      </c>
      <c r="O900" s="7">
        <v>629.16</v>
      </c>
      <c r="P900" s="10">
        <v>43526</v>
      </c>
      <c r="Q900" s="10" t="str">
        <f>TEXT(Table2[[#This Row],[Date]],"mmm")</f>
        <v>Mar</v>
      </c>
      <c r="R900" s="11">
        <v>0.57638888888888895</v>
      </c>
      <c r="S900" s="6" t="s">
        <v>33</v>
      </c>
      <c r="T900" s="7">
        <v>5.3</v>
      </c>
      <c r="U900" s="6">
        <f>IF(_xlfn.XLOOKUP(A900,[1]Data2!$A:$A,[1]Data2!$B:$B,"no")="yes",1,0)</f>
        <v>0</v>
      </c>
    </row>
    <row r="901" spans="1:21" s="6" customFormat="1" x14ac:dyDescent="0.3">
      <c r="A901" s="6" t="s">
        <v>939</v>
      </c>
      <c r="B901" s="6" t="s">
        <v>22</v>
      </c>
      <c r="C901" s="6" t="s">
        <v>23</v>
      </c>
      <c r="D901" s="6" t="s">
        <v>24</v>
      </c>
      <c r="E901" s="6" t="s">
        <v>35</v>
      </c>
      <c r="F901" s="6" t="s">
        <v>48</v>
      </c>
      <c r="G901" s="7">
        <f>Table2[[#This Row],[Unit price]]-10</f>
        <v>25.04</v>
      </c>
      <c r="H901" s="7">
        <v>35.04</v>
      </c>
      <c r="I901" s="8">
        <v>9</v>
      </c>
      <c r="J901" s="8">
        <f>Table2[[#This Row],[Unit price]]*Table2[[#This Row],[Quantity]]</f>
        <v>315.36</v>
      </c>
      <c r="K901" s="8">
        <f>Table2[[#This Row],[Unit Cost]]*Table2[[#This Row],[Quantity]]</f>
        <v>225.35999999999999</v>
      </c>
      <c r="L901" s="8">
        <f>Table2[[#This Row],[Gross Sales]]-Table2[[#This Row],[COGS]]</f>
        <v>90.000000000000028</v>
      </c>
      <c r="M901" s="9">
        <f t="shared" si="14"/>
        <v>0.28538812785388135</v>
      </c>
      <c r="N901" s="7">
        <v>15.768000000000001</v>
      </c>
      <c r="O901" s="7">
        <v>331.12799999999999</v>
      </c>
      <c r="P901" s="10">
        <v>43505</v>
      </c>
      <c r="Q901" s="10" t="str">
        <f>TEXT(Table2[[#This Row],[Date]],"mmm")</f>
        <v>Feb</v>
      </c>
      <c r="R901" s="11">
        <v>0.80347222222222225</v>
      </c>
      <c r="S901" s="6" t="s">
        <v>27</v>
      </c>
      <c r="T901" s="7">
        <v>4.5999999999999996</v>
      </c>
      <c r="U901" s="6">
        <f>IF(_xlfn.XLOOKUP(A901,[1]Data2!$A:$A,[1]Data2!$B:$B,"no")="yes",1,0)</f>
        <v>0</v>
      </c>
    </row>
    <row r="902" spans="1:21" s="6" customFormat="1" x14ac:dyDescent="0.3">
      <c r="A902" s="6" t="s">
        <v>940</v>
      </c>
      <c r="B902" s="6" t="s">
        <v>29</v>
      </c>
      <c r="C902" s="6" t="s">
        <v>30</v>
      </c>
      <c r="D902" s="6" t="s">
        <v>24</v>
      </c>
      <c r="E902" s="6" t="s">
        <v>25</v>
      </c>
      <c r="F902" s="6" t="s">
        <v>32</v>
      </c>
      <c r="G902" s="7">
        <f>Table2[[#This Row],[Unit price]]-10</f>
        <v>34.840000000000003</v>
      </c>
      <c r="H902" s="7">
        <v>44.84</v>
      </c>
      <c r="I902" s="8">
        <v>9</v>
      </c>
      <c r="J902" s="8">
        <f>Table2[[#This Row],[Unit price]]*Table2[[#This Row],[Quantity]]</f>
        <v>403.56000000000006</v>
      </c>
      <c r="K902" s="8">
        <f>Table2[[#This Row],[Unit Cost]]*Table2[[#This Row],[Quantity]]</f>
        <v>313.56000000000006</v>
      </c>
      <c r="L902" s="8">
        <f>Table2[[#This Row],[Gross Sales]]-Table2[[#This Row],[COGS]]</f>
        <v>90</v>
      </c>
      <c r="M902" s="9">
        <f t="shared" si="14"/>
        <v>0.2230151650312221</v>
      </c>
      <c r="N902" s="7">
        <v>20.178000000000001</v>
      </c>
      <c r="O902" s="7">
        <v>423.738</v>
      </c>
      <c r="P902" s="10">
        <v>43479</v>
      </c>
      <c r="Q902" s="10" t="str">
        <f>TEXT(Table2[[#This Row],[Date]],"mmm")</f>
        <v>Jan</v>
      </c>
      <c r="R902" s="11">
        <v>0.58333333333333337</v>
      </c>
      <c r="S902" s="6" t="s">
        <v>37</v>
      </c>
      <c r="T902" s="7">
        <v>7.5</v>
      </c>
      <c r="U902" s="6">
        <f>IF(_xlfn.XLOOKUP(A902,[1]Data2!$A:$A,[1]Data2!$B:$B,"no")="yes",1,0)</f>
        <v>1</v>
      </c>
    </row>
    <row r="903" spans="1:21" s="6" customFormat="1" x14ac:dyDescent="0.3">
      <c r="A903" s="6" t="s">
        <v>941</v>
      </c>
      <c r="B903" s="6" t="s">
        <v>46</v>
      </c>
      <c r="C903" s="6" t="s">
        <v>47</v>
      </c>
      <c r="D903" s="6" t="s">
        <v>31</v>
      </c>
      <c r="E903" s="6" t="s">
        <v>35</v>
      </c>
      <c r="F903" s="6" t="s">
        <v>36</v>
      </c>
      <c r="G903" s="7">
        <f>Table2[[#This Row],[Unit price]]-10</f>
        <v>35.97</v>
      </c>
      <c r="H903" s="7">
        <v>45.97</v>
      </c>
      <c r="I903" s="8">
        <v>4</v>
      </c>
      <c r="J903" s="8">
        <f>Table2[[#This Row],[Unit price]]*Table2[[#This Row],[Quantity]]</f>
        <v>183.88</v>
      </c>
      <c r="K903" s="8">
        <f>Table2[[#This Row],[Unit Cost]]*Table2[[#This Row],[Quantity]]</f>
        <v>143.88</v>
      </c>
      <c r="L903" s="8">
        <f>Table2[[#This Row],[Gross Sales]]-Table2[[#This Row],[COGS]]</f>
        <v>40</v>
      </c>
      <c r="M903" s="9">
        <f t="shared" si="14"/>
        <v>0.21753317380900589</v>
      </c>
      <c r="N903" s="7">
        <v>9.1940000000000008</v>
      </c>
      <c r="O903" s="7">
        <v>193.07400000000001</v>
      </c>
      <c r="P903" s="10">
        <v>43505</v>
      </c>
      <c r="Q903" s="10" t="str">
        <f>TEXT(Table2[[#This Row],[Date]],"mmm")</f>
        <v>Feb</v>
      </c>
      <c r="R903" s="11">
        <v>0.50138888888888888</v>
      </c>
      <c r="S903" s="6" t="s">
        <v>27</v>
      </c>
      <c r="T903" s="7">
        <v>5.0999999999999996</v>
      </c>
      <c r="U903" s="6">
        <f>IF(_xlfn.XLOOKUP(A903,[1]Data2!$A:$A,[1]Data2!$B:$B,"no")="yes",1,0)</f>
        <v>0</v>
      </c>
    </row>
    <row r="904" spans="1:21" s="6" customFormat="1" x14ac:dyDescent="0.3">
      <c r="A904" s="6" t="s">
        <v>942</v>
      </c>
      <c r="B904" s="6" t="s">
        <v>22</v>
      </c>
      <c r="C904" s="6" t="s">
        <v>23</v>
      </c>
      <c r="D904" s="6" t="s">
        <v>24</v>
      </c>
      <c r="E904" s="6" t="s">
        <v>25</v>
      </c>
      <c r="F904" s="6" t="s">
        <v>26</v>
      </c>
      <c r="G904" s="7">
        <f>Table2[[#This Row],[Unit price]]-10</f>
        <v>17.73</v>
      </c>
      <c r="H904" s="7">
        <v>27.73</v>
      </c>
      <c r="I904" s="8">
        <v>5</v>
      </c>
      <c r="J904" s="8">
        <f>Table2[[#This Row],[Unit price]]*Table2[[#This Row],[Quantity]]</f>
        <v>138.65</v>
      </c>
      <c r="K904" s="8">
        <f>Table2[[#This Row],[Unit Cost]]*Table2[[#This Row],[Quantity]]</f>
        <v>88.65</v>
      </c>
      <c r="L904" s="8">
        <f>Table2[[#This Row],[Gross Sales]]-Table2[[#This Row],[COGS]]</f>
        <v>50</v>
      </c>
      <c r="M904" s="9">
        <f t="shared" si="14"/>
        <v>0.36062026685899745</v>
      </c>
      <c r="N904" s="7">
        <v>6.9325000000000001</v>
      </c>
      <c r="O904" s="7">
        <v>145.58250000000001</v>
      </c>
      <c r="P904" s="10">
        <v>43550</v>
      </c>
      <c r="Q904" s="10" t="str">
        <f>TEXT(Table2[[#This Row],[Date]],"mmm")</f>
        <v>Mar</v>
      </c>
      <c r="R904" s="11">
        <v>0.84791666666666676</v>
      </c>
      <c r="S904" s="6" t="s">
        <v>37</v>
      </c>
      <c r="T904" s="7">
        <v>4.2</v>
      </c>
      <c r="U904" s="6">
        <f>IF(_xlfn.XLOOKUP(A904,[1]Data2!$A:$A,[1]Data2!$B:$B,"no")="yes",1,0)</f>
        <v>0</v>
      </c>
    </row>
    <row r="905" spans="1:21" s="6" customFormat="1" x14ac:dyDescent="0.3">
      <c r="A905" s="6" t="s">
        <v>943</v>
      </c>
      <c r="B905" s="6" t="s">
        <v>22</v>
      </c>
      <c r="C905" s="6" t="s">
        <v>23</v>
      </c>
      <c r="D905" s="6" t="s">
        <v>31</v>
      </c>
      <c r="E905" s="6" t="s">
        <v>35</v>
      </c>
      <c r="F905" s="6" t="s">
        <v>48</v>
      </c>
      <c r="G905" s="7">
        <f>Table2[[#This Row],[Unit price]]-10</f>
        <v>1.5299999999999994</v>
      </c>
      <c r="H905" s="7">
        <v>11.53</v>
      </c>
      <c r="I905" s="8">
        <v>7</v>
      </c>
      <c r="J905" s="8">
        <f>Table2[[#This Row],[Unit price]]*Table2[[#This Row],[Quantity]]</f>
        <v>80.709999999999994</v>
      </c>
      <c r="K905" s="8">
        <f>Table2[[#This Row],[Unit Cost]]*Table2[[#This Row],[Quantity]]</f>
        <v>10.709999999999996</v>
      </c>
      <c r="L905" s="8">
        <f>Table2[[#This Row],[Gross Sales]]-Table2[[#This Row],[COGS]]</f>
        <v>70</v>
      </c>
      <c r="M905" s="9">
        <f t="shared" si="14"/>
        <v>0.86730268863833482</v>
      </c>
      <c r="N905" s="7">
        <v>4.0354999999999999</v>
      </c>
      <c r="O905" s="7">
        <v>84.745500000000007</v>
      </c>
      <c r="P905" s="10">
        <v>43493</v>
      </c>
      <c r="Q905" s="10" t="str">
        <f>TEXT(Table2[[#This Row],[Date]],"mmm")</f>
        <v>Jan</v>
      </c>
      <c r="R905" s="11">
        <v>0.73263888888888884</v>
      </c>
      <c r="S905" s="6" t="s">
        <v>33</v>
      </c>
      <c r="T905" s="7">
        <v>8.1</v>
      </c>
      <c r="U905" s="6">
        <f>IF(_xlfn.XLOOKUP(A905,[1]Data2!$A:$A,[1]Data2!$B:$B,"no")="yes",1,0)</f>
        <v>0</v>
      </c>
    </row>
    <row r="906" spans="1:21" s="6" customFormat="1" x14ac:dyDescent="0.3">
      <c r="A906" s="6" t="s">
        <v>944</v>
      </c>
      <c r="B906" s="6" t="s">
        <v>29</v>
      </c>
      <c r="C906" s="6" t="s">
        <v>30</v>
      </c>
      <c r="D906" s="6" t="s">
        <v>31</v>
      </c>
      <c r="E906" s="6" t="s">
        <v>25</v>
      </c>
      <c r="F906" s="6" t="s">
        <v>26</v>
      </c>
      <c r="G906" s="7">
        <f>Table2[[#This Row],[Unit price]]-10</f>
        <v>48.32</v>
      </c>
      <c r="H906" s="7">
        <v>58.32</v>
      </c>
      <c r="I906" s="8">
        <v>2</v>
      </c>
      <c r="J906" s="8">
        <f>Table2[[#This Row],[Unit price]]*Table2[[#This Row],[Quantity]]</f>
        <v>116.64</v>
      </c>
      <c r="K906" s="8">
        <f>Table2[[#This Row],[Unit Cost]]*Table2[[#This Row],[Quantity]]</f>
        <v>96.64</v>
      </c>
      <c r="L906" s="8">
        <f>Table2[[#This Row],[Gross Sales]]-Table2[[#This Row],[COGS]]</f>
        <v>20</v>
      </c>
      <c r="M906" s="9">
        <f t="shared" si="14"/>
        <v>0.17146776406035666</v>
      </c>
      <c r="N906" s="7">
        <v>5.8319999999999999</v>
      </c>
      <c r="O906" s="7">
        <v>122.47199999999999</v>
      </c>
      <c r="P906" s="10">
        <v>43510</v>
      </c>
      <c r="Q906" s="10" t="str">
        <f>TEXT(Table2[[#This Row],[Date]],"mmm")</f>
        <v>Feb</v>
      </c>
      <c r="R906" s="11">
        <v>0.52916666666666667</v>
      </c>
      <c r="S906" s="6" t="s">
        <v>27</v>
      </c>
      <c r="T906" s="7">
        <v>6</v>
      </c>
      <c r="U906" s="6">
        <f>IF(_xlfn.XLOOKUP(A906,[1]Data2!$A:$A,[1]Data2!$B:$B,"no")="yes",1,0)</f>
        <v>1</v>
      </c>
    </row>
    <row r="907" spans="1:21" s="6" customFormat="1" x14ac:dyDescent="0.3">
      <c r="A907" s="6" t="s">
        <v>945</v>
      </c>
      <c r="B907" s="6" t="s">
        <v>29</v>
      </c>
      <c r="C907" s="6" t="s">
        <v>30</v>
      </c>
      <c r="D907" s="6" t="s">
        <v>24</v>
      </c>
      <c r="E907" s="6" t="s">
        <v>25</v>
      </c>
      <c r="F907" s="6" t="s">
        <v>36</v>
      </c>
      <c r="G907" s="7">
        <f>Table2[[#This Row],[Unit price]]-10</f>
        <v>68.38</v>
      </c>
      <c r="H907" s="7">
        <v>78.38</v>
      </c>
      <c r="I907" s="8">
        <v>4</v>
      </c>
      <c r="J907" s="8">
        <f>Table2[[#This Row],[Unit price]]*Table2[[#This Row],[Quantity]]</f>
        <v>313.52</v>
      </c>
      <c r="K907" s="8">
        <f>Table2[[#This Row],[Unit Cost]]*Table2[[#This Row],[Quantity]]</f>
        <v>273.52</v>
      </c>
      <c r="L907" s="8">
        <f>Table2[[#This Row],[Gross Sales]]-Table2[[#This Row],[COGS]]</f>
        <v>40</v>
      </c>
      <c r="M907" s="9">
        <f t="shared" si="14"/>
        <v>0.12758356723653994</v>
      </c>
      <c r="N907" s="7">
        <v>15.676</v>
      </c>
      <c r="O907" s="7">
        <v>329.19600000000003</v>
      </c>
      <c r="P907" s="10">
        <v>43548</v>
      </c>
      <c r="Q907" s="10" t="str">
        <f>TEXT(Table2[[#This Row],[Date]],"mmm")</f>
        <v>Mar</v>
      </c>
      <c r="R907" s="11">
        <v>0.74722222222222223</v>
      </c>
      <c r="S907" s="6" t="s">
        <v>33</v>
      </c>
      <c r="T907" s="7">
        <v>7.9</v>
      </c>
      <c r="U907" s="6">
        <f>IF(_xlfn.XLOOKUP(A907,[1]Data2!$A:$A,[1]Data2!$B:$B,"no")="yes",1,0)</f>
        <v>0</v>
      </c>
    </row>
    <row r="908" spans="1:21" s="6" customFormat="1" x14ac:dyDescent="0.3">
      <c r="A908" s="6" t="s">
        <v>946</v>
      </c>
      <c r="B908" s="6" t="s">
        <v>29</v>
      </c>
      <c r="C908" s="6" t="s">
        <v>30</v>
      </c>
      <c r="D908" s="6" t="s">
        <v>31</v>
      </c>
      <c r="E908" s="6" t="s">
        <v>35</v>
      </c>
      <c r="F908" s="6" t="s">
        <v>26</v>
      </c>
      <c r="G908" s="7">
        <f>Table2[[#This Row],[Unit price]]-10</f>
        <v>74.61</v>
      </c>
      <c r="H908" s="7">
        <v>84.61</v>
      </c>
      <c r="I908" s="8">
        <v>10</v>
      </c>
      <c r="J908" s="8">
        <f>Table2[[#This Row],[Unit price]]*Table2[[#This Row],[Quantity]]</f>
        <v>846.1</v>
      </c>
      <c r="K908" s="8">
        <f>Table2[[#This Row],[Unit Cost]]*Table2[[#This Row],[Quantity]]</f>
        <v>746.1</v>
      </c>
      <c r="L908" s="8">
        <f>Table2[[#This Row],[Gross Sales]]-Table2[[#This Row],[COGS]]</f>
        <v>100</v>
      </c>
      <c r="M908" s="9">
        <f t="shared" si="14"/>
        <v>0.11818933932159319</v>
      </c>
      <c r="N908" s="7">
        <v>42.305</v>
      </c>
      <c r="O908" s="7">
        <v>888.40499999999997</v>
      </c>
      <c r="P908" s="10">
        <v>43505</v>
      </c>
      <c r="Q908" s="10" t="str">
        <f>TEXT(Table2[[#This Row],[Date]],"mmm")</f>
        <v>Feb</v>
      </c>
      <c r="R908" s="11">
        <v>0.79027777777777775</v>
      </c>
      <c r="S908" s="6" t="s">
        <v>37</v>
      </c>
      <c r="T908" s="7">
        <v>8.8000000000000007</v>
      </c>
      <c r="U908" s="6">
        <f>IF(_xlfn.XLOOKUP(A908,[1]Data2!$A:$A,[1]Data2!$B:$B,"no")="yes",1,0)</f>
        <v>0</v>
      </c>
    </row>
    <row r="909" spans="1:21" s="6" customFormat="1" x14ac:dyDescent="0.3">
      <c r="A909" s="6" t="s">
        <v>947</v>
      </c>
      <c r="B909" s="6" t="s">
        <v>46</v>
      </c>
      <c r="C909" s="6" t="s">
        <v>47</v>
      </c>
      <c r="D909" s="6" t="s">
        <v>31</v>
      </c>
      <c r="E909" s="6" t="s">
        <v>25</v>
      </c>
      <c r="F909" s="6" t="s">
        <v>26</v>
      </c>
      <c r="G909" s="7">
        <f>Table2[[#This Row],[Unit price]]-10</f>
        <v>72.88</v>
      </c>
      <c r="H909" s="7">
        <v>82.88</v>
      </c>
      <c r="I909" s="8">
        <v>5</v>
      </c>
      <c r="J909" s="8">
        <f>Table2[[#This Row],[Unit price]]*Table2[[#This Row],[Quantity]]</f>
        <v>414.4</v>
      </c>
      <c r="K909" s="8">
        <f>Table2[[#This Row],[Unit Cost]]*Table2[[#This Row],[Quantity]]</f>
        <v>364.4</v>
      </c>
      <c r="L909" s="8">
        <f>Table2[[#This Row],[Gross Sales]]-Table2[[#This Row],[COGS]]</f>
        <v>50</v>
      </c>
      <c r="M909" s="9">
        <f t="shared" si="14"/>
        <v>0.12065637065637067</v>
      </c>
      <c r="N909" s="7">
        <v>20.72</v>
      </c>
      <c r="O909" s="7">
        <v>435.12</v>
      </c>
      <c r="P909" s="10">
        <v>43548</v>
      </c>
      <c r="Q909" s="10" t="str">
        <f>TEXT(Table2[[#This Row],[Date]],"mmm")</f>
        <v>Mar</v>
      </c>
      <c r="R909" s="11">
        <v>0.58888888888888891</v>
      </c>
      <c r="S909" s="6" t="s">
        <v>37</v>
      </c>
      <c r="T909" s="7">
        <v>6.6</v>
      </c>
      <c r="U909" s="6">
        <f>IF(_xlfn.XLOOKUP(A909,[1]Data2!$A:$A,[1]Data2!$B:$B,"no")="yes",1,0)</f>
        <v>0</v>
      </c>
    </row>
    <row r="910" spans="1:21" s="6" customFormat="1" x14ac:dyDescent="0.3">
      <c r="A910" s="6" t="s">
        <v>948</v>
      </c>
      <c r="B910" s="6" t="s">
        <v>22</v>
      </c>
      <c r="C910" s="6" t="s">
        <v>23</v>
      </c>
      <c r="D910" s="6" t="s">
        <v>24</v>
      </c>
      <c r="E910" s="6" t="s">
        <v>25</v>
      </c>
      <c r="F910" s="6" t="s">
        <v>48</v>
      </c>
      <c r="G910" s="7">
        <f>Table2[[#This Row],[Unit price]]-10</f>
        <v>69.540000000000006</v>
      </c>
      <c r="H910" s="7">
        <v>79.540000000000006</v>
      </c>
      <c r="I910" s="8">
        <v>2</v>
      </c>
      <c r="J910" s="8">
        <f>Table2[[#This Row],[Unit price]]*Table2[[#This Row],[Quantity]]</f>
        <v>159.08000000000001</v>
      </c>
      <c r="K910" s="8">
        <f>Table2[[#This Row],[Unit Cost]]*Table2[[#This Row],[Quantity]]</f>
        <v>139.08000000000001</v>
      </c>
      <c r="L910" s="8">
        <f>Table2[[#This Row],[Gross Sales]]-Table2[[#This Row],[COGS]]</f>
        <v>20</v>
      </c>
      <c r="M910" s="9">
        <f t="shared" si="14"/>
        <v>0.1257229067136032</v>
      </c>
      <c r="N910" s="7">
        <v>7.9539999999999997</v>
      </c>
      <c r="O910" s="7">
        <v>167.03399999999999</v>
      </c>
      <c r="P910" s="10">
        <v>43551</v>
      </c>
      <c r="Q910" s="10" t="str">
        <f>TEXT(Table2[[#This Row],[Date]],"mmm")</f>
        <v>Mar</v>
      </c>
      <c r="R910" s="11">
        <v>0.6875</v>
      </c>
      <c r="S910" s="6" t="s">
        <v>27</v>
      </c>
      <c r="T910" s="7">
        <v>6.2</v>
      </c>
      <c r="U910" s="6">
        <f>IF(_xlfn.XLOOKUP(A910,[1]Data2!$A:$A,[1]Data2!$B:$B,"no")="yes",1,0)</f>
        <v>1</v>
      </c>
    </row>
    <row r="911" spans="1:21" s="6" customFormat="1" x14ac:dyDescent="0.3">
      <c r="A911" s="6" t="s">
        <v>949</v>
      </c>
      <c r="B911" s="6" t="s">
        <v>46</v>
      </c>
      <c r="C911" s="6" t="s">
        <v>47</v>
      </c>
      <c r="D911" s="6" t="s">
        <v>31</v>
      </c>
      <c r="E911" s="6" t="s">
        <v>25</v>
      </c>
      <c r="F911" s="6" t="s">
        <v>36</v>
      </c>
      <c r="G911" s="7">
        <f>Table2[[#This Row],[Unit price]]-10</f>
        <v>39.01</v>
      </c>
      <c r="H911" s="7">
        <v>49.01</v>
      </c>
      <c r="I911" s="8">
        <v>10</v>
      </c>
      <c r="J911" s="8">
        <f>Table2[[#This Row],[Unit price]]*Table2[[#This Row],[Quantity]]</f>
        <v>490.09999999999997</v>
      </c>
      <c r="K911" s="8">
        <f>Table2[[#This Row],[Unit Cost]]*Table2[[#This Row],[Quantity]]</f>
        <v>390.09999999999997</v>
      </c>
      <c r="L911" s="8">
        <f>Table2[[#This Row],[Gross Sales]]-Table2[[#This Row],[COGS]]</f>
        <v>100</v>
      </c>
      <c r="M911" s="9">
        <f t="shared" si="14"/>
        <v>0.20403999183840035</v>
      </c>
      <c r="N911" s="7">
        <v>24.504999999999999</v>
      </c>
      <c r="O911" s="7">
        <v>514.60500000000002</v>
      </c>
      <c r="P911" s="10">
        <v>43492</v>
      </c>
      <c r="Q911" s="10" t="str">
        <f>TEXT(Table2[[#This Row],[Date]],"mmm")</f>
        <v>Jan</v>
      </c>
      <c r="R911" s="11">
        <v>0.44722222222222219</v>
      </c>
      <c r="S911" s="6" t="s">
        <v>37</v>
      </c>
      <c r="T911" s="7">
        <v>4.2</v>
      </c>
      <c r="U911" s="6">
        <f>IF(_xlfn.XLOOKUP(A911,[1]Data2!$A:$A,[1]Data2!$B:$B,"no")="yes",1,0)</f>
        <v>0</v>
      </c>
    </row>
    <row r="912" spans="1:21" s="6" customFormat="1" x14ac:dyDescent="0.3">
      <c r="A912" s="6" t="s">
        <v>950</v>
      </c>
      <c r="B912" s="6" t="s">
        <v>46</v>
      </c>
      <c r="C912" s="6" t="s">
        <v>47</v>
      </c>
      <c r="D912" s="6" t="s">
        <v>24</v>
      </c>
      <c r="E912" s="6" t="s">
        <v>25</v>
      </c>
      <c r="F912" s="6" t="s">
        <v>48</v>
      </c>
      <c r="G912" s="7">
        <f>Table2[[#This Row],[Unit price]]-10</f>
        <v>19.149999999999999</v>
      </c>
      <c r="H912" s="7">
        <v>29.15</v>
      </c>
      <c r="I912" s="8">
        <v>3</v>
      </c>
      <c r="J912" s="8">
        <f>Table2[[#This Row],[Unit price]]*Table2[[#This Row],[Quantity]]</f>
        <v>87.449999999999989</v>
      </c>
      <c r="K912" s="8">
        <f>Table2[[#This Row],[Unit Cost]]*Table2[[#This Row],[Quantity]]</f>
        <v>57.449999999999996</v>
      </c>
      <c r="L912" s="8">
        <f>Table2[[#This Row],[Gross Sales]]-Table2[[#This Row],[COGS]]</f>
        <v>29.999999999999993</v>
      </c>
      <c r="M912" s="9">
        <f t="shared" si="14"/>
        <v>0.34305317324185247</v>
      </c>
      <c r="N912" s="7">
        <v>4.3724999999999996</v>
      </c>
      <c r="O912" s="7">
        <v>91.822500000000005</v>
      </c>
      <c r="P912" s="10">
        <v>43551</v>
      </c>
      <c r="Q912" s="10" t="str">
        <f>TEXT(Table2[[#This Row],[Date]],"mmm")</f>
        <v>Mar</v>
      </c>
      <c r="R912" s="11">
        <v>0.8534722222222223</v>
      </c>
      <c r="S912" s="6" t="s">
        <v>37</v>
      </c>
      <c r="T912" s="7">
        <v>7.3</v>
      </c>
      <c r="U912" s="6">
        <f>IF(_xlfn.XLOOKUP(A912,[1]Data2!$A:$A,[1]Data2!$B:$B,"no")="yes",1,0)</f>
        <v>0</v>
      </c>
    </row>
    <row r="913" spans="1:21" s="6" customFormat="1" x14ac:dyDescent="0.3">
      <c r="A913" s="6" t="s">
        <v>951</v>
      </c>
      <c r="B913" s="6" t="s">
        <v>29</v>
      </c>
      <c r="C913" s="6" t="s">
        <v>30</v>
      </c>
      <c r="D913" s="6" t="s">
        <v>31</v>
      </c>
      <c r="E913" s="6" t="s">
        <v>25</v>
      </c>
      <c r="F913" s="6" t="s">
        <v>32</v>
      </c>
      <c r="G913" s="7">
        <f>Table2[[#This Row],[Unit price]]-10</f>
        <v>46.13</v>
      </c>
      <c r="H913" s="7">
        <v>56.13</v>
      </c>
      <c r="I913" s="8">
        <v>4</v>
      </c>
      <c r="J913" s="8">
        <f>Table2[[#This Row],[Unit price]]*Table2[[#This Row],[Quantity]]</f>
        <v>224.52</v>
      </c>
      <c r="K913" s="8">
        <f>Table2[[#This Row],[Unit Cost]]*Table2[[#This Row],[Quantity]]</f>
        <v>184.52</v>
      </c>
      <c r="L913" s="8">
        <f>Table2[[#This Row],[Gross Sales]]-Table2[[#This Row],[COGS]]</f>
        <v>40</v>
      </c>
      <c r="M913" s="9">
        <f t="shared" si="14"/>
        <v>0.17815784785319794</v>
      </c>
      <c r="N913" s="7">
        <v>11.226000000000001</v>
      </c>
      <c r="O913" s="7">
        <v>235.74600000000001</v>
      </c>
      <c r="P913" s="10">
        <v>43484</v>
      </c>
      <c r="Q913" s="10" t="str">
        <f>TEXT(Table2[[#This Row],[Date]],"mmm")</f>
        <v>Jan</v>
      </c>
      <c r="R913" s="11">
        <v>0.48819444444444443</v>
      </c>
      <c r="S913" s="6" t="s">
        <v>27</v>
      </c>
      <c r="T913" s="7">
        <v>8.6</v>
      </c>
      <c r="U913" s="6">
        <f>IF(_xlfn.XLOOKUP(A913,[1]Data2!$A:$A,[1]Data2!$B:$B,"no")="yes",1,0)</f>
        <v>0</v>
      </c>
    </row>
    <row r="914" spans="1:21" s="6" customFormat="1" x14ac:dyDescent="0.3">
      <c r="A914" s="6" t="s">
        <v>952</v>
      </c>
      <c r="B914" s="6" t="s">
        <v>22</v>
      </c>
      <c r="C914" s="6" t="s">
        <v>23</v>
      </c>
      <c r="D914" s="6" t="s">
        <v>31</v>
      </c>
      <c r="E914" s="6" t="s">
        <v>25</v>
      </c>
      <c r="F914" s="6" t="s">
        <v>36</v>
      </c>
      <c r="G914" s="7">
        <f>Table2[[#This Row],[Unit price]]-10</f>
        <v>83.12</v>
      </c>
      <c r="H914" s="7">
        <v>93.12</v>
      </c>
      <c r="I914" s="8">
        <v>8</v>
      </c>
      <c r="J914" s="8">
        <f>Table2[[#This Row],[Unit price]]*Table2[[#This Row],[Quantity]]</f>
        <v>744.96</v>
      </c>
      <c r="K914" s="8">
        <f>Table2[[#This Row],[Unit Cost]]*Table2[[#This Row],[Quantity]]</f>
        <v>664.96</v>
      </c>
      <c r="L914" s="8">
        <f>Table2[[#This Row],[Gross Sales]]-Table2[[#This Row],[COGS]]</f>
        <v>80</v>
      </c>
      <c r="M914" s="9">
        <f t="shared" si="14"/>
        <v>0.10738831615120274</v>
      </c>
      <c r="N914" s="7">
        <v>37.247999999999998</v>
      </c>
      <c r="O914" s="7">
        <v>782.20799999999997</v>
      </c>
      <c r="P914" s="10">
        <v>43503</v>
      </c>
      <c r="Q914" s="10" t="str">
        <f>TEXT(Table2[[#This Row],[Date]],"mmm")</f>
        <v>Feb</v>
      </c>
      <c r="R914" s="11">
        <v>0.42291666666666666</v>
      </c>
      <c r="S914" s="6" t="s">
        <v>33</v>
      </c>
      <c r="T914" s="7">
        <v>6.8</v>
      </c>
      <c r="U914" s="6">
        <f>IF(_xlfn.XLOOKUP(A914,[1]Data2!$A:$A,[1]Data2!$B:$B,"no")="yes",1,0)</f>
        <v>1</v>
      </c>
    </row>
    <row r="915" spans="1:21" s="6" customFormat="1" x14ac:dyDescent="0.3">
      <c r="A915" s="6" t="s">
        <v>953</v>
      </c>
      <c r="B915" s="6" t="s">
        <v>22</v>
      </c>
      <c r="C915" s="6" t="s">
        <v>23</v>
      </c>
      <c r="D915" s="6" t="s">
        <v>24</v>
      </c>
      <c r="E915" s="6" t="s">
        <v>35</v>
      </c>
      <c r="F915" s="6" t="s">
        <v>50</v>
      </c>
      <c r="G915" s="7">
        <f>Table2[[#This Row],[Unit price]]-10</f>
        <v>41.34</v>
      </c>
      <c r="H915" s="7">
        <v>51.34</v>
      </c>
      <c r="I915" s="8">
        <v>8</v>
      </c>
      <c r="J915" s="8">
        <f>Table2[[#This Row],[Unit price]]*Table2[[#This Row],[Quantity]]</f>
        <v>410.72</v>
      </c>
      <c r="K915" s="8">
        <f>Table2[[#This Row],[Unit Cost]]*Table2[[#This Row],[Quantity]]</f>
        <v>330.72</v>
      </c>
      <c r="L915" s="8">
        <f>Table2[[#This Row],[Gross Sales]]-Table2[[#This Row],[COGS]]</f>
        <v>80</v>
      </c>
      <c r="M915" s="9">
        <f t="shared" si="14"/>
        <v>0.19477989871445264</v>
      </c>
      <c r="N915" s="7">
        <v>20.536000000000001</v>
      </c>
      <c r="O915" s="7">
        <v>431.25599999999997</v>
      </c>
      <c r="P915" s="10">
        <v>43496</v>
      </c>
      <c r="Q915" s="10" t="str">
        <f>TEXT(Table2[[#This Row],[Date]],"mmm")</f>
        <v>Jan</v>
      </c>
      <c r="R915" s="11">
        <v>0.41666666666666669</v>
      </c>
      <c r="S915" s="6" t="s">
        <v>27</v>
      </c>
      <c r="T915" s="7">
        <v>7.6</v>
      </c>
      <c r="U915" s="6">
        <f>IF(_xlfn.XLOOKUP(A915,[1]Data2!$A:$A,[1]Data2!$B:$B,"no")="yes",1,0)</f>
        <v>0</v>
      </c>
    </row>
    <row r="916" spans="1:21" s="6" customFormat="1" x14ac:dyDescent="0.3">
      <c r="A916" s="6" t="s">
        <v>954</v>
      </c>
      <c r="B916" s="6" t="s">
        <v>22</v>
      </c>
      <c r="C916" s="6" t="s">
        <v>23</v>
      </c>
      <c r="D916" s="6" t="s">
        <v>24</v>
      </c>
      <c r="E916" s="6" t="s">
        <v>25</v>
      </c>
      <c r="F916" s="6" t="s">
        <v>48</v>
      </c>
      <c r="G916" s="7">
        <f>Table2[[#This Row],[Unit price]]-10</f>
        <v>89.6</v>
      </c>
      <c r="H916" s="7">
        <v>99.6</v>
      </c>
      <c r="I916" s="8">
        <v>3</v>
      </c>
      <c r="J916" s="8">
        <f>Table2[[#This Row],[Unit price]]*Table2[[#This Row],[Quantity]]</f>
        <v>298.79999999999995</v>
      </c>
      <c r="K916" s="8">
        <f>Table2[[#This Row],[Unit Cost]]*Table2[[#This Row],[Quantity]]</f>
        <v>268.79999999999995</v>
      </c>
      <c r="L916" s="8">
        <f>Table2[[#This Row],[Gross Sales]]-Table2[[#This Row],[COGS]]</f>
        <v>30</v>
      </c>
      <c r="M916" s="9">
        <f t="shared" si="14"/>
        <v>0.10040160642570282</v>
      </c>
      <c r="N916" s="7">
        <v>14.94</v>
      </c>
      <c r="O916" s="7">
        <v>313.74</v>
      </c>
      <c r="P916" s="10">
        <v>43521</v>
      </c>
      <c r="Q916" s="10" t="str">
        <f>TEXT(Table2[[#This Row],[Date]],"mmm")</f>
        <v>Feb</v>
      </c>
      <c r="R916" s="11">
        <v>0.78125</v>
      </c>
      <c r="S916" s="6" t="s">
        <v>33</v>
      </c>
      <c r="T916" s="7">
        <v>5.8</v>
      </c>
      <c r="U916" s="6">
        <f>IF(_xlfn.XLOOKUP(A916,[1]Data2!$A:$A,[1]Data2!$B:$B,"no")="yes",1,0)</f>
        <v>0</v>
      </c>
    </row>
    <row r="917" spans="1:21" s="6" customFormat="1" x14ac:dyDescent="0.3">
      <c r="A917" s="6" t="s">
        <v>955</v>
      </c>
      <c r="B917" s="6" t="s">
        <v>29</v>
      </c>
      <c r="C917" s="6" t="s">
        <v>30</v>
      </c>
      <c r="D917" s="6" t="s">
        <v>31</v>
      </c>
      <c r="E917" s="6" t="s">
        <v>25</v>
      </c>
      <c r="F917" s="6" t="s">
        <v>32</v>
      </c>
      <c r="G917" s="7">
        <f>Table2[[#This Row],[Unit price]]-10</f>
        <v>25.490000000000002</v>
      </c>
      <c r="H917" s="7">
        <v>35.49</v>
      </c>
      <c r="I917" s="8">
        <v>6</v>
      </c>
      <c r="J917" s="8">
        <f>Table2[[#This Row],[Unit price]]*Table2[[#This Row],[Quantity]]</f>
        <v>212.94</v>
      </c>
      <c r="K917" s="8">
        <f>Table2[[#This Row],[Unit Cost]]*Table2[[#This Row],[Quantity]]</f>
        <v>152.94</v>
      </c>
      <c r="L917" s="8">
        <f>Table2[[#This Row],[Gross Sales]]-Table2[[#This Row],[COGS]]</f>
        <v>60</v>
      </c>
      <c r="M917" s="9">
        <f t="shared" si="14"/>
        <v>0.28176951253874333</v>
      </c>
      <c r="N917" s="7">
        <v>10.647</v>
      </c>
      <c r="O917" s="7">
        <v>223.58699999999999</v>
      </c>
      <c r="P917" s="10">
        <v>43498</v>
      </c>
      <c r="Q917" s="10" t="str">
        <f>TEXT(Table2[[#This Row],[Date]],"mmm")</f>
        <v>Feb</v>
      </c>
      <c r="R917" s="11">
        <v>0.52777777777777779</v>
      </c>
      <c r="S917" s="6" t="s">
        <v>33</v>
      </c>
      <c r="T917" s="7">
        <v>4.0999999999999996</v>
      </c>
      <c r="U917" s="6">
        <f>IF(_xlfn.XLOOKUP(A917,[1]Data2!$A:$A,[1]Data2!$B:$B,"no")="yes",1,0)</f>
        <v>0</v>
      </c>
    </row>
    <row r="918" spans="1:21" s="6" customFormat="1" x14ac:dyDescent="0.3">
      <c r="A918" s="6" t="s">
        <v>956</v>
      </c>
      <c r="B918" s="6" t="s">
        <v>29</v>
      </c>
      <c r="C918" s="6" t="s">
        <v>30</v>
      </c>
      <c r="D918" s="6" t="s">
        <v>24</v>
      </c>
      <c r="E918" s="6" t="s">
        <v>35</v>
      </c>
      <c r="F918" s="6" t="s">
        <v>40</v>
      </c>
      <c r="G918" s="7">
        <f>Table2[[#This Row],[Unit price]]-10</f>
        <v>32.85</v>
      </c>
      <c r="H918" s="7">
        <v>42.85</v>
      </c>
      <c r="I918" s="8">
        <v>1</v>
      </c>
      <c r="J918" s="8">
        <f>Table2[[#This Row],[Unit price]]*Table2[[#This Row],[Quantity]]</f>
        <v>42.85</v>
      </c>
      <c r="K918" s="8">
        <f>Table2[[#This Row],[Unit Cost]]*Table2[[#This Row],[Quantity]]</f>
        <v>32.85</v>
      </c>
      <c r="L918" s="8">
        <f>Table2[[#This Row],[Gross Sales]]-Table2[[#This Row],[COGS]]</f>
        <v>10</v>
      </c>
      <c r="M918" s="9">
        <f t="shared" si="14"/>
        <v>0.23337222870478413</v>
      </c>
      <c r="N918" s="7">
        <v>2.1425000000000001</v>
      </c>
      <c r="O918" s="7">
        <v>44.9925</v>
      </c>
      <c r="P918" s="10">
        <v>43538</v>
      </c>
      <c r="Q918" s="10" t="str">
        <f>TEXT(Table2[[#This Row],[Date]],"mmm")</f>
        <v>Mar</v>
      </c>
      <c r="R918" s="11">
        <v>0.65</v>
      </c>
      <c r="S918" s="6" t="s">
        <v>37</v>
      </c>
      <c r="T918" s="7">
        <v>9.3000000000000007</v>
      </c>
      <c r="U918" s="6">
        <f>IF(_xlfn.XLOOKUP(A918,[1]Data2!$A:$A,[1]Data2!$B:$B,"no")="yes",1,0)</f>
        <v>1</v>
      </c>
    </row>
    <row r="919" spans="1:21" s="6" customFormat="1" x14ac:dyDescent="0.3">
      <c r="A919" s="6" t="s">
        <v>957</v>
      </c>
      <c r="B919" s="6" t="s">
        <v>22</v>
      </c>
      <c r="C919" s="6" t="s">
        <v>23</v>
      </c>
      <c r="D919" s="6" t="s">
        <v>31</v>
      </c>
      <c r="E919" s="6" t="s">
        <v>25</v>
      </c>
      <c r="F919" s="6" t="s">
        <v>50</v>
      </c>
      <c r="G919" s="7">
        <f>Table2[[#This Row],[Unit price]]-10</f>
        <v>84.67</v>
      </c>
      <c r="H919" s="7">
        <v>94.67</v>
      </c>
      <c r="I919" s="8">
        <v>4</v>
      </c>
      <c r="J919" s="8">
        <f>Table2[[#This Row],[Unit price]]*Table2[[#This Row],[Quantity]]</f>
        <v>378.68</v>
      </c>
      <c r="K919" s="8">
        <f>Table2[[#This Row],[Unit Cost]]*Table2[[#This Row],[Quantity]]</f>
        <v>338.68</v>
      </c>
      <c r="L919" s="8">
        <f>Table2[[#This Row],[Gross Sales]]-Table2[[#This Row],[COGS]]</f>
        <v>40</v>
      </c>
      <c r="M919" s="9">
        <f t="shared" si="14"/>
        <v>0.10563008344776592</v>
      </c>
      <c r="N919" s="7">
        <v>18.934000000000001</v>
      </c>
      <c r="O919" s="7">
        <v>397.61399999999998</v>
      </c>
      <c r="P919" s="10">
        <v>43535</v>
      </c>
      <c r="Q919" s="10" t="str">
        <f>TEXT(Table2[[#This Row],[Date]],"mmm")</f>
        <v>Mar</v>
      </c>
      <c r="R919" s="11">
        <v>0.50277777777777777</v>
      </c>
      <c r="S919" s="6" t="s">
        <v>33</v>
      </c>
      <c r="T919" s="7">
        <v>6.8</v>
      </c>
      <c r="U919" s="6">
        <f>IF(_xlfn.XLOOKUP(A919,[1]Data2!$A:$A,[1]Data2!$B:$B,"no")="yes",1,0)</f>
        <v>0</v>
      </c>
    </row>
    <row r="920" spans="1:21" s="6" customFormat="1" x14ac:dyDescent="0.3">
      <c r="A920" s="6" t="s">
        <v>958</v>
      </c>
      <c r="B920" s="6" t="s">
        <v>46</v>
      </c>
      <c r="C920" s="6" t="s">
        <v>47</v>
      </c>
      <c r="D920" s="6" t="s">
        <v>31</v>
      </c>
      <c r="E920" s="6" t="s">
        <v>35</v>
      </c>
      <c r="F920" s="6" t="s">
        <v>36</v>
      </c>
      <c r="G920" s="7">
        <f>Table2[[#This Row],[Unit price]]-10</f>
        <v>58.97</v>
      </c>
      <c r="H920" s="7">
        <v>68.97</v>
      </c>
      <c r="I920" s="8">
        <v>3</v>
      </c>
      <c r="J920" s="8">
        <f>Table2[[#This Row],[Unit price]]*Table2[[#This Row],[Quantity]]</f>
        <v>206.91</v>
      </c>
      <c r="K920" s="8">
        <f>Table2[[#This Row],[Unit Cost]]*Table2[[#This Row],[Quantity]]</f>
        <v>176.91</v>
      </c>
      <c r="L920" s="8">
        <f>Table2[[#This Row],[Gross Sales]]-Table2[[#This Row],[COGS]]</f>
        <v>30</v>
      </c>
      <c r="M920" s="9">
        <f t="shared" si="14"/>
        <v>0.14499057561258519</v>
      </c>
      <c r="N920" s="7">
        <v>10.345499999999999</v>
      </c>
      <c r="O920" s="7">
        <v>217.25550000000001</v>
      </c>
      <c r="P920" s="10">
        <v>43518</v>
      </c>
      <c r="Q920" s="10" t="str">
        <f>TEXT(Table2[[#This Row],[Date]],"mmm")</f>
        <v>Feb</v>
      </c>
      <c r="R920" s="11">
        <v>0.47638888888888892</v>
      </c>
      <c r="S920" s="6" t="s">
        <v>27</v>
      </c>
      <c r="T920" s="7">
        <v>8.6999999999999993</v>
      </c>
      <c r="U920" s="6">
        <f>IF(_xlfn.XLOOKUP(A920,[1]Data2!$A:$A,[1]Data2!$B:$B,"no")="yes",1,0)</f>
        <v>0</v>
      </c>
    </row>
    <row r="921" spans="1:21" s="6" customFormat="1" x14ac:dyDescent="0.3">
      <c r="A921" s="6" t="s">
        <v>959</v>
      </c>
      <c r="B921" s="6" t="s">
        <v>46</v>
      </c>
      <c r="C921" s="6" t="s">
        <v>47</v>
      </c>
      <c r="D921" s="6" t="s">
        <v>24</v>
      </c>
      <c r="E921" s="6" t="s">
        <v>25</v>
      </c>
      <c r="F921" s="6" t="s">
        <v>32</v>
      </c>
      <c r="G921" s="7">
        <f>Table2[[#This Row],[Unit price]]-10</f>
        <v>16.260000000000002</v>
      </c>
      <c r="H921" s="7">
        <v>26.26</v>
      </c>
      <c r="I921" s="8">
        <v>3</v>
      </c>
      <c r="J921" s="8">
        <f>Table2[[#This Row],[Unit price]]*Table2[[#This Row],[Quantity]]</f>
        <v>78.78</v>
      </c>
      <c r="K921" s="8">
        <f>Table2[[#This Row],[Unit Cost]]*Table2[[#This Row],[Quantity]]</f>
        <v>48.78</v>
      </c>
      <c r="L921" s="8">
        <f>Table2[[#This Row],[Gross Sales]]-Table2[[#This Row],[COGS]]</f>
        <v>30</v>
      </c>
      <c r="M921" s="9">
        <f t="shared" si="14"/>
        <v>0.38080731150038083</v>
      </c>
      <c r="N921" s="7">
        <v>3.9390000000000001</v>
      </c>
      <c r="O921" s="7">
        <v>82.718999999999994</v>
      </c>
      <c r="P921" s="10">
        <v>43526</v>
      </c>
      <c r="Q921" s="10" t="str">
        <f>TEXT(Table2[[#This Row],[Date]],"mmm")</f>
        <v>Mar</v>
      </c>
      <c r="R921" s="11">
        <v>0.52500000000000002</v>
      </c>
      <c r="S921" s="6" t="s">
        <v>27</v>
      </c>
      <c r="T921" s="7">
        <v>6.3</v>
      </c>
      <c r="U921" s="6">
        <f>IF(_xlfn.XLOOKUP(A921,[1]Data2!$A:$A,[1]Data2!$B:$B,"no")="yes",1,0)</f>
        <v>0</v>
      </c>
    </row>
    <row r="922" spans="1:21" s="6" customFormat="1" x14ac:dyDescent="0.3">
      <c r="A922" s="6" t="s">
        <v>960</v>
      </c>
      <c r="B922" s="6" t="s">
        <v>29</v>
      </c>
      <c r="C922" s="6" t="s">
        <v>30</v>
      </c>
      <c r="D922" s="6" t="s">
        <v>24</v>
      </c>
      <c r="E922" s="6" t="s">
        <v>25</v>
      </c>
      <c r="F922" s="6" t="s">
        <v>36</v>
      </c>
      <c r="G922" s="7">
        <f>Table2[[#This Row],[Unit price]]-10</f>
        <v>25.79</v>
      </c>
      <c r="H922" s="7">
        <v>35.79</v>
      </c>
      <c r="I922" s="8">
        <v>9</v>
      </c>
      <c r="J922" s="8">
        <f>Table2[[#This Row],[Unit price]]*Table2[[#This Row],[Quantity]]</f>
        <v>322.11</v>
      </c>
      <c r="K922" s="8">
        <f>Table2[[#This Row],[Unit Cost]]*Table2[[#This Row],[Quantity]]</f>
        <v>232.10999999999999</v>
      </c>
      <c r="L922" s="8">
        <f>Table2[[#This Row],[Gross Sales]]-Table2[[#This Row],[COGS]]</f>
        <v>90.000000000000028</v>
      </c>
      <c r="M922" s="9">
        <f t="shared" si="14"/>
        <v>0.27940765576976817</v>
      </c>
      <c r="N922" s="7">
        <v>16.105499999999999</v>
      </c>
      <c r="O922" s="7">
        <v>338.21550000000002</v>
      </c>
      <c r="P922" s="10">
        <v>43534</v>
      </c>
      <c r="Q922" s="10" t="str">
        <f>TEXT(Table2[[#This Row],[Date]],"mmm")</f>
        <v>Mar</v>
      </c>
      <c r="R922" s="11">
        <v>0.62916666666666665</v>
      </c>
      <c r="S922" s="6" t="s">
        <v>37</v>
      </c>
      <c r="T922" s="7">
        <v>5.0999999999999996</v>
      </c>
      <c r="U922" s="6">
        <f>IF(_xlfn.XLOOKUP(A922,[1]Data2!$A:$A,[1]Data2!$B:$B,"no")="yes",1,0)</f>
        <v>1</v>
      </c>
    </row>
    <row r="923" spans="1:21" s="6" customFormat="1" x14ac:dyDescent="0.3">
      <c r="A923" s="6" t="s">
        <v>961</v>
      </c>
      <c r="B923" s="6" t="s">
        <v>46</v>
      </c>
      <c r="C923" s="6" t="s">
        <v>47</v>
      </c>
      <c r="D923" s="6" t="s">
        <v>31</v>
      </c>
      <c r="E923" s="6" t="s">
        <v>25</v>
      </c>
      <c r="F923" s="6" t="s">
        <v>36</v>
      </c>
      <c r="G923" s="7">
        <f>Table2[[#This Row],[Unit price]]-10</f>
        <v>6.370000000000001</v>
      </c>
      <c r="H923" s="7">
        <v>16.37</v>
      </c>
      <c r="I923" s="8">
        <v>6</v>
      </c>
      <c r="J923" s="8">
        <f>Table2[[#This Row],[Unit price]]*Table2[[#This Row],[Quantity]]</f>
        <v>98.22</v>
      </c>
      <c r="K923" s="8">
        <f>Table2[[#This Row],[Unit Cost]]*Table2[[#This Row],[Quantity]]</f>
        <v>38.220000000000006</v>
      </c>
      <c r="L923" s="8">
        <f>Table2[[#This Row],[Gross Sales]]-Table2[[#This Row],[COGS]]</f>
        <v>59.999999999999993</v>
      </c>
      <c r="M923" s="9">
        <f t="shared" si="14"/>
        <v>0.61087354917532066</v>
      </c>
      <c r="N923" s="7">
        <v>4.9109999999999996</v>
      </c>
      <c r="O923" s="7">
        <v>103.131</v>
      </c>
      <c r="P923" s="10">
        <v>43504</v>
      </c>
      <c r="Q923" s="10" t="str">
        <f>TEXT(Table2[[#This Row],[Date]],"mmm")</f>
        <v>Feb</v>
      </c>
      <c r="R923" s="11">
        <v>0.45694444444444443</v>
      </c>
      <c r="S923" s="6" t="s">
        <v>33</v>
      </c>
      <c r="T923" s="7">
        <v>7</v>
      </c>
      <c r="U923" s="6">
        <f>IF(_xlfn.XLOOKUP(A923,[1]Data2!$A:$A,[1]Data2!$B:$B,"no")="yes",1,0)</f>
        <v>0</v>
      </c>
    </row>
    <row r="924" spans="1:21" s="6" customFormat="1" x14ac:dyDescent="0.3">
      <c r="A924" s="6" t="s">
        <v>962</v>
      </c>
      <c r="B924" s="6" t="s">
        <v>29</v>
      </c>
      <c r="C924" s="6" t="s">
        <v>30</v>
      </c>
      <c r="D924" s="6" t="s">
        <v>24</v>
      </c>
      <c r="E924" s="6" t="s">
        <v>25</v>
      </c>
      <c r="F924" s="6" t="s">
        <v>36</v>
      </c>
      <c r="G924" s="7">
        <f>Table2[[#This Row],[Unit price]]-10</f>
        <v>2.7300000000000004</v>
      </c>
      <c r="H924" s="7">
        <v>12.73</v>
      </c>
      <c r="I924" s="8">
        <v>2</v>
      </c>
      <c r="J924" s="8">
        <f>Table2[[#This Row],[Unit price]]*Table2[[#This Row],[Quantity]]</f>
        <v>25.46</v>
      </c>
      <c r="K924" s="8">
        <f>Table2[[#This Row],[Unit Cost]]*Table2[[#This Row],[Quantity]]</f>
        <v>5.4600000000000009</v>
      </c>
      <c r="L924" s="8">
        <f>Table2[[#This Row],[Gross Sales]]-Table2[[#This Row],[COGS]]</f>
        <v>20</v>
      </c>
      <c r="M924" s="9">
        <f t="shared" si="14"/>
        <v>0.78554595443833464</v>
      </c>
      <c r="N924" s="7">
        <v>1.2729999999999999</v>
      </c>
      <c r="O924" s="7">
        <v>26.733000000000001</v>
      </c>
      <c r="P924" s="10">
        <v>43518</v>
      </c>
      <c r="Q924" s="10" t="str">
        <f>TEXT(Table2[[#This Row],[Date]],"mmm")</f>
        <v>Feb</v>
      </c>
      <c r="R924" s="11">
        <v>0.50694444444444442</v>
      </c>
      <c r="S924" s="6" t="s">
        <v>37</v>
      </c>
      <c r="T924" s="7">
        <v>5.2</v>
      </c>
      <c r="U924" s="6">
        <f>IF(_xlfn.XLOOKUP(A924,[1]Data2!$A:$A,[1]Data2!$B:$B,"no")="yes",1,0)</f>
        <v>0</v>
      </c>
    </row>
    <row r="925" spans="1:21" s="6" customFormat="1" x14ac:dyDescent="0.3">
      <c r="A925" s="6" t="s">
        <v>963</v>
      </c>
      <c r="B925" s="6" t="s">
        <v>29</v>
      </c>
      <c r="C925" s="6" t="s">
        <v>30</v>
      </c>
      <c r="D925" s="6" t="s">
        <v>31</v>
      </c>
      <c r="E925" s="6" t="s">
        <v>25</v>
      </c>
      <c r="F925" s="6" t="s">
        <v>40</v>
      </c>
      <c r="G925" s="7">
        <f>Table2[[#This Row],[Unit price]]-10</f>
        <v>73.14</v>
      </c>
      <c r="H925" s="7">
        <v>83.14</v>
      </c>
      <c r="I925" s="8">
        <v>7</v>
      </c>
      <c r="J925" s="8">
        <f>Table2[[#This Row],[Unit price]]*Table2[[#This Row],[Quantity]]</f>
        <v>581.98</v>
      </c>
      <c r="K925" s="8">
        <f>Table2[[#This Row],[Unit Cost]]*Table2[[#This Row],[Quantity]]</f>
        <v>511.98</v>
      </c>
      <c r="L925" s="8">
        <f>Table2[[#This Row],[Gross Sales]]-Table2[[#This Row],[COGS]]</f>
        <v>70</v>
      </c>
      <c r="M925" s="9">
        <f t="shared" si="14"/>
        <v>0.12027904738994467</v>
      </c>
      <c r="N925" s="7">
        <v>29.099</v>
      </c>
      <c r="O925" s="7">
        <v>611.07899999999995</v>
      </c>
      <c r="P925" s="10">
        <v>43475</v>
      </c>
      <c r="Q925" s="10" t="str">
        <f>TEXT(Table2[[#This Row],[Date]],"mmm")</f>
        <v>Jan</v>
      </c>
      <c r="R925" s="11">
        <v>0.4381944444444445</v>
      </c>
      <c r="S925" s="6" t="s">
        <v>37</v>
      </c>
      <c r="T925" s="7">
        <v>6.6</v>
      </c>
      <c r="U925" s="6">
        <f>IF(_xlfn.XLOOKUP(A925,[1]Data2!$A:$A,[1]Data2!$B:$B,"no")="yes",1,0)</f>
        <v>0</v>
      </c>
    </row>
    <row r="926" spans="1:21" s="6" customFormat="1" x14ac:dyDescent="0.3">
      <c r="A926" s="6" t="s">
        <v>964</v>
      </c>
      <c r="B926" s="6" t="s">
        <v>29</v>
      </c>
      <c r="C926" s="6" t="s">
        <v>30</v>
      </c>
      <c r="D926" s="6" t="s">
        <v>24</v>
      </c>
      <c r="E926" s="6" t="s">
        <v>25</v>
      </c>
      <c r="F926" s="6" t="s">
        <v>40</v>
      </c>
      <c r="G926" s="7">
        <f>Table2[[#This Row],[Unit price]]-10</f>
        <v>25.22</v>
      </c>
      <c r="H926" s="7">
        <v>35.22</v>
      </c>
      <c r="I926" s="8">
        <v>6</v>
      </c>
      <c r="J926" s="8">
        <f>Table2[[#This Row],[Unit price]]*Table2[[#This Row],[Quantity]]</f>
        <v>211.32</v>
      </c>
      <c r="K926" s="8">
        <f>Table2[[#This Row],[Unit Cost]]*Table2[[#This Row],[Quantity]]</f>
        <v>151.32</v>
      </c>
      <c r="L926" s="8">
        <f>Table2[[#This Row],[Gross Sales]]-Table2[[#This Row],[COGS]]</f>
        <v>60</v>
      </c>
      <c r="M926" s="9">
        <f t="shared" si="14"/>
        <v>0.28392958546280522</v>
      </c>
      <c r="N926" s="7">
        <v>10.566000000000001</v>
      </c>
      <c r="O926" s="7">
        <v>221.886</v>
      </c>
      <c r="P926" s="10">
        <v>43538</v>
      </c>
      <c r="Q926" s="10" t="str">
        <f>TEXT(Table2[[#This Row],[Date]],"mmm")</f>
        <v>Mar</v>
      </c>
      <c r="R926" s="11">
        <v>0.5756944444444444</v>
      </c>
      <c r="S926" s="6" t="s">
        <v>27</v>
      </c>
      <c r="T926" s="7">
        <v>6.5</v>
      </c>
      <c r="U926" s="6">
        <f>IF(_xlfn.XLOOKUP(A926,[1]Data2!$A:$A,[1]Data2!$B:$B,"no")="yes",1,0)</f>
        <v>1</v>
      </c>
    </row>
    <row r="927" spans="1:21" s="6" customFormat="1" x14ac:dyDescent="0.3">
      <c r="A927" s="6" t="s">
        <v>965</v>
      </c>
      <c r="B927" s="6" t="s">
        <v>46</v>
      </c>
      <c r="C927" s="6" t="s">
        <v>47</v>
      </c>
      <c r="D927" s="6" t="s">
        <v>31</v>
      </c>
      <c r="E927" s="6" t="s">
        <v>25</v>
      </c>
      <c r="F927" s="6" t="s">
        <v>32</v>
      </c>
      <c r="G927" s="7">
        <f>Table2[[#This Row],[Unit price]]-10</f>
        <v>3.7799999999999994</v>
      </c>
      <c r="H927" s="7">
        <v>13.78</v>
      </c>
      <c r="I927" s="8">
        <v>4</v>
      </c>
      <c r="J927" s="8">
        <f>Table2[[#This Row],[Unit price]]*Table2[[#This Row],[Quantity]]</f>
        <v>55.12</v>
      </c>
      <c r="K927" s="8">
        <f>Table2[[#This Row],[Unit Cost]]*Table2[[#This Row],[Quantity]]</f>
        <v>15.119999999999997</v>
      </c>
      <c r="L927" s="8">
        <f>Table2[[#This Row],[Gross Sales]]-Table2[[#This Row],[COGS]]</f>
        <v>40</v>
      </c>
      <c r="M927" s="9">
        <f t="shared" si="14"/>
        <v>0.72568940493468803</v>
      </c>
      <c r="N927" s="7">
        <v>2.7559999999999998</v>
      </c>
      <c r="O927" s="7">
        <v>57.875999999999998</v>
      </c>
      <c r="P927" s="10">
        <v>43475</v>
      </c>
      <c r="Q927" s="10" t="str">
        <f>TEXT(Table2[[#This Row],[Date]],"mmm")</f>
        <v>Jan</v>
      </c>
      <c r="R927" s="11">
        <v>0.46527777777777773</v>
      </c>
      <c r="S927" s="6" t="s">
        <v>27</v>
      </c>
      <c r="T927" s="7">
        <v>9</v>
      </c>
      <c r="U927" s="6">
        <f>IF(_xlfn.XLOOKUP(A927,[1]Data2!$A:$A,[1]Data2!$B:$B,"no")="yes",1,0)</f>
        <v>0</v>
      </c>
    </row>
    <row r="928" spans="1:21" s="6" customFormat="1" x14ac:dyDescent="0.3">
      <c r="A928" s="6" t="s">
        <v>966</v>
      </c>
      <c r="B928" s="6" t="s">
        <v>46</v>
      </c>
      <c r="C928" s="6" t="s">
        <v>47</v>
      </c>
      <c r="D928" s="6" t="s">
        <v>24</v>
      </c>
      <c r="E928" s="6" t="s">
        <v>35</v>
      </c>
      <c r="F928" s="6" t="s">
        <v>40</v>
      </c>
      <c r="G928" s="7">
        <f>Table2[[#This Row],[Unit price]]-10</f>
        <v>78.31</v>
      </c>
      <c r="H928" s="7">
        <v>88.31</v>
      </c>
      <c r="I928" s="8">
        <v>1</v>
      </c>
      <c r="J928" s="8">
        <f>Table2[[#This Row],[Unit price]]*Table2[[#This Row],[Quantity]]</f>
        <v>88.31</v>
      </c>
      <c r="K928" s="8">
        <f>Table2[[#This Row],[Unit Cost]]*Table2[[#This Row],[Quantity]]</f>
        <v>78.31</v>
      </c>
      <c r="L928" s="8">
        <f>Table2[[#This Row],[Gross Sales]]-Table2[[#This Row],[COGS]]</f>
        <v>10</v>
      </c>
      <c r="M928" s="9">
        <f t="shared" si="14"/>
        <v>0.11323745895142112</v>
      </c>
      <c r="N928" s="7">
        <v>4.4154999999999998</v>
      </c>
      <c r="O928" s="7">
        <v>92.725499999999997</v>
      </c>
      <c r="P928" s="10">
        <v>43511</v>
      </c>
      <c r="Q928" s="10" t="str">
        <f>TEXT(Table2[[#This Row],[Date]],"mmm")</f>
        <v>Feb</v>
      </c>
      <c r="R928" s="11">
        <v>0.73472222222222217</v>
      </c>
      <c r="S928" s="6" t="s">
        <v>37</v>
      </c>
      <c r="T928" s="7">
        <v>5.2</v>
      </c>
      <c r="U928" s="6">
        <f>IF(_xlfn.XLOOKUP(A928,[1]Data2!$A:$A,[1]Data2!$B:$B,"no")="yes",1,0)</f>
        <v>0</v>
      </c>
    </row>
    <row r="929" spans="1:21" s="6" customFormat="1" x14ac:dyDescent="0.3">
      <c r="A929" s="6" t="s">
        <v>967</v>
      </c>
      <c r="B929" s="6" t="s">
        <v>22</v>
      </c>
      <c r="C929" s="6" t="s">
        <v>23</v>
      </c>
      <c r="D929" s="6" t="s">
        <v>24</v>
      </c>
      <c r="E929" s="6" t="s">
        <v>25</v>
      </c>
      <c r="F929" s="6" t="s">
        <v>26</v>
      </c>
      <c r="G929" s="7">
        <f>Table2[[#This Row],[Unit price]]-10</f>
        <v>29.619999999999997</v>
      </c>
      <c r="H929" s="7">
        <v>39.619999999999997</v>
      </c>
      <c r="I929" s="8">
        <v>9</v>
      </c>
      <c r="J929" s="8">
        <f>Table2[[#This Row],[Unit price]]*Table2[[#This Row],[Quantity]]</f>
        <v>356.58</v>
      </c>
      <c r="K929" s="8">
        <f>Table2[[#This Row],[Unit Cost]]*Table2[[#This Row],[Quantity]]</f>
        <v>266.58</v>
      </c>
      <c r="L929" s="8">
        <f>Table2[[#This Row],[Gross Sales]]-Table2[[#This Row],[COGS]]</f>
        <v>90</v>
      </c>
      <c r="M929" s="9">
        <f t="shared" si="14"/>
        <v>0.25239777889954568</v>
      </c>
      <c r="N929" s="7">
        <v>17.829000000000001</v>
      </c>
      <c r="O929" s="7">
        <v>374.40899999999999</v>
      </c>
      <c r="P929" s="10">
        <v>43478</v>
      </c>
      <c r="Q929" s="10" t="str">
        <f>TEXT(Table2[[#This Row],[Date]],"mmm")</f>
        <v>Jan</v>
      </c>
      <c r="R929" s="11">
        <v>0.74583333333333324</v>
      </c>
      <c r="S929" s="6" t="s">
        <v>37</v>
      </c>
      <c r="T929" s="7">
        <v>6.8</v>
      </c>
      <c r="U929" s="6">
        <f>IF(_xlfn.XLOOKUP(A929,[1]Data2!$A:$A,[1]Data2!$B:$B,"no")="yes",1,0)</f>
        <v>0</v>
      </c>
    </row>
    <row r="930" spans="1:21" s="6" customFormat="1" x14ac:dyDescent="0.3">
      <c r="A930" s="6" t="s">
        <v>968</v>
      </c>
      <c r="B930" s="6" t="s">
        <v>46</v>
      </c>
      <c r="C930" s="6" t="s">
        <v>47</v>
      </c>
      <c r="D930" s="6" t="s">
        <v>31</v>
      </c>
      <c r="E930" s="6" t="s">
        <v>25</v>
      </c>
      <c r="F930" s="6" t="s">
        <v>32</v>
      </c>
      <c r="G930" s="7">
        <f>Table2[[#This Row],[Unit price]]-10</f>
        <v>78.25</v>
      </c>
      <c r="H930" s="7">
        <v>88.25</v>
      </c>
      <c r="I930" s="8">
        <v>9</v>
      </c>
      <c r="J930" s="8">
        <f>Table2[[#This Row],[Unit price]]*Table2[[#This Row],[Quantity]]</f>
        <v>794.25</v>
      </c>
      <c r="K930" s="8">
        <f>Table2[[#This Row],[Unit Cost]]*Table2[[#This Row],[Quantity]]</f>
        <v>704.25</v>
      </c>
      <c r="L930" s="8">
        <f>Table2[[#This Row],[Gross Sales]]-Table2[[#This Row],[COGS]]</f>
        <v>90</v>
      </c>
      <c r="M930" s="9">
        <f t="shared" si="14"/>
        <v>0.11331444759206799</v>
      </c>
      <c r="N930" s="7">
        <v>39.712499999999999</v>
      </c>
      <c r="O930" s="7">
        <v>833.96249999999998</v>
      </c>
      <c r="P930" s="10">
        <v>43511</v>
      </c>
      <c r="Q930" s="10" t="str">
        <f>TEXT(Table2[[#This Row],[Date]],"mmm")</f>
        <v>Feb</v>
      </c>
      <c r="R930" s="11">
        <v>0.86875000000000002</v>
      </c>
      <c r="S930" s="6" t="s">
        <v>37</v>
      </c>
      <c r="T930" s="7">
        <v>7.6</v>
      </c>
      <c r="U930" s="6">
        <f>IF(_xlfn.XLOOKUP(A930,[1]Data2!$A:$A,[1]Data2!$B:$B,"no")="yes",1,0)</f>
        <v>1</v>
      </c>
    </row>
    <row r="931" spans="1:21" s="6" customFormat="1" x14ac:dyDescent="0.3">
      <c r="A931" s="6" t="s">
        <v>969</v>
      </c>
      <c r="B931" s="6" t="s">
        <v>46</v>
      </c>
      <c r="C931" s="6" t="s">
        <v>47</v>
      </c>
      <c r="D931" s="6" t="s">
        <v>31</v>
      </c>
      <c r="E931" s="6" t="s">
        <v>35</v>
      </c>
      <c r="F931" s="6" t="s">
        <v>40</v>
      </c>
      <c r="G931" s="7">
        <f>Table2[[#This Row],[Unit price]]-10</f>
        <v>15.309999999999999</v>
      </c>
      <c r="H931" s="7">
        <v>25.31</v>
      </c>
      <c r="I931" s="8">
        <v>2</v>
      </c>
      <c r="J931" s="8">
        <f>Table2[[#This Row],[Unit price]]*Table2[[#This Row],[Quantity]]</f>
        <v>50.62</v>
      </c>
      <c r="K931" s="8">
        <f>Table2[[#This Row],[Unit Cost]]*Table2[[#This Row],[Quantity]]</f>
        <v>30.619999999999997</v>
      </c>
      <c r="L931" s="8">
        <f>Table2[[#This Row],[Gross Sales]]-Table2[[#This Row],[COGS]]</f>
        <v>20</v>
      </c>
      <c r="M931" s="9">
        <f t="shared" si="14"/>
        <v>0.39510075069142636</v>
      </c>
      <c r="N931" s="7">
        <v>2.5310000000000001</v>
      </c>
      <c r="O931" s="7">
        <v>53.151000000000003</v>
      </c>
      <c r="P931" s="10">
        <v>43526</v>
      </c>
      <c r="Q931" s="10" t="str">
        <f>TEXT(Table2[[#This Row],[Date]],"mmm")</f>
        <v>Mar</v>
      </c>
      <c r="R931" s="11">
        <v>0.80972222222222223</v>
      </c>
      <c r="S931" s="6" t="s">
        <v>27</v>
      </c>
      <c r="T931" s="7">
        <v>7.2</v>
      </c>
      <c r="U931" s="6">
        <f>IF(_xlfn.XLOOKUP(A931,[1]Data2!$A:$A,[1]Data2!$B:$B,"no")="yes",1,0)</f>
        <v>0</v>
      </c>
    </row>
    <row r="932" spans="1:21" s="6" customFormat="1" x14ac:dyDescent="0.3">
      <c r="A932" s="6" t="s">
        <v>970</v>
      </c>
      <c r="B932" s="6" t="s">
        <v>46</v>
      </c>
      <c r="C932" s="6" t="s">
        <v>47</v>
      </c>
      <c r="D932" s="6" t="s">
        <v>31</v>
      </c>
      <c r="E932" s="6" t="s">
        <v>35</v>
      </c>
      <c r="F932" s="6" t="s">
        <v>36</v>
      </c>
      <c r="G932" s="7">
        <f>Table2[[#This Row],[Unit price]]-10</f>
        <v>89.92</v>
      </c>
      <c r="H932" s="7">
        <v>99.92</v>
      </c>
      <c r="I932" s="8">
        <v>6</v>
      </c>
      <c r="J932" s="8">
        <f>Table2[[#This Row],[Unit price]]*Table2[[#This Row],[Quantity]]</f>
        <v>599.52</v>
      </c>
      <c r="K932" s="8">
        <f>Table2[[#This Row],[Unit Cost]]*Table2[[#This Row],[Quantity]]</f>
        <v>539.52</v>
      </c>
      <c r="L932" s="8">
        <f>Table2[[#This Row],[Gross Sales]]-Table2[[#This Row],[COGS]]</f>
        <v>60</v>
      </c>
      <c r="M932" s="9">
        <f t="shared" si="14"/>
        <v>0.10008006405124099</v>
      </c>
      <c r="N932" s="7">
        <v>29.975999999999999</v>
      </c>
      <c r="O932" s="7">
        <v>629.49599999999998</v>
      </c>
      <c r="P932" s="10">
        <v>43548</v>
      </c>
      <c r="Q932" s="10" t="str">
        <f>TEXT(Table2[[#This Row],[Date]],"mmm")</f>
        <v>Mar</v>
      </c>
      <c r="R932" s="11">
        <v>0.56458333333333333</v>
      </c>
      <c r="S932" s="6" t="s">
        <v>27</v>
      </c>
      <c r="T932" s="7">
        <v>7.1</v>
      </c>
      <c r="U932" s="6">
        <f>IF(_xlfn.XLOOKUP(A932,[1]Data2!$A:$A,[1]Data2!$B:$B,"no")="yes",1,0)</f>
        <v>0</v>
      </c>
    </row>
    <row r="933" spans="1:21" s="6" customFormat="1" x14ac:dyDescent="0.3">
      <c r="A933" s="6" t="s">
        <v>971</v>
      </c>
      <c r="B933" s="6" t="s">
        <v>29</v>
      </c>
      <c r="C933" s="6" t="s">
        <v>30</v>
      </c>
      <c r="D933" s="6" t="s">
        <v>24</v>
      </c>
      <c r="E933" s="6" t="s">
        <v>25</v>
      </c>
      <c r="F933" s="6" t="s">
        <v>50</v>
      </c>
      <c r="G933" s="7">
        <f>Table2[[#This Row],[Unit price]]-10</f>
        <v>73.349999999999994</v>
      </c>
      <c r="H933" s="7">
        <v>83.35</v>
      </c>
      <c r="I933" s="8">
        <v>2</v>
      </c>
      <c r="J933" s="8">
        <f>Table2[[#This Row],[Unit price]]*Table2[[#This Row],[Quantity]]</f>
        <v>166.7</v>
      </c>
      <c r="K933" s="8">
        <f>Table2[[#This Row],[Unit Cost]]*Table2[[#This Row],[Quantity]]</f>
        <v>146.69999999999999</v>
      </c>
      <c r="L933" s="8">
        <f>Table2[[#This Row],[Gross Sales]]-Table2[[#This Row],[COGS]]</f>
        <v>20</v>
      </c>
      <c r="M933" s="9">
        <f t="shared" si="14"/>
        <v>0.11997600479904021</v>
      </c>
      <c r="N933" s="7">
        <v>8.3350000000000009</v>
      </c>
      <c r="O933" s="7">
        <v>175.035</v>
      </c>
      <c r="P933" s="10">
        <v>43498</v>
      </c>
      <c r="Q933" s="10" t="str">
        <f>TEXT(Table2[[#This Row],[Date]],"mmm")</f>
        <v>Feb</v>
      </c>
      <c r="R933" s="11">
        <v>0.58680555555555558</v>
      </c>
      <c r="S933" s="6" t="s">
        <v>37</v>
      </c>
      <c r="T933" s="7">
        <v>9.5</v>
      </c>
      <c r="U933" s="6">
        <f>IF(_xlfn.XLOOKUP(A933,[1]Data2!$A:$A,[1]Data2!$B:$B,"no")="yes",1,0)</f>
        <v>0</v>
      </c>
    </row>
    <row r="934" spans="1:21" s="6" customFormat="1" x14ac:dyDescent="0.3">
      <c r="A934" s="6" t="s">
        <v>972</v>
      </c>
      <c r="B934" s="6" t="s">
        <v>22</v>
      </c>
      <c r="C934" s="6" t="s">
        <v>23</v>
      </c>
      <c r="D934" s="6" t="s">
        <v>31</v>
      </c>
      <c r="E934" s="6" t="s">
        <v>25</v>
      </c>
      <c r="F934" s="6" t="s">
        <v>48</v>
      </c>
      <c r="G934" s="7">
        <f>Table2[[#This Row],[Unit price]]-10</f>
        <v>64.44</v>
      </c>
      <c r="H934" s="7">
        <v>74.44</v>
      </c>
      <c r="I934" s="8">
        <v>10</v>
      </c>
      <c r="J934" s="8">
        <f>Table2[[#This Row],[Unit price]]*Table2[[#This Row],[Quantity]]</f>
        <v>744.4</v>
      </c>
      <c r="K934" s="8">
        <f>Table2[[#This Row],[Unit Cost]]*Table2[[#This Row],[Quantity]]</f>
        <v>644.4</v>
      </c>
      <c r="L934" s="8">
        <f>Table2[[#This Row],[Gross Sales]]-Table2[[#This Row],[COGS]]</f>
        <v>100</v>
      </c>
      <c r="M934" s="9">
        <f t="shared" si="14"/>
        <v>0.13433637829124126</v>
      </c>
      <c r="N934" s="7">
        <v>37.22</v>
      </c>
      <c r="O934" s="7">
        <v>781.62</v>
      </c>
      <c r="P934" s="10">
        <v>43523</v>
      </c>
      <c r="Q934" s="10" t="str">
        <f>TEXT(Table2[[#This Row],[Date]],"mmm")</f>
        <v>Feb</v>
      </c>
      <c r="R934" s="11">
        <v>0.4861111111111111</v>
      </c>
      <c r="S934" s="6" t="s">
        <v>27</v>
      </c>
      <c r="T934" s="7">
        <v>5.0999999999999996</v>
      </c>
      <c r="U934" s="6">
        <f>IF(_xlfn.XLOOKUP(A934,[1]Data2!$A:$A,[1]Data2!$B:$B,"no")="yes",1,0)</f>
        <v>1</v>
      </c>
    </row>
    <row r="935" spans="1:21" s="6" customFormat="1" x14ac:dyDescent="0.3">
      <c r="A935" s="6" t="s">
        <v>973</v>
      </c>
      <c r="B935" s="6" t="s">
        <v>29</v>
      </c>
      <c r="C935" s="6" t="s">
        <v>30</v>
      </c>
      <c r="D935" s="6" t="s">
        <v>31</v>
      </c>
      <c r="E935" s="6" t="s">
        <v>35</v>
      </c>
      <c r="F935" s="6" t="s">
        <v>26</v>
      </c>
      <c r="G935" s="7">
        <f>Table2[[#This Row],[Unit price]]-10</f>
        <v>54.08</v>
      </c>
      <c r="H935" s="7">
        <v>64.08</v>
      </c>
      <c r="I935" s="8">
        <v>7</v>
      </c>
      <c r="J935" s="8">
        <f>Table2[[#This Row],[Unit price]]*Table2[[#This Row],[Quantity]]</f>
        <v>448.56</v>
      </c>
      <c r="K935" s="8">
        <f>Table2[[#This Row],[Unit Cost]]*Table2[[#This Row],[Quantity]]</f>
        <v>378.56</v>
      </c>
      <c r="L935" s="8">
        <f>Table2[[#This Row],[Gross Sales]]-Table2[[#This Row],[COGS]]</f>
        <v>70</v>
      </c>
      <c r="M935" s="9">
        <f t="shared" si="14"/>
        <v>0.1560549313358302</v>
      </c>
      <c r="N935" s="7">
        <v>22.428000000000001</v>
      </c>
      <c r="O935" s="7">
        <v>470.988</v>
      </c>
      <c r="P935" s="10">
        <v>43485</v>
      </c>
      <c r="Q935" s="10" t="str">
        <f>TEXT(Table2[[#This Row],[Date]],"mmm")</f>
        <v>Jan</v>
      </c>
      <c r="R935" s="11">
        <v>0.51874999999999993</v>
      </c>
      <c r="S935" s="6" t="s">
        <v>27</v>
      </c>
      <c r="T935" s="7">
        <v>7.6</v>
      </c>
      <c r="U935" s="6">
        <f>IF(_xlfn.XLOOKUP(A935,[1]Data2!$A:$A,[1]Data2!$B:$B,"no")="yes",1,0)</f>
        <v>0</v>
      </c>
    </row>
    <row r="936" spans="1:21" s="6" customFormat="1" x14ac:dyDescent="0.3">
      <c r="A936" s="6" t="s">
        <v>974</v>
      </c>
      <c r="B936" s="6" t="s">
        <v>46</v>
      </c>
      <c r="C936" s="6" t="s">
        <v>47</v>
      </c>
      <c r="D936" s="6" t="s">
        <v>31</v>
      </c>
      <c r="E936" s="6" t="s">
        <v>25</v>
      </c>
      <c r="F936" s="6" t="s">
        <v>36</v>
      </c>
      <c r="G936" s="7">
        <f>Table2[[#This Row],[Unit price]]-10</f>
        <v>53.15</v>
      </c>
      <c r="H936" s="7">
        <v>63.15</v>
      </c>
      <c r="I936" s="8">
        <v>6</v>
      </c>
      <c r="J936" s="8">
        <f>Table2[[#This Row],[Unit price]]*Table2[[#This Row],[Quantity]]</f>
        <v>378.9</v>
      </c>
      <c r="K936" s="8">
        <f>Table2[[#This Row],[Unit Cost]]*Table2[[#This Row],[Quantity]]</f>
        <v>318.89999999999998</v>
      </c>
      <c r="L936" s="8">
        <f>Table2[[#This Row],[Gross Sales]]-Table2[[#This Row],[COGS]]</f>
        <v>60</v>
      </c>
      <c r="M936" s="9">
        <f t="shared" si="14"/>
        <v>0.15835312747426764</v>
      </c>
      <c r="N936" s="7">
        <v>18.945</v>
      </c>
      <c r="O936" s="7">
        <v>397.84500000000003</v>
      </c>
      <c r="P936" s="10">
        <v>43468</v>
      </c>
      <c r="Q936" s="10" t="str">
        <f>TEXT(Table2[[#This Row],[Date]],"mmm")</f>
        <v>Jan</v>
      </c>
      <c r="R936" s="11">
        <v>0.85</v>
      </c>
      <c r="S936" s="6" t="s">
        <v>27</v>
      </c>
      <c r="T936" s="7">
        <v>9.8000000000000007</v>
      </c>
      <c r="U936" s="6">
        <f>IF(_xlfn.XLOOKUP(A936,[1]Data2!$A:$A,[1]Data2!$B:$B,"no")="yes",1,0)</f>
        <v>0</v>
      </c>
    </row>
    <row r="937" spans="1:21" s="6" customFormat="1" x14ac:dyDescent="0.3">
      <c r="A937" s="6" t="s">
        <v>975</v>
      </c>
      <c r="B937" s="6" t="s">
        <v>29</v>
      </c>
      <c r="C937" s="6" t="s">
        <v>30</v>
      </c>
      <c r="D937" s="6" t="s">
        <v>24</v>
      </c>
      <c r="E937" s="6" t="s">
        <v>35</v>
      </c>
      <c r="F937" s="6" t="s">
        <v>36</v>
      </c>
      <c r="G937" s="7">
        <f>Table2[[#This Row],[Unit price]]-10</f>
        <v>75.72</v>
      </c>
      <c r="H937" s="7">
        <v>85.72</v>
      </c>
      <c r="I937" s="8">
        <v>3</v>
      </c>
      <c r="J937" s="8">
        <f>Table2[[#This Row],[Unit price]]*Table2[[#This Row],[Quantity]]</f>
        <v>257.15999999999997</v>
      </c>
      <c r="K937" s="8">
        <f>Table2[[#This Row],[Unit Cost]]*Table2[[#This Row],[Quantity]]</f>
        <v>227.16</v>
      </c>
      <c r="L937" s="8">
        <f>Table2[[#This Row],[Gross Sales]]-Table2[[#This Row],[COGS]]</f>
        <v>29.999999999999972</v>
      </c>
      <c r="M937" s="9">
        <f t="shared" si="14"/>
        <v>0.11665888940737275</v>
      </c>
      <c r="N937" s="7">
        <v>12.858000000000001</v>
      </c>
      <c r="O937" s="7">
        <v>270.01799999999997</v>
      </c>
      <c r="P937" s="10">
        <v>43489</v>
      </c>
      <c r="Q937" s="10" t="str">
        <f>TEXT(Table2[[#This Row],[Date]],"mmm")</f>
        <v>Jan</v>
      </c>
      <c r="R937" s="11">
        <v>0.87430555555555556</v>
      </c>
      <c r="S937" s="6" t="s">
        <v>27</v>
      </c>
      <c r="T937" s="7">
        <v>5.0999999999999996</v>
      </c>
      <c r="U937" s="6">
        <f>IF(_xlfn.XLOOKUP(A937,[1]Data2!$A:$A,[1]Data2!$B:$B,"no")="yes",1,0)</f>
        <v>0</v>
      </c>
    </row>
    <row r="938" spans="1:21" s="6" customFormat="1" x14ac:dyDescent="0.3">
      <c r="A938" s="6" t="s">
        <v>976</v>
      </c>
      <c r="B938" s="6" t="s">
        <v>29</v>
      </c>
      <c r="C938" s="6" t="s">
        <v>30</v>
      </c>
      <c r="D938" s="6" t="s">
        <v>31</v>
      </c>
      <c r="E938" s="6" t="s">
        <v>25</v>
      </c>
      <c r="F938" s="6" t="s">
        <v>26</v>
      </c>
      <c r="G938" s="7">
        <f>Table2[[#This Row],[Unit price]]-10</f>
        <v>68.89</v>
      </c>
      <c r="H938" s="7">
        <v>78.89</v>
      </c>
      <c r="I938" s="8">
        <v>7</v>
      </c>
      <c r="J938" s="8">
        <f>Table2[[#This Row],[Unit price]]*Table2[[#This Row],[Quantity]]</f>
        <v>552.23</v>
      </c>
      <c r="K938" s="8">
        <f>Table2[[#This Row],[Unit Cost]]*Table2[[#This Row],[Quantity]]</f>
        <v>482.23</v>
      </c>
      <c r="L938" s="8">
        <f>Table2[[#This Row],[Gross Sales]]-Table2[[#This Row],[COGS]]</f>
        <v>70</v>
      </c>
      <c r="M938" s="9">
        <f t="shared" si="14"/>
        <v>0.12675877804537963</v>
      </c>
      <c r="N938" s="7">
        <v>27.611499999999999</v>
      </c>
      <c r="O938" s="7">
        <v>579.8415</v>
      </c>
      <c r="P938" s="10">
        <v>43470</v>
      </c>
      <c r="Q938" s="10" t="str">
        <f>TEXT(Table2[[#This Row],[Date]],"mmm")</f>
        <v>Jan</v>
      </c>
      <c r="R938" s="11">
        <v>0.82500000000000007</v>
      </c>
      <c r="S938" s="6" t="s">
        <v>27</v>
      </c>
      <c r="T938" s="7">
        <v>7.5</v>
      </c>
      <c r="U938" s="6">
        <f>IF(_xlfn.XLOOKUP(A938,[1]Data2!$A:$A,[1]Data2!$B:$B,"no")="yes",1,0)</f>
        <v>1</v>
      </c>
    </row>
    <row r="939" spans="1:21" s="6" customFormat="1" x14ac:dyDescent="0.3">
      <c r="A939" s="6" t="s">
        <v>977</v>
      </c>
      <c r="B939" s="6" t="s">
        <v>22</v>
      </c>
      <c r="C939" s="6" t="s">
        <v>23</v>
      </c>
      <c r="D939" s="6" t="s">
        <v>31</v>
      </c>
      <c r="E939" s="6" t="s">
        <v>25</v>
      </c>
      <c r="F939" s="6" t="s">
        <v>40</v>
      </c>
      <c r="G939" s="7">
        <f>Table2[[#This Row],[Unit price]]-10</f>
        <v>79.48</v>
      </c>
      <c r="H939" s="7">
        <v>89.48</v>
      </c>
      <c r="I939" s="8">
        <v>5</v>
      </c>
      <c r="J939" s="8">
        <f>Table2[[#This Row],[Unit price]]*Table2[[#This Row],[Quantity]]</f>
        <v>447.40000000000003</v>
      </c>
      <c r="K939" s="8">
        <f>Table2[[#This Row],[Unit Cost]]*Table2[[#This Row],[Quantity]]</f>
        <v>397.40000000000003</v>
      </c>
      <c r="L939" s="8">
        <f>Table2[[#This Row],[Gross Sales]]-Table2[[#This Row],[COGS]]</f>
        <v>50</v>
      </c>
      <c r="M939" s="9">
        <f t="shared" si="14"/>
        <v>0.11175681716584711</v>
      </c>
      <c r="N939" s="7">
        <v>22.37</v>
      </c>
      <c r="O939" s="7">
        <v>469.77</v>
      </c>
      <c r="P939" s="10">
        <v>43554</v>
      </c>
      <c r="Q939" s="10" t="str">
        <f>TEXT(Table2[[#This Row],[Date]],"mmm")</f>
        <v>Mar</v>
      </c>
      <c r="R939" s="11">
        <v>0.4291666666666667</v>
      </c>
      <c r="S939" s="6" t="s">
        <v>33</v>
      </c>
      <c r="T939" s="7">
        <v>7.4</v>
      </c>
      <c r="U939" s="6">
        <f>IF(_xlfn.XLOOKUP(A939,[1]Data2!$A:$A,[1]Data2!$B:$B,"no")="yes",1,0)</f>
        <v>0</v>
      </c>
    </row>
    <row r="940" spans="1:21" s="6" customFormat="1" x14ac:dyDescent="0.3">
      <c r="A940" s="6" t="s">
        <v>978</v>
      </c>
      <c r="B940" s="6" t="s">
        <v>22</v>
      </c>
      <c r="C940" s="6" t="s">
        <v>23</v>
      </c>
      <c r="D940" s="6" t="s">
        <v>24</v>
      </c>
      <c r="E940" s="6" t="s">
        <v>25</v>
      </c>
      <c r="F940" s="6" t="s">
        <v>26</v>
      </c>
      <c r="G940" s="7">
        <f>Table2[[#This Row],[Unit price]]-10</f>
        <v>82.09</v>
      </c>
      <c r="H940" s="7">
        <v>92.09</v>
      </c>
      <c r="I940" s="8">
        <v>3</v>
      </c>
      <c r="J940" s="8">
        <f>Table2[[#This Row],[Unit price]]*Table2[[#This Row],[Quantity]]</f>
        <v>276.27</v>
      </c>
      <c r="K940" s="8">
        <f>Table2[[#This Row],[Unit Cost]]*Table2[[#This Row],[Quantity]]</f>
        <v>246.27</v>
      </c>
      <c r="L940" s="8">
        <f>Table2[[#This Row],[Gross Sales]]-Table2[[#This Row],[COGS]]</f>
        <v>29.999999999999972</v>
      </c>
      <c r="M940" s="9">
        <f t="shared" si="14"/>
        <v>0.1085894233901617</v>
      </c>
      <c r="N940" s="7">
        <v>13.813499999999999</v>
      </c>
      <c r="O940" s="7">
        <v>290.08350000000002</v>
      </c>
      <c r="P940" s="10">
        <v>43513</v>
      </c>
      <c r="Q940" s="10" t="str">
        <f>TEXT(Table2[[#This Row],[Date]],"mmm")</f>
        <v>Feb</v>
      </c>
      <c r="R940" s="11">
        <v>0.68541666666666667</v>
      </c>
      <c r="S940" s="6" t="s">
        <v>33</v>
      </c>
      <c r="T940" s="7">
        <v>4.2</v>
      </c>
      <c r="U940" s="6">
        <f>IF(_xlfn.XLOOKUP(A940,[1]Data2!$A:$A,[1]Data2!$B:$B,"no")="yes",1,0)</f>
        <v>0</v>
      </c>
    </row>
    <row r="941" spans="1:21" s="6" customFormat="1" x14ac:dyDescent="0.3">
      <c r="A941" s="6" t="s">
        <v>979</v>
      </c>
      <c r="B941" s="6" t="s">
        <v>29</v>
      </c>
      <c r="C941" s="6" t="s">
        <v>30</v>
      </c>
      <c r="D941" s="6" t="s">
        <v>31</v>
      </c>
      <c r="E941" s="6" t="s">
        <v>25</v>
      </c>
      <c r="F941" s="6" t="s">
        <v>48</v>
      </c>
      <c r="G941" s="7">
        <f>Table2[[#This Row],[Unit price]]-10</f>
        <v>47.29</v>
      </c>
      <c r="H941" s="7">
        <v>57.29</v>
      </c>
      <c r="I941" s="8">
        <v>6</v>
      </c>
      <c r="J941" s="8">
        <f>Table2[[#This Row],[Unit price]]*Table2[[#This Row],[Quantity]]</f>
        <v>343.74</v>
      </c>
      <c r="K941" s="8">
        <f>Table2[[#This Row],[Unit Cost]]*Table2[[#This Row],[Quantity]]</f>
        <v>283.74</v>
      </c>
      <c r="L941" s="8">
        <f>Table2[[#This Row],[Gross Sales]]-Table2[[#This Row],[COGS]]</f>
        <v>60</v>
      </c>
      <c r="M941" s="9">
        <f t="shared" si="14"/>
        <v>0.17455053237912374</v>
      </c>
      <c r="N941" s="7">
        <v>17.187000000000001</v>
      </c>
      <c r="O941" s="7">
        <v>360.92700000000002</v>
      </c>
      <c r="P941" s="10">
        <v>43545</v>
      </c>
      <c r="Q941" s="10" t="str">
        <f>TEXT(Table2[[#This Row],[Date]],"mmm")</f>
        <v>Mar</v>
      </c>
      <c r="R941" s="11">
        <v>0.71111111111111114</v>
      </c>
      <c r="S941" s="6" t="s">
        <v>27</v>
      </c>
      <c r="T941" s="7">
        <v>5.9</v>
      </c>
      <c r="U941" s="6">
        <f>IF(_xlfn.XLOOKUP(A941,[1]Data2!$A:$A,[1]Data2!$B:$B,"no")="yes",1,0)</f>
        <v>0</v>
      </c>
    </row>
    <row r="942" spans="1:21" s="6" customFormat="1" x14ac:dyDescent="0.3">
      <c r="A942" s="6" t="s">
        <v>980</v>
      </c>
      <c r="B942" s="6" t="s">
        <v>22</v>
      </c>
      <c r="C942" s="6" t="s">
        <v>23</v>
      </c>
      <c r="D942" s="6" t="s">
        <v>31</v>
      </c>
      <c r="E942" s="6" t="s">
        <v>35</v>
      </c>
      <c r="F942" s="6" t="s">
        <v>48</v>
      </c>
      <c r="G942" s="7">
        <f>Table2[[#This Row],[Unit price]]-10</f>
        <v>56.519999999999996</v>
      </c>
      <c r="H942" s="7">
        <v>66.52</v>
      </c>
      <c r="I942" s="8">
        <v>4</v>
      </c>
      <c r="J942" s="8">
        <f>Table2[[#This Row],[Unit price]]*Table2[[#This Row],[Quantity]]</f>
        <v>266.08</v>
      </c>
      <c r="K942" s="8">
        <f>Table2[[#This Row],[Unit Cost]]*Table2[[#This Row],[Quantity]]</f>
        <v>226.07999999999998</v>
      </c>
      <c r="L942" s="8">
        <f>Table2[[#This Row],[Gross Sales]]-Table2[[#This Row],[COGS]]</f>
        <v>40</v>
      </c>
      <c r="M942" s="9">
        <f t="shared" si="14"/>
        <v>0.15033072760072161</v>
      </c>
      <c r="N942" s="7">
        <v>13.304</v>
      </c>
      <c r="O942" s="7">
        <v>279.38400000000001</v>
      </c>
      <c r="P942" s="10">
        <v>43526</v>
      </c>
      <c r="Q942" s="10" t="str">
        <f>TEXT(Table2[[#This Row],[Date]],"mmm")</f>
        <v>Mar</v>
      </c>
      <c r="R942" s="11">
        <v>0.7597222222222223</v>
      </c>
      <c r="S942" s="6" t="s">
        <v>27</v>
      </c>
      <c r="T942" s="7">
        <v>6.9</v>
      </c>
      <c r="U942" s="6">
        <f>IF(_xlfn.XLOOKUP(A942,[1]Data2!$A:$A,[1]Data2!$B:$B,"no")="yes",1,0)</f>
        <v>1</v>
      </c>
    </row>
    <row r="943" spans="1:21" s="6" customFormat="1" x14ac:dyDescent="0.3">
      <c r="A943" s="6" t="s">
        <v>981</v>
      </c>
      <c r="B943" s="6" t="s">
        <v>29</v>
      </c>
      <c r="C943" s="6" t="s">
        <v>30</v>
      </c>
      <c r="D943" s="6" t="s">
        <v>24</v>
      </c>
      <c r="E943" s="6" t="s">
        <v>35</v>
      </c>
      <c r="F943" s="6" t="s">
        <v>50</v>
      </c>
      <c r="G943" s="7">
        <f>Table2[[#This Row],[Unit price]]-10</f>
        <v>89.82</v>
      </c>
      <c r="H943" s="7">
        <v>99.82</v>
      </c>
      <c r="I943" s="8">
        <v>9</v>
      </c>
      <c r="J943" s="8">
        <f>Table2[[#This Row],[Unit price]]*Table2[[#This Row],[Quantity]]</f>
        <v>898.37999999999988</v>
      </c>
      <c r="K943" s="8">
        <f>Table2[[#This Row],[Unit Cost]]*Table2[[#This Row],[Quantity]]</f>
        <v>808.37999999999988</v>
      </c>
      <c r="L943" s="8">
        <f>Table2[[#This Row],[Gross Sales]]-Table2[[#This Row],[COGS]]</f>
        <v>90</v>
      </c>
      <c r="M943" s="9">
        <f t="shared" si="14"/>
        <v>0.10018032458425166</v>
      </c>
      <c r="N943" s="7">
        <v>44.918999999999997</v>
      </c>
      <c r="O943" s="7">
        <v>943.29899999999998</v>
      </c>
      <c r="P943" s="10">
        <v>43551</v>
      </c>
      <c r="Q943" s="10" t="str">
        <f>TEXT(Table2[[#This Row],[Date]],"mmm")</f>
        <v>Mar</v>
      </c>
      <c r="R943" s="11">
        <v>0.4465277777777778</v>
      </c>
      <c r="S943" s="6" t="s">
        <v>33</v>
      </c>
      <c r="T943" s="7">
        <v>6.6</v>
      </c>
      <c r="U943" s="6">
        <f>IF(_xlfn.XLOOKUP(A943,[1]Data2!$A:$A,[1]Data2!$B:$B,"no")="yes",1,0)</f>
        <v>0</v>
      </c>
    </row>
    <row r="944" spans="1:21" s="6" customFormat="1" x14ac:dyDescent="0.3">
      <c r="A944" s="6" t="s">
        <v>982</v>
      </c>
      <c r="B944" s="6" t="s">
        <v>22</v>
      </c>
      <c r="C944" s="6" t="s">
        <v>23</v>
      </c>
      <c r="D944" s="6" t="s">
        <v>31</v>
      </c>
      <c r="E944" s="6" t="s">
        <v>25</v>
      </c>
      <c r="F944" s="6" t="s">
        <v>36</v>
      </c>
      <c r="G944" s="7">
        <f>Table2[[#This Row],[Unit price]]-10</f>
        <v>35.68</v>
      </c>
      <c r="H944" s="7">
        <v>45.68</v>
      </c>
      <c r="I944" s="8">
        <v>10</v>
      </c>
      <c r="J944" s="8">
        <f>Table2[[#This Row],[Unit price]]*Table2[[#This Row],[Quantity]]</f>
        <v>456.8</v>
      </c>
      <c r="K944" s="8">
        <f>Table2[[#This Row],[Unit Cost]]*Table2[[#This Row],[Quantity]]</f>
        <v>356.8</v>
      </c>
      <c r="L944" s="8">
        <f>Table2[[#This Row],[Gross Sales]]-Table2[[#This Row],[COGS]]</f>
        <v>100</v>
      </c>
      <c r="M944" s="9">
        <f t="shared" si="14"/>
        <v>0.2189141856392294</v>
      </c>
      <c r="N944" s="7">
        <v>22.84</v>
      </c>
      <c r="O944" s="7">
        <v>479.64</v>
      </c>
      <c r="P944" s="10">
        <v>43484</v>
      </c>
      <c r="Q944" s="10" t="str">
        <f>TEXT(Table2[[#This Row],[Date]],"mmm")</f>
        <v>Jan</v>
      </c>
      <c r="R944" s="11">
        <v>0.8125</v>
      </c>
      <c r="S944" s="6" t="s">
        <v>27</v>
      </c>
      <c r="T944" s="7">
        <v>5.7</v>
      </c>
      <c r="U944" s="6">
        <f>IF(_xlfn.XLOOKUP(A944,[1]Data2!$A:$A,[1]Data2!$B:$B,"no")="yes",1,0)</f>
        <v>0</v>
      </c>
    </row>
    <row r="945" spans="1:21" s="6" customFormat="1" x14ac:dyDescent="0.3">
      <c r="A945" s="6" t="s">
        <v>983</v>
      </c>
      <c r="B945" s="6" t="s">
        <v>22</v>
      </c>
      <c r="C945" s="6" t="s">
        <v>23</v>
      </c>
      <c r="D945" s="6" t="s">
        <v>31</v>
      </c>
      <c r="E945" s="6" t="s">
        <v>35</v>
      </c>
      <c r="F945" s="6" t="s">
        <v>26</v>
      </c>
      <c r="G945" s="7">
        <f>Table2[[#This Row],[Unit price]]-10</f>
        <v>40.79</v>
      </c>
      <c r="H945" s="7">
        <v>50.79</v>
      </c>
      <c r="I945" s="8">
        <v>5</v>
      </c>
      <c r="J945" s="8">
        <f>Table2[[#This Row],[Unit price]]*Table2[[#This Row],[Quantity]]</f>
        <v>253.95</v>
      </c>
      <c r="K945" s="8">
        <f>Table2[[#This Row],[Unit Cost]]*Table2[[#This Row],[Quantity]]</f>
        <v>203.95</v>
      </c>
      <c r="L945" s="8">
        <f>Table2[[#This Row],[Gross Sales]]-Table2[[#This Row],[COGS]]</f>
        <v>50</v>
      </c>
      <c r="M945" s="9">
        <f t="shared" si="14"/>
        <v>0.19688915140775745</v>
      </c>
      <c r="N945" s="7">
        <v>12.6975</v>
      </c>
      <c r="O945" s="7">
        <v>266.64749999999998</v>
      </c>
      <c r="P945" s="10">
        <v>43515</v>
      </c>
      <c r="Q945" s="10" t="str">
        <f>TEXT(Table2[[#This Row],[Date]],"mmm")</f>
        <v>Feb</v>
      </c>
      <c r="R945" s="11">
        <v>0.62013888888888891</v>
      </c>
      <c r="S945" s="6" t="s">
        <v>37</v>
      </c>
      <c r="T945" s="7">
        <v>5.3</v>
      </c>
      <c r="U945" s="6">
        <f>IF(_xlfn.XLOOKUP(A945,[1]Data2!$A:$A,[1]Data2!$B:$B,"no")="yes",1,0)</f>
        <v>0</v>
      </c>
    </row>
    <row r="946" spans="1:21" s="6" customFormat="1" x14ac:dyDescent="0.3">
      <c r="A946" s="6" t="s">
        <v>984</v>
      </c>
      <c r="B946" s="6" t="s">
        <v>22</v>
      </c>
      <c r="C946" s="6" t="s">
        <v>23</v>
      </c>
      <c r="D946" s="6" t="s">
        <v>24</v>
      </c>
      <c r="E946" s="6" t="s">
        <v>35</v>
      </c>
      <c r="F946" s="6" t="s">
        <v>26</v>
      </c>
      <c r="G946" s="7">
        <f>Table2[[#This Row],[Unit price]]-10</f>
        <v>8.0000000000000071E-2</v>
      </c>
      <c r="H946" s="7">
        <v>10.08</v>
      </c>
      <c r="I946" s="8">
        <v>7</v>
      </c>
      <c r="J946" s="8">
        <f>Table2[[#This Row],[Unit price]]*Table2[[#This Row],[Quantity]]</f>
        <v>70.56</v>
      </c>
      <c r="K946" s="8">
        <f>Table2[[#This Row],[Unit Cost]]*Table2[[#This Row],[Quantity]]</f>
        <v>0.5600000000000005</v>
      </c>
      <c r="L946" s="8">
        <f>Table2[[#This Row],[Gross Sales]]-Table2[[#This Row],[COGS]]</f>
        <v>70</v>
      </c>
      <c r="M946" s="9">
        <f t="shared" si="14"/>
        <v>0.99206349206349198</v>
      </c>
      <c r="N946" s="7">
        <v>3.528</v>
      </c>
      <c r="O946" s="7">
        <v>74.087999999999994</v>
      </c>
      <c r="P946" s="10">
        <v>43552</v>
      </c>
      <c r="Q946" s="10" t="str">
        <f>TEXT(Table2[[#This Row],[Date]],"mmm")</f>
        <v>Mar</v>
      </c>
      <c r="R946" s="11">
        <v>0.84305555555555556</v>
      </c>
      <c r="S946" s="6" t="s">
        <v>33</v>
      </c>
      <c r="T946" s="7">
        <v>4.2</v>
      </c>
      <c r="U946" s="6">
        <f>IF(_xlfn.XLOOKUP(A946,[1]Data2!$A:$A,[1]Data2!$B:$B,"no")="yes",1,0)</f>
        <v>1</v>
      </c>
    </row>
    <row r="947" spans="1:21" s="6" customFormat="1" x14ac:dyDescent="0.3">
      <c r="A947" s="6" t="s">
        <v>985</v>
      </c>
      <c r="B947" s="6" t="s">
        <v>22</v>
      </c>
      <c r="C947" s="6" t="s">
        <v>23</v>
      </c>
      <c r="D947" s="6" t="s">
        <v>31</v>
      </c>
      <c r="E947" s="6" t="s">
        <v>25</v>
      </c>
      <c r="F947" s="6" t="s">
        <v>32</v>
      </c>
      <c r="G947" s="7">
        <f>Table2[[#This Row],[Unit price]]-10</f>
        <v>83.88</v>
      </c>
      <c r="H947" s="7">
        <v>93.88</v>
      </c>
      <c r="I947" s="8">
        <v>7</v>
      </c>
      <c r="J947" s="8">
        <f>Table2[[#This Row],[Unit price]]*Table2[[#This Row],[Quantity]]</f>
        <v>657.16</v>
      </c>
      <c r="K947" s="8">
        <f>Table2[[#This Row],[Unit Cost]]*Table2[[#This Row],[Quantity]]</f>
        <v>587.16</v>
      </c>
      <c r="L947" s="8">
        <f>Table2[[#This Row],[Gross Sales]]-Table2[[#This Row],[COGS]]</f>
        <v>70</v>
      </c>
      <c r="M947" s="9">
        <f t="shared" si="14"/>
        <v>0.10651896037494675</v>
      </c>
      <c r="N947" s="7">
        <v>32.857999999999997</v>
      </c>
      <c r="O947" s="7">
        <v>690.01800000000003</v>
      </c>
      <c r="P947" s="10">
        <v>43470</v>
      </c>
      <c r="Q947" s="10" t="str">
        <f>TEXT(Table2[[#This Row],[Date]],"mmm")</f>
        <v>Jan</v>
      </c>
      <c r="R947" s="11">
        <v>0.49374999999999997</v>
      </c>
      <c r="S947" s="6" t="s">
        <v>37</v>
      </c>
      <c r="T947" s="7">
        <v>7.3</v>
      </c>
      <c r="U947" s="6">
        <f>IF(_xlfn.XLOOKUP(A947,[1]Data2!$A:$A,[1]Data2!$B:$B,"no")="yes",1,0)</f>
        <v>0</v>
      </c>
    </row>
    <row r="948" spans="1:21" s="6" customFormat="1" x14ac:dyDescent="0.3">
      <c r="A948" s="6" t="s">
        <v>986</v>
      </c>
      <c r="B948" s="6" t="s">
        <v>29</v>
      </c>
      <c r="C948" s="6" t="s">
        <v>30</v>
      </c>
      <c r="D948" s="6" t="s">
        <v>24</v>
      </c>
      <c r="E948" s="6" t="s">
        <v>35</v>
      </c>
      <c r="F948" s="6" t="s">
        <v>32</v>
      </c>
      <c r="G948" s="7">
        <f>Table2[[#This Row],[Unit price]]-10</f>
        <v>74.25</v>
      </c>
      <c r="H948" s="7">
        <v>84.25</v>
      </c>
      <c r="I948" s="8">
        <v>2</v>
      </c>
      <c r="J948" s="8">
        <f>Table2[[#This Row],[Unit price]]*Table2[[#This Row],[Quantity]]</f>
        <v>168.5</v>
      </c>
      <c r="K948" s="8">
        <f>Table2[[#This Row],[Unit Cost]]*Table2[[#This Row],[Quantity]]</f>
        <v>148.5</v>
      </c>
      <c r="L948" s="8">
        <f>Table2[[#This Row],[Gross Sales]]-Table2[[#This Row],[COGS]]</f>
        <v>20</v>
      </c>
      <c r="M948" s="9">
        <f t="shared" si="14"/>
        <v>0.11869436201780416</v>
      </c>
      <c r="N948" s="7">
        <v>8.4250000000000007</v>
      </c>
      <c r="O948" s="7">
        <v>176.92500000000001</v>
      </c>
      <c r="P948" s="10">
        <v>43550</v>
      </c>
      <c r="Q948" s="10" t="str">
        <f>TEXT(Table2[[#This Row],[Date]],"mmm")</f>
        <v>Mar</v>
      </c>
      <c r="R948" s="11">
        <v>0.59236111111111112</v>
      </c>
      <c r="S948" s="6" t="s">
        <v>37</v>
      </c>
      <c r="T948" s="7">
        <v>5.3</v>
      </c>
      <c r="U948" s="6">
        <f>IF(_xlfn.XLOOKUP(A948,[1]Data2!$A:$A,[1]Data2!$B:$B,"no")="yes",1,0)</f>
        <v>0</v>
      </c>
    </row>
    <row r="949" spans="1:21" s="6" customFormat="1" x14ac:dyDescent="0.3">
      <c r="A949" s="6" t="s">
        <v>987</v>
      </c>
      <c r="B949" s="6" t="s">
        <v>46</v>
      </c>
      <c r="C949" s="6" t="s">
        <v>47</v>
      </c>
      <c r="D949" s="6" t="s">
        <v>24</v>
      </c>
      <c r="E949" s="6" t="s">
        <v>35</v>
      </c>
      <c r="F949" s="6" t="s">
        <v>50</v>
      </c>
      <c r="G949" s="7">
        <f>Table2[[#This Row],[Unit price]]-10</f>
        <v>43.78</v>
      </c>
      <c r="H949" s="7">
        <v>53.78</v>
      </c>
      <c r="I949" s="8">
        <v>1</v>
      </c>
      <c r="J949" s="8">
        <f>Table2[[#This Row],[Unit price]]*Table2[[#This Row],[Quantity]]</f>
        <v>53.78</v>
      </c>
      <c r="K949" s="8">
        <f>Table2[[#This Row],[Unit Cost]]*Table2[[#This Row],[Quantity]]</f>
        <v>43.78</v>
      </c>
      <c r="L949" s="8">
        <f>Table2[[#This Row],[Gross Sales]]-Table2[[#This Row],[COGS]]</f>
        <v>10</v>
      </c>
      <c r="M949" s="9">
        <f t="shared" si="14"/>
        <v>0.18594272963927111</v>
      </c>
      <c r="N949" s="7">
        <v>2.6890000000000001</v>
      </c>
      <c r="O949" s="7">
        <v>56.469000000000001</v>
      </c>
      <c r="P949" s="10">
        <v>43499</v>
      </c>
      <c r="Q949" s="10" t="str">
        <f>TEXT(Table2[[#This Row],[Date]],"mmm")</f>
        <v>Feb</v>
      </c>
      <c r="R949" s="11">
        <v>0.84236111111111101</v>
      </c>
      <c r="S949" s="6" t="s">
        <v>27</v>
      </c>
      <c r="T949" s="7">
        <v>4.7</v>
      </c>
      <c r="U949" s="6">
        <f>IF(_xlfn.XLOOKUP(A949,[1]Data2!$A:$A,[1]Data2!$B:$B,"no")="yes",1,0)</f>
        <v>0</v>
      </c>
    </row>
    <row r="950" spans="1:21" s="6" customFormat="1" x14ac:dyDescent="0.3">
      <c r="A950" s="6" t="s">
        <v>988</v>
      </c>
      <c r="B950" s="6" t="s">
        <v>29</v>
      </c>
      <c r="C950" s="6" t="s">
        <v>30</v>
      </c>
      <c r="D950" s="6" t="s">
        <v>24</v>
      </c>
      <c r="E950" s="6" t="s">
        <v>35</v>
      </c>
      <c r="F950" s="6" t="s">
        <v>36</v>
      </c>
      <c r="G950" s="7">
        <f>Table2[[#This Row],[Unit price]]-10</f>
        <v>25.810000000000002</v>
      </c>
      <c r="H950" s="7">
        <v>35.81</v>
      </c>
      <c r="I950" s="8">
        <v>5</v>
      </c>
      <c r="J950" s="8">
        <f>Table2[[#This Row],[Unit price]]*Table2[[#This Row],[Quantity]]</f>
        <v>179.05</v>
      </c>
      <c r="K950" s="8">
        <f>Table2[[#This Row],[Unit Cost]]*Table2[[#This Row],[Quantity]]</f>
        <v>129.05000000000001</v>
      </c>
      <c r="L950" s="8">
        <f>Table2[[#This Row],[Gross Sales]]-Table2[[#This Row],[COGS]]</f>
        <v>50</v>
      </c>
      <c r="M950" s="9">
        <f t="shared" si="14"/>
        <v>0.27925160569673274</v>
      </c>
      <c r="N950" s="7">
        <v>8.9525000000000006</v>
      </c>
      <c r="O950" s="7">
        <v>188.0025</v>
      </c>
      <c r="P950" s="10">
        <v>43502</v>
      </c>
      <c r="Q950" s="10" t="str">
        <f>TEXT(Table2[[#This Row],[Date]],"mmm")</f>
        <v>Feb</v>
      </c>
      <c r="R950" s="11">
        <v>0.78055555555555556</v>
      </c>
      <c r="S950" s="6" t="s">
        <v>27</v>
      </c>
      <c r="T950" s="7">
        <v>7.9</v>
      </c>
      <c r="U950" s="6">
        <f>IF(_xlfn.XLOOKUP(A950,[1]Data2!$A:$A,[1]Data2!$B:$B,"no")="yes",1,0)</f>
        <v>1</v>
      </c>
    </row>
    <row r="951" spans="1:21" s="6" customFormat="1" x14ac:dyDescent="0.3">
      <c r="A951" s="6" t="s">
        <v>989</v>
      </c>
      <c r="B951" s="6" t="s">
        <v>46</v>
      </c>
      <c r="C951" s="6" t="s">
        <v>47</v>
      </c>
      <c r="D951" s="6" t="s">
        <v>31</v>
      </c>
      <c r="E951" s="6" t="s">
        <v>25</v>
      </c>
      <c r="F951" s="6" t="s">
        <v>48</v>
      </c>
      <c r="G951" s="7">
        <f>Table2[[#This Row],[Unit price]]-10</f>
        <v>16.43</v>
      </c>
      <c r="H951" s="7">
        <v>26.43</v>
      </c>
      <c r="I951" s="8">
        <v>8</v>
      </c>
      <c r="J951" s="8">
        <f>Table2[[#This Row],[Unit price]]*Table2[[#This Row],[Quantity]]</f>
        <v>211.44</v>
      </c>
      <c r="K951" s="8">
        <f>Table2[[#This Row],[Unit Cost]]*Table2[[#This Row],[Quantity]]</f>
        <v>131.44</v>
      </c>
      <c r="L951" s="8">
        <f>Table2[[#This Row],[Gross Sales]]-Table2[[#This Row],[COGS]]</f>
        <v>80</v>
      </c>
      <c r="M951" s="9">
        <f t="shared" si="14"/>
        <v>0.37835792659856227</v>
      </c>
      <c r="N951" s="7">
        <v>10.571999999999999</v>
      </c>
      <c r="O951" s="7">
        <v>222.012</v>
      </c>
      <c r="P951" s="10">
        <v>43520</v>
      </c>
      <c r="Q951" s="10" t="str">
        <f>TEXT(Table2[[#This Row],[Date]],"mmm")</f>
        <v>Feb</v>
      </c>
      <c r="R951" s="11">
        <v>0.60138888888888886</v>
      </c>
      <c r="S951" s="6" t="s">
        <v>27</v>
      </c>
      <c r="T951" s="7">
        <v>8.9</v>
      </c>
      <c r="U951" s="6">
        <f>IF(_xlfn.XLOOKUP(A951,[1]Data2!$A:$A,[1]Data2!$B:$B,"no")="yes",1,0)</f>
        <v>0</v>
      </c>
    </row>
    <row r="952" spans="1:21" s="6" customFormat="1" x14ac:dyDescent="0.3">
      <c r="A952" s="6" t="s">
        <v>990</v>
      </c>
      <c r="B952" s="6" t="s">
        <v>46</v>
      </c>
      <c r="C952" s="6" t="s">
        <v>47</v>
      </c>
      <c r="D952" s="6" t="s">
        <v>24</v>
      </c>
      <c r="E952" s="6" t="s">
        <v>35</v>
      </c>
      <c r="F952" s="6" t="s">
        <v>26</v>
      </c>
      <c r="G952" s="7">
        <f>Table2[[#This Row],[Unit price]]-10</f>
        <v>29.909999999999997</v>
      </c>
      <c r="H952" s="7">
        <v>39.909999999999997</v>
      </c>
      <c r="I952" s="8">
        <v>3</v>
      </c>
      <c r="J952" s="8">
        <f>Table2[[#This Row],[Unit price]]*Table2[[#This Row],[Quantity]]</f>
        <v>119.72999999999999</v>
      </c>
      <c r="K952" s="8">
        <f>Table2[[#This Row],[Unit Cost]]*Table2[[#This Row],[Quantity]]</f>
        <v>89.72999999999999</v>
      </c>
      <c r="L952" s="8">
        <f>Table2[[#This Row],[Gross Sales]]-Table2[[#This Row],[COGS]]</f>
        <v>30</v>
      </c>
      <c r="M952" s="9">
        <f t="shared" si="14"/>
        <v>0.25056376847907796</v>
      </c>
      <c r="N952" s="7">
        <v>5.9865000000000004</v>
      </c>
      <c r="O952" s="7">
        <v>125.7165</v>
      </c>
      <c r="P952" s="10">
        <v>43517</v>
      </c>
      <c r="Q952" s="10" t="str">
        <f>TEXT(Table2[[#This Row],[Date]],"mmm")</f>
        <v>Feb</v>
      </c>
      <c r="R952" s="11">
        <v>0.52777777777777779</v>
      </c>
      <c r="S952" s="6" t="s">
        <v>27</v>
      </c>
      <c r="T952" s="7">
        <v>9.3000000000000007</v>
      </c>
      <c r="U952" s="6">
        <f>IF(_xlfn.XLOOKUP(A952,[1]Data2!$A:$A,[1]Data2!$B:$B,"no")="yes",1,0)</f>
        <v>0</v>
      </c>
    </row>
    <row r="953" spans="1:21" s="6" customFormat="1" x14ac:dyDescent="0.3">
      <c r="A953" s="6" t="s">
        <v>991</v>
      </c>
      <c r="B953" s="6" t="s">
        <v>46</v>
      </c>
      <c r="C953" s="6" t="s">
        <v>47</v>
      </c>
      <c r="D953" s="6" t="s">
        <v>24</v>
      </c>
      <c r="E953" s="6" t="s">
        <v>25</v>
      </c>
      <c r="F953" s="6" t="s">
        <v>36</v>
      </c>
      <c r="G953" s="7">
        <f>Table2[[#This Row],[Unit price]]-10</f>
        <v>11.899999999999999</v>
      </c>
      <c r="H953" s="7">
        <v>21.9</v>
      </c>
      <c r="I953" s="8">
        <v>3</v>
      </c>
      <c r="J953" s="8">
        <f>Table2[[#This Row],[Unit price]]*Table2[[#This Row],[Quantity]]</f>
        <v>65.699999999999989</v>
      </c>
      <c r="K953" s="8">
        <f>Table2[[#This Row],[Unit Cost]]*Table2[[#This Row],[Quantity]]</f>
        <v>35.699999999999996</v>
      </c>
      <c r="L953" s="8">
        <f>Table2[[#This Row],[Gross Sales]]-Table2[[#This Row],[COGS]]</f>
        <v>29.999999999999993</v>
      </c>
      <c r="M953" s="9">
        <f t="shared" si="14"/>
        <v>0.45662100456621002</v>
      </c>
      <c r="N953" s="7">
        <v>3.2850000000000001</v>
      </c>
      <c r="O953" s="7">
        <v>68.984999999999999</v>
      </c>
      <c r="P953" s="10">
        <v>43474</v>
      </c>
      <c r="Q953" s="10" t="str">
        <f>TEXT(Table2[[#This Row],[Date]],"mmm")</f>
        <v>Jan</v>
      </c>
      <c r="R953" s="11">
        <v>0.77986111111111101</v>
      </c>
      <c r="S953" s="6" t="s">
        <v>27</v>
      </c>
      <c r="T953" s="7">
        <v>4.7</v>
      </c>
      <c r="U953" s="6">
        <f>IF(_xlfn.XLOOKUP(A953,[1]Data2!$A:$A,[1]Data2!$B:$B,"no")="yes",1,0)</f>
        <v>0</v>
      </c>
    </row>
    <row r="954" spans="1:21" s="6" customFormat="1" x14ac:dyDescent="0.3">
      <c r="A954" s="6" t="s">
        <v>992</v>
      </c>
      <c r="B954" s="6" t="s">
        <v>46</v>
      </c>
      <c r="C954" s="6" t="s">
        <v>47</v>
      </c>
      <c r="D954" s="6" t="s">
        <v>24</v>
      </c>
      <c r="E954" s="6" t="s">
        <v>25</v>
      </c>
      <c r="F954" s="6" t="s">
        <v>48</v>
      </c>
      <c r="G954" s="7">
        <f>Table2[[#This Row],[Unit price]]-10</f>
        <v>52.85</v>
      </c>
      <c r="H954" s="7">
        <v>62.85</v>
      </c>
      <c r="I954" s="8">
        <v>4</v>
      </c>
      <c r="J954" s="8">
        <f>Table2[[#This Row],[Unit price]]*Table2[[#This Row],[Quantity]]</f>
        <v>251.4</v>
      </c>
      <c r="K954" s="8">
        <f>Table2[[#This Row],[Unit Cost]]*Table2[[#This Row],[Quantity]]</f>
        <v>211.4</v>
      </c>
      <c r="L954" s="8">
        <f>Table2[[#This Row],[Gross Sales]]-Table2[[#This Row],[COGS]]</f>
        <v>40</v>
      </c>
      <c r="M954" s="9">
        <f t="shared" si="14"/>
        <v>0.15910898965791567</v>
      </c>
      <c r="N954" s="7">
        <v>12.57</v>
      </c>
      <c r="O954" s="7">
        <v>263.97000000000003</v>
      </c>
      <c r="P954" s="10">
        <v>43521</v>
      </c>
      <c r="Q954" s="10" t="str">
        <f>TEXT(Table2[[#This Row],[Date]],"mmm")</f>
        <v>Feb</v>
      </c>
      <c r="R954" s="11">
        <v>0.55694444444444446</v>
      </c>
      <c r="S954" s="6" t="s">
        <v>27</v>
      </c>
      <c r="T954" s="7">
        <v>8.6999999999999993</v>
      </c>
      <c r="U954" s="6">
        <f>IF(_xlfn.XLOOKUP(A954,[1]Data2!$A:$A,[1]Data2!$B:$B,"no")="yes",1,0)</f>
        <v>1</v>
      </c>
    </row>
    <row r="955" spans="1:21" s="6" customFormat="1" x14ac:dyDescent="0.3">
      <c r="A955" s="6" t="s">
        <v>993</v>
      </c>
      <c r="B955" s="6" t="s">
        <v>29</v>
      </c>
      <c r="C955" s="6" t="s">
        <v>30</v>
      </c>
      <c r="D955" s="6" t="s">
        <v>24</v>
      </c>
      <c r="E955" s="6" t="s">
        <v>25</v>
      </c>
      <c r="F955" s="6" t="s">
        <v>48</v>
      </c>
      <c r="G955" s="7">
        <f>Table2[[#This Row],[Unit price]]-10</f>
        <v>11.04</v>
      </c>
      <c r="H955" s="7">
        <v>21.04</v>
      </c>
      <c r="I955" s="8">
        <v>4</v>
      </c>
      <c r="J955" s="8">
        <f>Table2[[#This Row],[Unit price]]*Table2[[#This Row],[Quantity]]</f>
        <v>84.16</v>
      </c>
      <c r="K955" s="8">
        <f>Table2[[#This Row],[Unit Cost]]*Table2[[#This Row],[Quantity]]</f>
        <v>44.16</v>
      </c>
      <c r="L955" s="8">
        <f>Table2[[#This Row],[Gross Sales]]-Table2[[#This Row],[COGS]]</f>
        <v>40</v>
      </c>
      <c r="M955" s="9">
        <f t="shared" si="14"/>
        <v>0.47528517110266161</v>
      </c>
      <c r="N955" s="7">
        <v>4.2080000000000002</v>
      </c>
      <c r="O955" s="7">
        <v>88.367999999999995</v>
      </c>
      <c r="P955" s="10">
        <v>43478</v>
      </c>
      <c r="Q955" s="10" t="str">
        <f>TEXT(Table2[[#This Row],[Date]],"mmm")</f>
        <v>Jan</v>
      </c>
      <c r="R955" s="11">
        <v>0.58194444444444449</v>
      </c>
      <c r="S955" s="6" t="s">
        <v>33</v>
      </c>
      <c r="T955" s="7">
        <v>7.6</v>
      </c>
      <c r="U955" s="6">
        <f>IF(_xlfn.XLOOKUP(A955,[1]Data2!$A:$A,[1]Data2!$B:$B,"no")="yes",1,0)</f>
        <v>0</v>
      </c>
    </row>
    <row r="956" spans="1:21" s="6" customFormat="1" x14ac:dyDescent="0.3">
      <c r="A956" s="6" t="s">
        <v>994</v>
      </c>
      <c r="B956" s="6" t="s">
        <v>46</v>
      </c>
      <c r="C956" s="6" t="s">
        <v>47</v>
      </c>
      <c r="D956" s="6" t="s">
        <v>24</v>
      </c>
      <c r="E956" s="6" t="s">
        <v>35</v>
      </c>
      <c r="F956" s="6" t="s">
        <v>36</v>
      </c>
      <c r="G956" s="7">
        <f>Table2[[#This Row],[Unit price]]-10</f>
        <v>55.91</v>
      </c>
      <c r="H956" s="7">
        <v>65.91</v>
      </c>
      <c r="I956" s="8">
        <v>6</v>
      </c>
      <c r="J956" s="8">
        <f>Table2[[#This Row],[Unit price]]*Table2[[#This Row],[Quantity]]</f>
        <v>395.46</v>
      </c>
      <c r="K956" s="8">
        <f>Table2[[#This Row],[Unit Cost]]*Table2[[#This Row],[Quantity]]</f>
        <v>335.46</v>
      </c>
      <c r="L956" s="8">
        <f>Table2[[#This Row],[Gross Sales]]-Table2[[#This Row],[COGS]]</f>
        <v>60</v>
      </c>
      <c r="M956" s="9">
        <f t="shared" si="14"/>
        <v>0.15172204521316948</v>
      </c>
      <c r="N956" s="7">
        <v>19.773</v>
      </c>
      <c r="O956" s="7">
        <v>415.233</v>
      </c>
      <c r="P956" s="10">
        <v>43505</v>
      </c>
      <c r="Q956" s="10" t="str">
        <f>TEXT(Table2[[#This Row],[Date]],"mmm")</f>
        <v>Feb</v>
      </c>
      <c r="R956" s="11">
        <v>0.48958333333333331</v>
      </c>
      <c r="S956" s="6" t="s">
        <v>33</v>
      </c>
      <c r="T956" s="7">
        <v>5.7</v>
      </c>
      <c r="U956" s="6">
        <f>IF(_xlfn.XLOOKUP(A956,[1]Data2!$A:$A,[1]Data2!$B:$B,"no")="yes",1,0)</f>
        <v>0</v>
      </c>
    </row>
    <row r="957" spans="1:21" s="6" customFormat="1" x14ac:dyDescent="0.3">
      <c r="A957" s="6" t="s">
        <v>995</v>
      </c>
      <c r="B957" s="6" t="s">
        <v>22</v>
      </c>
      <c r="C957" s="6" t="s">
        <v>23</v>
      </c>
      <c r="D957" s="6" t="s">
        <v>31</v>
      </c>
      <c r="E957" s="6" t="s">
        <v>25</v>
      </c>
      <c r="F957" s="6" t="s">
        <v>50</v>
      </c>
      <c r="G957" s="7">
        <f>Table2[[#This Row],[Unit price]]-10</f>
        <v>32.57</v>
      </c>
      <c r="H957" s="7">
        <v>42.57</v>
      </c>
      <c r="I957" s="8">
        <v>7</v>
      </c>
      <c r="J957" s="8">
        <f>Table2[[#This Row],[Unit price]]*Table2[[#This Row],[Quantity]]</f>
        <v>297.99</v>
      </c>
      <c r="K957" s="8">
        <f>Table2[[#This Row],[Unit Cost]]*Table2[[#This Row],[Quantity]]</f>
        <v>227.99</v>
      </c>
      <c r="L957" s="8">
        <f>Table2[[#This Row],[Gross Sales]]-Table2[[#This Row],[COGS]]</f>
        <v>70</v>
      </c>
      <c r="M957" s="9">
        <f t="shared" si="14"/>
        <v>0.23490721165139769</v>
      </c>
      <c r="N957" s="7">
        <v>14.8995</v>
      </c>
      <c r="O957" s="7">
        <v>312.8895</v>
      </c>
      <c r="P957" s="10">
        <v>43471</v>
      </c>
      <c r="Q957" s="10" t="str">
        <f>TEXT(Table2[[#This Row],[Date]],"mmm")</f>
        <v>Jan</v>
      </c>
      <c r="R957" s="11">
        <v>0.49374999999999997</v>
      </c>
      <c r="S957" s="6" t="s">
        <v>33</v>
      </c>
      <c r="T957" s="7">
        <v>6.8</v>
      </c>
      <c r="U957" s="6">
        <f>IF(_xlfn.XLOOKUP(A957,[1]Data2!$A:$A,[1]Data2!$B:$B,"no")="yes",1,0)</f>
        <v>0</v>
      </c>
    </row>
    <row r="958" spans="1:21" s="6" customFormat="1" x14ac:dyDescent="0.3">
      <c r="A958" s="6" t="s">
        <v>996</v>
      </c>
      <c r="B958" s="6" t="s">
        <v>29</v>
      </c>
      <c r="C958" s="6" t="s">
        <v>30</v>
      </c>
      <c r="D958" s="6" t="s">
        <v>24</v>
      </c>
      <c r="E958" s="6" t="s">
        <v>35</v>
      </c>
      <c r="F958" s="6" t="s">
        <v>48</v>
      </c>
      <c r="G958" s="7">
        <f>Table2[[#This Row],[Unit price]]-10</f>
        <v>40.49</v>
      </c>
      <c r="H958" s="7">
        <v>50.49</v>
      </c>
      <c r="I958" s="8">
        <v>9</v>
      </c>
      <c r="J958" s="8">
        <f>Table2[[#This Row],[Unit price]]*Table2[[#This Row],[Quantity]]</f>
        <v>454.41</v>
      </c>
      <c r="K958" s="8">
        <f>Table2[[#This Row],[Unit Cost]]*Table2[[#This Row],[Quantity]]</f>
        <v>364.41</v>
      </c>
      <c r="L958" s="8">
        <f>Table2[[#This Row],[Gross Sales]]-Table2[[#This Row],[COGS]]</f>
        <v>90</v>
      </c>
      <c r="M958" s="9">
        <f t="shared" si="14"/>
        <v>0.19805902158843333</v>
      </c>
      <c r="N958" s="7">
        <v>22.720500000000001</v>
      </c>
      <c r="O958" s="7">
        <v>477.13049999999998</v>
      </c>
      <c r="P958" s="10">
        <v>43475</v>
      </c>
      <c r="Q958" s="10" t="str">
        <f>TEXT(Table2[[#This Row],[Date]],"mmm")</f>
        <v>Jan</v>
      </c>
      <c r="R958" s="11">
        <v>0.71944444444444444</v>
      </c>
      <c r="S958" s="6" t="s">
        <v>33</v>
      </c>
      <c r="T958" s="7">
        <v>5.4</v>
      </c>
      <c r="U958" s="6">
        <f>IF(_xlfn.XLOOKUP(A958,[1]Data2!$A:$A,[1]Data2!$B:$B,"no")="yes",1,0)</f>
        <v>1</v>
      </c>
    </row>
    <row r="959" spans="1:21" s="6" customFormat="1" x14ac:dyDescent="0.3">
      <c r="A959" s="6" t="s">
        <v>997</v>
      </c>
      <c r="B959" s="6" t="s">
        <v>46</v>
      </c>
      <c r="C959" s="6" t="s">
        <v>47</v>
      </c>
      <c r="D959" s="6" t="s">
        <v>31</v>
      </c>
      <c r="E959" s="6" t="s">
        <v>35</v>
      </c>
      <c r="F959" s="6" t="s">
        <v>32</v>
      </c>
      <c r="G959" s="7">
        <f>Table2[[#This Row],[Unit price]]-10</f>
        <v>36.020000000000003</v>
      </c>
      <c r="H959" s="7">
        <v>46.02</v>
      </c>
      <c r="I959" s="8">
        <v>6</v>
      </c>
      <c r="J959" s="8">
        <f>Table2[[#This Row],[Unit price]]*Table2[[#This Row],[Quantity]]</f>
        <v>276.12</v>
      </c>
      <c r="K959" s="8">
        <f>Table2[[#This Row],[Unit Cost]]*Table2[[#This Row],[Quantity]]</f>
        <v>216.12</v>
      </c>
      <c r="L959" s="8">
        <f>Table2[[#This Row],[Gross Sales]]-Table2[[#This Row],[COGS]]</f>
        <v>60</v>
      </c>
      <c r="M959" s="9">
        <f t="shared" si="14"/>
        <v>0.21729682746631898</v>
      </c>
      <c r="N959" s="7">
        <v>13.805999999999999</v>
      </c>
      <c r="O959" s="7">
        <v>289.92599999999999</v>
      </c>
      <c r="P959" s="10">
        <v>43503</v>
      </c>
      <c r="Q959" s="10" t="str">
        <f>TEXT(Table2[[#This Row],[Date]],"mmm")</f>
        <v>Feb</v>
      </c>
      <c r="R959" s="11">
        <v>0.66319444444444442</v>
      </c>
      <c r="S959" s="6" t="s">
        <v>33</v>
      </c>
      <c r="T959" s="7">
        <v>7.1</v>
      </c>
      <c r="U959" s="6">
        <f>IF(_xlfn.XLOOKUP(A959,[1]Data2!$A:$A,[1]Data2!$B:$B,"no")="yes",1,0)</f>
        <v>0</v>
      </c>
    </row>
    <row r="960" spans="1:21" s="6" customFormat="1" x14ac:dyDescent="0.3">
      <c r="A960" s="6" t="s">
        <v>998</v>
      </c>
      <c r="B960" s="6" t="s">
        <v>29</v>
      </c>
      <c r="C960" s="6" t="s">
        <v>30</v>
      </c>
      <c r="D960" s="6" t="s">
        <v>31</v>
      </c>
      <c r="E960" s="6" t="s">
        <v>25</v>
      </c>
      <c r="F960" s="6" t="s">
        <v>36</v>
      </c>
      <c r="G960" s="7">
        <f>Table2[[#This Row],[Unit price]]-10</f>
        <v>5.8000000000000007</v>
      </c>
      <c r="H960" s="7">
        <v>15.8</v>
      </c>
      <c r="I960" s="8">
        <v>10</v>
      </c>
      <c r="J960" s="8">
        <f>Table2[[#This Row],[Unit price]]*Table2[[#This Row],[Quantity]]</f>
        <v>158</v>
      </c>
      <c r="K960" s="8">
        <f>Table2[[#This Row],[Unit Cost]]*Table2[[#This Row],[Quantity]]</f>
        <v>58.000000000000007</v>
      </c>
      <c r="L960" s="8">
        <f>Table2[[#This Row],[Gross Sales]]-Table2[[#This Row],[COGS]]</f>
        <v>100</v>
      </c>
      <c r="M960" s="9">
        <f t="shared" si="14"/>
        <v>0.63291139240506333</v>
      </c>
      <c r="N960" s="7">
        <v>7.9</v>
      </c>
      <c r="O960" s="7">
        <v>165.9</v>
      </c>
      <c r="P960" s="10">
        <v>43474</v>
      </c>
      <c r="Q960" s="10" t="str">
        <f>TEXT(Table2[[#This Row],[Date]],"mmm")</f>
        <v>Jan</v>
      </c>
      <c r="R960" s="11">
        <v>0.50486111111111109</v>
      </c>
      <c r="S960" s="6" t="s">
        <v>33</v>
      </c>
      <c r="T960" s="7">
        <v>7.8</v>
      </c>
      <c r="U960" s="6">
        <f>IF(_xlfn.XLOOKUP(A960,[1]Data2!$A:$A,[1]Data2!$B:$B,"no")="yes",1,0)</f>
        <v>0</v>
      </c>
    </row>
    <row r="961" spans="1:21" s="6" customFormat="1" x14ac:dyDescent="0.3">
      <c r="A961" s="6" t="s">
        <v>999</v>
      </c>
      <c r="B961" s="6" t="s">
        <v>22</v>
      </c>
      <c r="C961" s="6" t="s">
        <v>23</v>
      </c>
      <c r="D961" s="6" t="s">
        <v>24</v>
      </c>
      <c r="E961" s="6" t="s">
        <v>25</v>
      </c>
      <c r="F961" s="6" t="s">
        <v>48</v>
      </c>
      <c r="G961" s="7">
        <f>Table2[[#This Row],[Unit price]]-10</f>
        <v>88.66</v>
      </c>
      <c r="H961" s="7">
        <v>98.66</v>
      </c>
      <c r="I961" s="8">
        <v>9</v>
      </c>
      <c r="J961" s="8">
        <f>Table2[[#This Row],[Unit price]]*Table2[[#This Row],[Quantity]]</f>
        <v>887.93999999999994</v>
      </c>
      <c r="K961" s="8">
        <f>Table2[[#This Row],[Unit Cost]]*Table2[[#This Row],[Quantity]]</f>
        <v>797.93999999999994</v>
      </c>
      <c r="L961" s="8">
        <f>Table2[[#This Row],[Gross Sales]]-Table2[[#This Row],[COGS]]</f>
        <v>90</v>
      </c>
      <c r="M961" s="9">
        <f t="shared" si="14"/>
        <v>0.10135819987837016</v>
      </c>
      <c r="N961" s="7">
        <v>44.396999999999998</v>
      </c>
      <c r="O961" s="7">
        <v>932.33699999999999</v>
      </c>
      <c r="P961" s="10">
        <v>43515</v>
      </c>
      <c r="Q961" s="10" t="str">
        <f>TEXT(Table2[[#This Row],[Date]],"mmm")</f>
        <v>Feb</v>
      </c>
      <c r="R961" s="11">
        <v>0.62986111111111109</v>
      </c>
      <c r="S961" s="6" t="s">
        <v>33</v>
      </c>
      <c r="T961" s="7">
        <v>8.4</v>
      </c>
      <c r="U961" s="6">
        <f>IF(_xlfn.XLOOKUP(A961,[1]Data2!$A:$A,[1]Data2!$B:$B,"no")="yes",1,0)</f>
        <v>0</v>
      </c>
    </row>
    <row r="962" spans="1:21" s="6" customFormat="1" x14ac:dyDescent="0.3">
      <c r="A962" s="6" t="s">
        <v>1000</v>
      </c>
      <c r="B962" s="6" t="s">
        <v>29</v>
      </c>
      <c r="C962" s="6" t="s">
        <v>30</v>
      </c>
      <c r="D962" s="6" t="s">
        <v>24</v>
      </c>
      <c r="E962" s="6" t="s">
        <v>35</v>
      </c>
      <c r="F962" s="6" t="s">
        <v>50</v>
      </c>
      <c r="G962" s="7">
        <f>Table2[[#This Row],[Unit price]]-10</f>
        <v>81.98</v>
      </c>
      <c r="H962" s="7">
        <v>91.98</v>
      </c>
      <c r="I962" s="8">
        <v>1</v>
      </c>
      <c r="J962" s="8">
        <f>Table2[[#This Row],[Unit price]]*Table2[[#This Row],[Quantity]]</f>
        <v>91.98</v>
      </c>
      <c r="K962" s="8">
        <f>Table2[[#This Row],[Unit Cost]]*Table2[[#This Row],[Quantity]]</f>
        <v>81.98</v>
      </c>
      <c r="L962" s="8">
        <f>Table2[[#This Row],[Gross Sales]]-Table2[[#This Row],[COGS]]</f>
        <v>10</v>
      </c>
      <c r="M962" s="9">
        <f t="shared" si="14"/>
        <v>0.10871928680147858</v>
      </c>
      <c r="N962" s="7">
        <v>4.5990000000000002</v>
      </c>
      <c r="O962" s="7">
        <v>96.578999999999994</v>
      </c>
      <c r="P962" s="10">
        <v>43542</v>
      </c>
      <c r="Q962" s="10" t="str">
        <f>TEXT(Table2[[#This Row],[Date]],"mmm")</f>
        <v>Mar</v>
      </c>
      <c r="R962" s="11">
        <v>0.64513888888888882</v>
      </c>
      <c r="S962" s="6" t="s">
        <v>33</v>
      </c>
      <c r="T962" s="7">
        <v>9.8000000000000007</v>
      </c>
      <c r="U962" s="6">
        <f>IF(_xlfn.XLOOKUP(A962,[1]Data2!$A:$A,[1]Data2!$B:$B,"no")="yes",1,0)</f>
        <v>1</v>
      </c>
    </row>
    <row r="963" spans="1:21" s="6" customFormat="1" x14ac:dyDescent="0.3">
      <c r="A963" s="6" t="s">
        <v>1001</v>
      </c>
      <c r="B963" s="6" t="s">
        <v>22</v>
      </c>
      <c r="C963" s="6" t="s">
        <v>23</v>
      </c>
      <c r="D963" s="6" t="s">
        <v>24</v>
      </c>
      <c r="E963" s="6" t="s">
        <v>35</v>
      </c>
      <c r="F963" s="6" t="s">
        <v>32</v>
      </c>
      <c r="G963" s="7">
        <f>Table2[[#This Row],[Unit price]]-10</f>
        <v>10.89</v>
      </c>
      <c r="H963" s="7">
        <v>20.89</v>
      </c>
      <c r="I963" s="8">
        <v>2</v>
      </c>
      <c r="J963" s="8">
        <f>Table2[[#This Row],[Unit price]]*Table2[[#This Row],[Quantity]]</f>
        <v>41.78</v>
      </c>
      <c r="K963" s="8">
        <f>Table2[[#This Row],[Unit Cost]]*Table2[[#This Row],[Quantity]]</f>
        <v>21.78</v>
      </c>
      <c r="L963" s="8">
        <f>Table2[[#This Row],[Gross Sales]]-Table2[[#This Row],[COGS]]</f>
        <v>20</v>
      </c>
      <c r="M963" s="9">
        <f t="shared" ref="M963:M1002" si="15">IFERROR(L963/J963,0)</f>
        <v>0.4786979415988511</v>
      </c>
      <c r="N963" s="7">
        <v>2.089</v>
      </c>
      <c r="O963" s="7">
        <v>43.869</v>
      </c>
      <c r="P963" s="10">
        <v>43501</v>
      </c>
      <c r="Q963" s="10" t="str">
        <f>TEXT(Table2[[#This Row],[Date]],"mmm")</f>
        <v>Feb</v>
      </c>
      <c r="R963" s="11">
        <v>0.78125</v>
      </c>
      <c r="S963" s="6" t="s">
        <v>33</v>
      </c>
      <c r="T963" s="7">
        <v>9.8000000000000007</v>
      </c>
      <c r="U963" s="6">
        <f>IF(_xlfn.XLOOKUP(A963,[1]Data2!$A:$A,[1]Data2!$B:$B,"no")="yes",1,0)</f>
        <v>0</v>
      </c>
    </row>
    <row r="964" spans="1:21" s="6" customFormat="1" x14ac:dyDescent="0.3">
      <c r="A964" s="6" t="s">
        <v>1002</v>
      </c>
      <c r="B964" s="6" t="s">
        <v>22</v>
      </c>
      <c r="C964" s="6" t="s">
        <v>23</v>
      </c>
      <c r="D964" s="6" t="s">
        <v>31</v>
      </c>
      <c r="E964" s="6" t="s">
        <v>25</v>
      </c>
      <c r="F964" s="6" t="s">
        <v>50</v>
      </c>
      <c r="G964" s="7">
        <f>Table2[[#This Row],[Unit price]]-10</f>
        <v>5.5</v>
      </c>
      <c r="H964" s="7">
        <v>15.5</v>
      </c>
      <c r="I964" s="8">
        <v>1</v>
      </c>
      <c r="J964" s="8">
        <f>Table2[[#This Row],[Unit price]]*Table2[[#This Row],[Quantity]]</f>
        <v>15.5</v>
      </c>
      <c r="K964" s="8">
        <f>Table2[[#This Row],[Unit Cost]]*Table2[[#This Row],[Quantity]]</f>
        <v>5.5</v>
      </c>
      <c r="L964" s="8">
        <f>Table2[[#This Row],[Gross Sales]]-Table2[[#This Row],[COGS]]</f>
        <v>10</v>
      </c>
      <c r="M964" s="9">
        <f t="shared" si="15"/>
        <v>0.64516129032258063</v>
      </c>
      <c r="N964" s="7">
        <v>0.77500000000000002</v>
      </c>
      <c r="O964" s="7">
        <v>16.274999999999999</v>
      </c>
      <c r="P964" s="10">
        <v>43543</v>
      </c>
      <c r="Q964" s="10" t="str">
        <f>TEXT(Table2[[#This Row],[Date]],"mmm")</f>
        <v>Mar</v>
      </c>
      <c r="R964" s="11">
        <v>0.64097222222222217</v>
      </c>
      <c r="S964" s="6" t="s">
        <v>37</v>
      </c>
      <c r="T964" s="7">
        <v>7.4</v>
      </c>
      <c r="U964" s="6">
        <f>IF(_xlfn.XLOOKUP(A964,[1]Data2!$A:$A,[1]Data2!$B:$B,"no")="yes",1,0)</f>
        <v>0</v>
      </c>
    </row>
    <row r="965" spans="1:21" s="6" customFormat="1" x14ac:dyDescent="0.3">
      <c r="A965" s="6" t="s">
        <v>1003</v>
      </c>
      <c r="B965" s="6" t="s">
        <v>29</v>
      </c>
      <c r="C965" s="6" t="s">
        <v>30</v>
      </c>
      <c r="D965" s="6" t="s">
        <v>24</v>
      </c>
      <c r="E965" s="6" t="s">
        <v>35</v>
      </c>
      <c r="F965" s="6" t="s">
        <v>32</v>
      </c>
      <c r="G965" s="7">
        <f>Table2[[#This Row],[Unit price]]-10</f>
        <v>86.82</v>
      </c>
      <c r="H965" s="7">
        <v>96.82</v>
      </c>
      <c r="I965" s="8">
        <v>3</v>
      </c>
      <c r="J965" s="8">
        <f>Table2[[#This Row],[Unit price]]*Table2[[#This Row],[Quantity]]</f>
        <v>290.45999999999998</v>
      </c>
      <c r="K965" s="8">
        <f>Table2[[#This Row],[Unit Cost]]*Table2[[#This Row],[Quantity]]</f>
        <v>260.45999999999998</v>
      </c>
      <c r="L965" s="8">
        <f>Table2[[#This Row],[Gross Sales]]-Table2[[#This Row],[COGS]]</f>
        <v>30</v>
      </c>
      <c r="M965" s="9">
        <f t="shared" si="15"/>
        <v>0.10328444536252841</v>
      </c>
      <c r="N965" s="7">
        <v>14.523</v>
      </c>
      <c r="O965" s="7">
        <v>304.983</v>
      </c>
      <c r="P965" s="10">
        <v>43554</v>
      </c>
      <c r="Q965" s="10" t="str">
        <f>TEXT(Table2[[#This Row],[Date]],"mmm")</f>
        <v>Mar</v>
      </c>
      <c r="R965" s="11">
        <v>0.85902777777777783</v>
      </c>
      <c r="S965" s="6" t="s">
        <v>33</v>
      </c>
      <c r="T965" s="7">
        <v>6.7</v>
      </c>
      <c r="U965" s="6">
        <f>IF(_xlfn.XLOOKUP(A965,[1]Data2!$A:$A,[1]Data2!$B:$B,"no")="yes",1,0)</f>
        <v>0</v>
      </c>
    </row>
    <row r="966" spans="1:21" s="6" customFormat="1" x14ac:dyDescent="0.3">
      <c r="A966" s="6" t="s">
        <v>1004</v>
      </c>
      <c r="B966" s="6" t="s">
        <v>46</v>
      </c>
      <c r="C966" s="6" t="s">
        <v>47</v>
      </c>
      <c r="D966" s="6" t="s">
        <v>31</v>
      </c>
      <c r="E966" s="6" t="s">
        <v>35</v>
      </c>
      <c r="F966" s="6" t="s">
        <v>48</v>
      </c>
      <c r="G966" s="7">
        <f>Table2[[#This Row],[Unit price]]-10</f>
        <v>23.33</v>
      </c>
      <c r="H966" s="7">
        <v>33.33</v>
      </c>
      <c r="I966" s="8">
        <v>2</v>
      </c>
      <c r="J966" s="8">
        <f>Table2[[#This Row],[Unit price]]*Table2[[#This Row],[Quantity]]</f>
        <v>66.66</v>
      </c>
      <c r="K966" s="8">
        <f>Table2[[#This Row],[Unit Cost]]*Table2[[#This Row],[Quantity]]</f>
        <v>46.66</v>
      </c>
      <c r="L966" s="8">
        <f>Table2[[#This Row],[Gross Sales]]-Table2[[#This Row],[COGS]]</f>
        <v>20</v>
      </c>
      <c r="M966" s="9">
        <f t="shared" si="15"/>
        <v>0.30003000300030003</v>
      </c>
      <c r="N966" s="7">
        <v>3.3330000000000002</v>
      </c>
      <c r="O966" s="7">
        <v>69.992999999999995</v>
      </c>
      <c r="P966" s="10">
        <v>43491</v>
      </c>
      <c r="Q966" s="10" t="str">
        <f>TEXT(Table2[[#This Row],[Date]],"mmm")</f>
        <v>Jan</v>
      </c>
      <c r="R966" s="11">
        <v>0.6118055555555556</v>
      </c>
      <c r="S966" s="6" t="s">
        <v>37</v>
      </c>
      <c r="T966" s="7">
        <v>6.4</v>
      </c>
      <c r="U966" s="6">
        <f>IF(_xlfn.XLOOKUP(A966,[1]Data2!$A:$A,[1]Data2!$B:$B,"no")="yes",1,0)</f>
        <v>1</v>
      </c>
    </row>
    <row r="967" spans="1:21" s="6" customFormat="1" x14ac:dyDescent="0.3">
      <c r="A967" s="6" t="s">
        <v>1005</v>
      </c>
      <c r="B967" s="6" t="s">
        <v>46</v>
      </c>
      <c r="C967" s="6" t="s">
        <v>47</v>
      </c>
      <c r="D967" s="6" t="s">
        <v>31</v>
      </c>
      <c r="E967" s="6" t="s">
        <v>25</v>
      </c>
      <c r="F967" s="6" t="s">
        <v>32</v>
      </c>
      <c r="G967" s="7">
        <f>Table2[[#This Row],[Unit price]]-10</f>
        <v>28.270000000000003</v>
      </c>
      <c r="H967" s="7">
        <v>38.270000000000003</v>
      </c>
      <c r="I967" s="8">
        <v>2</v>
      </c>
      <c r="J967" s="8">
        <f>Table2[[#This Row],[Unit price]]*Table2[[#This Row],[Quantity]]</f>
        <v>76.540000000000006</v>
      </c>
      <c r="K967" s="8">
        <f>Table2[[#This Row],[Unit Cost]]*Table2[[#This Row],[Quantity]]</f>
        <v>56.540000000000006</v>
      </c>
      <c r="L967" s="8">
        <f>Table2[[#This Row],[Gross Sales]]-Table2[[#This Row],[COGS]]</f>
        <v>20</v>
      </c>
      <c r="M967" s="9">
        <f t="shared" si="15"/>
        <v>0.26130128037627381</v>
      </c>
      <c r="N967" s="7">
        <v>3.827</v>
      </c>
      <c r="O967" s="7">
        <v>80.367000000000004</v>
      </c>
      <c r="P967" s="10">
        <v>43526</v>
      </c>
      <c r="Q967" s="10" t="str">
        <f>TEXT(Table2[[#This Row],[Date]],"mmm")</f>
        <v>Mar</v>
      </c>
      <c r="R967" s="11">
        <v>0.76250000000000007</v>
      </c>
      <c r="S967" s="6" t="s">
        <v>37</v>
      </c>
      <c r="T967" s="7">
        <v>5.8</v>
      </c>
      <c r="U967" s="6">
        <f>IF(_xlfn.XLOOKUP(A967,[1]Data2!$A:$A,[1]Data2!$B:$B,"no")="yes",1,0)</f>
        <v>0</v>
      </c>
    </row>
    <row r="968" spans="1:21" s="6" customFormat="1" x14ac:dyDescent="0.3">
      <c r="A968" s="6" t="s">
        <v>1006</v>
      </c>
      <c r="B968" s="6" t="s">
        <v>22</v>
      </c>
      <c r="C968" s="6" t="s">
        <v>23</v>
      </c>
      <c r="D968" s="6" t="s">
        <v>31</v>
      </c>
      <c r="E968" s="6" t="s">
        <v>25</v>
      </c>
      <c r="F968" s="6" t="s">
        <v>36</v>
      </c>
      <c r="G968" s="7">
        <f>Table2[[#This Row],[Unit price]]-10</f>
        <v>23.299999999999997</v>
      </c>
      <c r="H968" s="7">
        <v>33.299999999999997</v>
      </c>
      <c r="I968" s="8">
        <v>9</v>
      </c>
      <c r="J968" s="8">
        <f>Table2[[#This Row],[Unit price]]*Table2[[#This Row],[Quantity]]</f>
        <v>299.7</v>
      </c>
      <c r="K968" s="8">
        <f>Table2[[#This Row],[Unit Cost]]*Table2[[#This Row],[Quantity]]</f>
        <v>209.7</v>
      </c>
      <c r="L968" s="8">
        <f>Table2[[#This Row],[Gross Sales]]-Table2[[#This Row],[COGS]]</f>
        <v>90</v>
      </c>
      <c r="M968" s="9">
        <f t="shared" si="15"/>
        <v>0.3003003003003003</v>
      </c>
      <c r="N968" s="7">
        <v>14.984999999999999</v>
      </c>
      <c r="O968" s="7">
        <v>314.685</v>
      </c>
      <c r="P968" s="10">
        <v>43528</v>
      </c>
      <c r="Q968" s="10" t="str">
        <f>TEXT(Table2[[#This Row],[Date]],"mmm")</f>
        <v>Mar</v>
      </c>
      <c r="R968" s="11">
        <v>0.64374999999999993</v>
      </c>
      <c r="S968" s="6" t="s">
        <v>27</v>
      </c>
      <c r="T968" s="7">
        <v>7.2</v>
      </c>
      <c r="U968" s="6">
        <f>IF(_xlfn.XLOOKUP(A968,[1]Data2!$A:$A,[1]Data2!$B:$B,"no")="yes",1,0)</f>
        <v>0</v>
      </c>
    </row>
    <row r="969" spans="1:21" s="6" customFormat="1" x14ac:dyDescent="0.3">
      <c r="A969" s="6" t="s">
        <v>1007</v>
      </c>
      <c r="B969" s="6" t="s">
        <v>22</v>
      </c>
      <c r="C969" s="6" t="s">
        <v>23</v>
      </c>
      <c r="D969" s="6" t="s">
        <v>24</v>
      </c>
      <c r="E969" s="6" t="s">
        <v>35</v>
      </c>
      <c r="F969" s="6" t="s">
        <v>36</v>
      </c>
      <c r="G969" s="7">
        <f>Table2[[#This Row],[Unit price]]-10</f>
        <v>71.010000000000005</v>
      </c>
      <c r="H969" s="7">
        <v>81.010000000000005</v>
      </c>
      <c r="I969" s="8">
        <v>3</v>
      </c>
      <c r="J969" s="8">
        <f>Table2[[#This Row],[Unit price]]*Table2[[#This Row],[Quantity]]</f>
        <v>243.03000000000003</v>
      </c>
      <c r="K969" s="8">
        <f>Table2[[#This Row],[Unit Cost]]*Table2[[#This Row],[Quantity]]</f>
        <v>213.03000000000003</v>
      </c>
      <c r="L969" s="8">
        <f>Table2[[#This Row],[Gross Sales]]-Table2[[#This Row],[COGS]]</f>
        <v>30</v>
      </c>
      <c r="M969" s="9">
        <f t="shared" si="15"/>
        <v>0.12344155042587333</v>
      </c>
      <c r="N969" s="7">
        <v>12.1515</v>
      </c>
      <c r="O969" s="7">
        <v>255.1815</v>
      </c>
      <c r="P969" s="10">
        <v>43478</v>
      </c>
      <c r="Q969" s="10" t="str">
        <f>TEXT(Table2[[#This Row],[Date]],"mmm")</f>
        <v>Jan</v>
      </c>
      <c r="R969" s="11">
        <v>0.53819444444444442</v>
      </c>
      <c r="S969" s="6" t="s">
        <v>37</v>
      </c>
      <c r="T969" s="7">
        <v>9.3000000000000007</v>
      </c>
      <c r="U969" s="6">
        <f>IF(_xlfn.XLOOKUP(A969,[1]Data2!$A:$A,[1]Data2!$B:$B,"no")="yes",1,0)</f>
        <v>0</v>
      </c>
    </row>
    <row r="970" spans="1:21" s="6" customFormat="1" x14ac:dyDescent="0.3">
      <c r="A970" s="6" t="s">
        <v>1008</v>
      </c>
      <c r="B970" s="6" t="s">
        <v>22</v>
      </c>
      <c r="C970" s="6" t="s">
        <v>23</v>
      </c>
      <c r="D970" s="6" t="s">
        <v>31</v>
      </c>
      <c r="E970" s="6" t="s">
        <v>25</v>
      </c>
      <c r="F970" s="6" t="s">
        <v>26</v>
      </c>
      <c r="G970" s="7">
        <f>Table2[[#This Row],[Unit price]]-10</f>
        <v>5.8000000000000007</v>
      </c>
      <c r="H970" s="7">
        <v>15.8</v>
      </c>
      <c r="I970" s="8">
        <v>3</v>
      </c>
      <c r="J970" s="8">
        <f>Table2[[#This Row],[Unit price]]*Table2[[#This Row],[Quantity]]</f>
        <v>47.400000000000006</v>
      </c>
      <c r="K970" s="8">
        <f>Table2[[#This Row],[Unit Cost]]*Table2[[#This Row],[Quantity]]</f>
        <v>17.400000000000002</v>
      </c>
      <c r="L970" s="8">
        <f>Table2[[#This Row],[Gross Sales]]-Table2[[#This Row],[COGS]]</f>
        <v>30.000000000000004</v>
      </c>
      <c r="M970" s="9">
        <f t="shared" si="15"/>
        <v>0.63291139240506333</v>
      </c>
      <c r="N970" s="7">
        <v>2.37</v>
      </c>
      <c r="O970" s="7">
        <v>49.77</v>
      </c>
      <c r="P970" s="10">
        <v>43549</v>
      </c>
      <c r="Q970" s="10" t="str">
        <f>TEXT(Table2[[#This Row],[Date]],"mmm")</f>
        <v>Mar</v>
      </c>
      <c r="R970" s="11">
        <v>0.75138888888888899</v>
      </c>
      <c r="S970" s="6" t="s">
        <v>33</v>
      </c>
      <c r="T970" s="7">
        <v>9.5</v>
      </c>
      <c r="U970" s="6">
        <f>IF(_xlfn.XLOOKUP(A970,[1]Data2!$A:$A,[1]Data2!$B:$B,"no")="yes",1,0)</f>
        <v>1</v>
      </c>
    </row>
    <row r="971" spans="1:21" s="6" customFormat="1" x14ac:dyDescent="0.3">
      <c r="A971" s="6" t="s">
        <v>1009</v>
      </c>
      <c r="B971" s="6" t="s">
        <v>46</v>
      </c>
      <c r="C971" s="6" t="s">
        <v>47</v>
      </c>
      <c r="D971" s="6" t="s">
        <v>24</v>
      </c>
      <c r="E971" s="6" t="s">
        <v>25</v>
      </c>
      <c r="F971" s="6" t="s">
        <v>32</v>
      </c>
      <c r="G971" s="7">
        <f>Table2[[#This Row],[Unit price]]-10</f>
        <v>24.490000000000002</v>
      </c>
      <c r="H971" s="7">
        <v>34.49</v>
      </c>
      <c r="I971" s="8">
        <v>5</v>
      </c>
      <c r="J971" s="8">
        <f>Table2[[#This Row],[Unit price]]*Table2[[#This Row],[Quantity]]</f>
        <v>172.45000000000002</v>
      </c>
      <c r="K971" s="8">
        <f>Table2[[#This Row],[Unit Cost]]*Table2[[#This Row],[Quantity]]</f>
        <v>122.45000000000002</v>
      </c>
      <c r="L971" s="8">
        <f>Table2[[#This Row],[Gross Sales]]-Table2[[#This Row],[COGS]]</f>
        <v>50</v>
      </c>
      <c r="M971" s="9">
        <f t="shared" si="15"/>
        <v>0.28993911278631485</v>
      </c>
      <c r="N971" s="7">
        <v>8.6225000000000005</v>
      </c>
      <c r="O971" s="7">
        <v>181.07249999999999</v>
      </c>
      <c r="P971" s="10">
        <v>43535</v>
      </c>
      <c r="Q971" s="10" t="str">
        <f>TEXT(Table2[[#This Row],[Date]],"mmm")</f>
        <v>Mar</v>
      </c>
      <c r="R971" s="11">
        <v>0.8222222222222223</v>
      </c>
      <c r="S971" s="6" t="s">
        <v>37</v>
      </c>
      <c r="T971" s="7">
        <v>9</v>
      </c>
      <c r="U971" s="6">
        <f>IF(_xlfn.XLOOKUP(A971,[1]Data2!$A:$A,[1]Data2!$B:$B,"no")="yes",1,0)</f>
        <v>0</v>
      </c>
    </row>
    <row r="972" spans="1:21" s="6" customFormat="1" x14ac:dyDescent="0.3">
      <c r="A972" s="6" t="s">
        <v>1010</v>
      </c>
      <c r="B972" s="6" t="s">
        <v>46</v>
      </c>
      <c r="C972" s="6" t="s">
        <v>47</v>
      </c>
      <c r="D972" s="6" t="s">
        <v>24</v>
      </c>
      <c r="E972" s="6" t="s">
        <v>25</v>
      </c>
      <c r="F972" s="6" t="s">
        <v>48</v>
      </c>
      <c r="G972" s="7">
        <f>Table2[[#This Row],[Unit price]]-10</f>
        <v>74.63</v>
      </c>
      <c r="H972" s="7">
        <v>84.63</v>
      </c>
      <c r="I972" s="8">
        <v>10</v>
      </c>
      <c r="J972" s="8">
        <f>Table2[[#This Row],[Unit price]]*Table2[[#This Row],[Quantity]]</f>
        <v>846.3</v>
      </c>
      <c r="K972" s="8">
        <f>Table2[[#This Row],[Unit Cost]]*Table2[[#This Row],[Quantity]]</f>
        <v>746.3</v>
      </c>
      <c r="L972" s="8">
        <f>Table2[[#This Row],[Gross Sales]]-Table2[[#This Row],[COGS]]</f>
        <v>100</v>
      </c>
      <c r="M972" s="9">
        <f t="shared" si="15"/>
        <v>0.11816140848398914</v>
      </c>
      <c r="N972" s="7">
        <v>42.314999999999998</v>
      </c>
      <c r="O972" s="7">
        <v>888.61500000000001</v>
      </c>
      <c r="P972" s="10">
        <v>43466</v>
      </c>
      <c r="Q972" s="10" t="str">
        <f>TEXT(Table2[[#This Row],[Date]],"mmm")</f>
        <v>Jan</v>
      </c>
      <c r="R972" s="11">
        <v>0.48333333333333334</v>
      </c>
      <c r="S972" s="6" t="s">
        <v>37</v>
      </c>
      <c r="T972" s="7">
        <v>9</v>
      </c>
      <c r="U972" s="6">
        <f>IF(_xlfn.XLOOKUP(A972,[1]Data2!$A:$A,[1]Data2!$B:$B,"no")="yes",1,0)</f>
        <v>0</v>
      </c>
    </row>
    <row r="973" spans="1:21" s="6" customFormat="1" x14ac:dyDescent="0.3">
      <c r="A973" s="6" t="s">
        <v>1011</v>
      </c>
      <c r="B973" s="6" t="s">
        <v>46</v>
      </c>
      <c r="C973" s="6" t="s">
        <v>47</v>
      </c>
      <c r="D973" s="6" t="s">
        <v>24</v>
      </c>
      <c r="E973" s="6" t="s">
        <v>35</v>
      </c>
      <c r="F973" s="6" t="s">
        <v>36</v>
      </c>
      <c r="G973" s="7">
        <f>Table2[[#This Row],[Unit price]]-10</f>
        <v>26.909999999999997</v>
      </c>
      <c r="H973" s="7">
        <v>36.909999999999997</v>
      </c>
      <c r="I973" s="8">
        <v>7</v>
      </c>
      <c r="J973" s="8">
        <f>Table2[[#This Row],[Unit price]]*Table2[[#This Row],[Quantity]]</f>
        <v>258.37</v>
      </c>
      <c r="K973" s="8">
        <f>Table2[[#This Row],[Unit Cost]]*Table2[[#This Row],[Quantity]]</f>
        <v>188.36999999999998</v>
      </c>
      <c r="L973" s="8">
        <f>Table2[[#This Row],[Gross Sales]]-Table2[[#This Row],[COGS]]</f>
        <v>70.000000000000028</v>
      </c>
      <c r="M973" s="9">
        <f t="shared" si="15"/>
        <v>0.27092928745597411</v>
      </c>
      <c r="N973" s="7">
        <v>12.9185</v>
      </c>
      <c r="O973" s="7">
        <v>271.2885</v>
      </c>
      <c r="P973" s="10">
        <v>43506</v>
      </c>
      <c r="Q973" s="10" t="str">
        <f>TEXT(Table2[[#This Row],[Date]],"mmm")</f>
        <v>Feb</v>
      </c>
      <c r="R973" s="11">
        <v>0.57708333333333328</v>
      </c>
      <c r="S973" s="6" t="s">
        <v>27</v>
      </c>
      <c r="T973" s="7">
        <v>6.7</v>
      </c>
      <c r="U973" s="6">
        <f>IF(_xlfn.XLOOKUP(A973,[1]Data2!$A:$A,[1]Data2!$B:$B,"no")="yes",1,0)</f>
        <v>0</v>
      </c>
    </row>
    <row r="974" spans="1:21" s="6" customFormat="1" x14ac:dyDescent="0.3">
      <c r="A974" s="6" t="s">
        <v>1012</v>
      </c>
      <c r="B974" s="6" t="s">
        <v>46</v>
      </c>
      <c r="C974" s="6" t="s">
        <v>47</v>
      </c>
      <c r="D974" s="6" t="s">
        <v>31</v>
      </c>
      <c r="E974" s="6" t="s">
        <v>35</v>
      </c>
      <c r="F974" s="6" t="s">
        <v>32</v>
      </c>
      <c r="G974" s="7">
        <f>Table2[[#This Row],[Unit price]]-10</f>
        <v>77.08</v>
      </c>
      <c r="H974" s="7">
        <v>87.08</v>
      </c>
      <c r="I974" s="8">
        <v>7</v>
      </c>
      <c r="J974" s="8">
        <f>Table2[[#This Row],[Unit price]]*Table2[[#This Row],[Quantity]]</f>
        <v>609.55999999999995</v>
      </c>
      <c r="K974" s="8">
        <f>Table2[[#This Row],[Unit Cost]]*Table2[[#This Row],[Quantity]]</f>
        <v>539.55999999999995</v>
      </c>
      <c r="L974" s="8">
        <f>Table2[[#This Row],[Gross Sales]]-Table2[[#This Row],[COGS]]</f>
        <v>70</v>
      </c>
      <c r="M974" s="9">
        <f t="shared" si="15"/>
        <v>0.1148369315571888</v>
      </c>
      <c r="N974" s="7">
        <v>30.478000000000002</v>
      </c>
      <c r="O974" s="7">
        <v>640.03800000000001</v>
      </c>
      <c r="P974" s="10">
        <v>43491</v>
      </c>
      <c r="Q974" s="10" t="str">
        <f>TEXT(Table2[[#This Row],[Date]],"mmm")</f>
        <v>Jan</v>
      </c>
      <c r="R974" s="11">
        <v>0.63680555555555551</v>
      </c>
      <c r="S974" s="6" t="s">
        <v>33</v>
      </c>
      <c r="T974" s="7">
        <v>5.5</v>
      </c>
      <c r="U974" s="6">
        <f>IF(_xlfn.XLOOKUP(A974,[1]Data2!$A:$A,[1]Data2!$B:$B,"no")="yes",1,0)</f>
        <v>1</v>
      </c>
    </row>
    <row r="975" spans="1:21" s="6" customFormat="1" x14ac:dyDescent="0.3">
      <c r="A975" s="6" t="s">
        <v>1013</v>
      </c>
      <c r="B975" s="6" t="s">
        <v>22</v>
      </c>
      <c r="C975" s="6" t="s">
        <v>23</v>
      </c>
      <c r="D975" s="6" t="s">
        <v>31</v>
      </c>
      <c r="E975" s="6" t="s">
        <v>35</v>
      </c>
      <c r="F975" s="6" t="s">
        <v>36</v>
      </c>
      <c r="G975" s="7">
        <f>Table2[[#This Row],[Unit price]]-10</f>
        <v>70.08</v>
      </c>
      <c r="H975" s="7">
        <v>80.08</v>
      </c>
      <c r="I975" s="8">
        <v>3</v>
      </c>
      <c r="J975" s="8">
        <f>Table2[[#This Row],[Unit price]]*Table2[[#This Row],[Quantity]]</f>
        <v>240.24</v>
      </c>
      <c r="K975" s="8">
        <f>Table2[[#This Row],[Unit Cost]]*Table2[[#This Row],[Quantity]]</f>
        <v>210.24</v>
      </c>
      <c r="L975" s="8">
        <f>Table2[[#This Row],[Gross Sales]]-Table2[[#This Row],[COGS]]</f>
        <v>30</v>
      </c>
      <c r="M975" s="9">
        <f t="shared" si="15"/>
        <v>0.12487512487512487</v>
      </c>
      <c r="N975" s="7">
        <v>12.012</v>
      </c>
      <c r="O975" s="7">
        <v>252.25200000000001</v>
      </c>
      <c r="P975" s="10">
        <v>43507</v>
      </c>
      <c r="Q975" s="10" t="str">
        <f>TEXT(Table2[[#This Row],[Date]],"mmm")</f>
        <v>Feb</v>
      </c>
      <c r="R975" s="11">
        <v>0.64513888888888882</v>
      </c>
      <c r="S975" s="6" t="s">
        <v>33</v>
      </c>
      <c r="T975" s="7">
        <v>5.4</v>
      </c>
      <c r="U975" s="6">
        <f>IF(_xlfn.XLOOKUP(A975,[1]Data2!$A:$A,[1]Data2!$B:$B,"no")="yes",1,0)</f>
        <v>0</v>
      </c>
    </row>
    <row r="976" spans="1:21" s="6" customFormat="1" x14ac:dyDescent="0.3">
      <c r="A976" s="6" t="s">
        <v>1014</v>
      </c>
      <c r="B976" s="6" t="s">
        <v>29</v>
      </c>
      <c r="C976" s="6" t="s">
        <v>30</v>
      </c>
      <c r="D976" s="6" t="s">
        <v>31</v>
      </c>
      <c r="E976" s="6" t="s">
        <v>35</v>
      </c>
      <c r="F976" s="6" t="s">
        <v>50</v>
      </c>
      <c r="G976" s="7">
        <f>Table2[[#This Row],[Unit price]]-10</f>
        <v>76.13</v>
      </c>
      <c r="H976" s="7">
        <v>86.13</v>
      </c>
      <c r="I976" s="8">
        <v>2</v>
      </c>
      <c r="J976" s="8">
        <f>Table2[[#This Row],[Unit price]]*Table2[[#This Row],[Quantity]]</f>
        <v>172.26</v>
      </c>
      <c r="K976" s="8">
        <f>Table2[[#This Row],[Unit Cost]]*Table2[[#This Row],[Quantity]]</f>
        <v>152.26</v>
      </c>
      <c r="L976" s="8">
        <f>Table2[[#This Row],[Gross Sales]]-Table2[[#This Row],[COGS]]</f>
        <v>20</v>
      </c>
      <c r="M976" s="9">
        <f t="shared" si="15"/>
        <v>0.11610356437942645</v>
      </c>
      <c r="N976" s="7">
        <v>8.6129999999999995</v>
      </c>
      <c r="O976" s="7">
        <v>180.87299999999999</v>
      </c>
      <c r="P976" s="10">
        <v>43503</v>
      </c>
      <c r="Q976" s="10" t="str">
        <f>TEXT(Table2[[#This Row],[Date]],"mmm")</f>
        <v>Feb</v>
      </c>
      <c r="R976" s="11">
        <v>0.74930555555555556</v>
      </c>
      <c r="S976" s="6" t="s">
        <v>33</v>
      </c>
      <c r="T976" s="7">
        <v>8.1999999999999993</v>
      </c>
      <c r="U976" s="6">
        <f>IF(_xlfn.XLOOKUP(A976,[1]Data2!$A:$A,[1]Data2!$B:$B,"no")="yes",1,0)</f>
        <v>0</v>
      </c>
    </row>
    <row r="977" spans="1:21" s="6" customFormat="1" x14ac:dyDescent="0.3">
      <c r="A977" s="6" t="s">
        <v>1015</v>
      </c>
      <c r="B977" s="6" t="s">
        <v>46</v>
      </c>
      <c r="C977" s="6" t="s">
        <v>47</v>
      </c>
      <c r="D977" s="6" t="s">
        <v>24</v>
      </c>
      <c r="E977" s="6" t="s">
        <v>35</v>
      </c>
      <c r="F977" s="6" t="s">
        <v>50</v>
      </c>
      <c r="G977" s="7">
        <f>Table2[[#This Row],[Unit price]]-10</f>
        <v>39.92</v>
      </c>
      <c r="H977" s="7">
        <v>49.92</v>
      </c>
      <c r="I977" s="8">
        <v>2</v>
      </c>
      <c r="J977" s="8">
        <f>Table2[[#This Row],[Unit price]]*Table2[[#This Row],[Quantity]]</f>
        <v>99.84</v>
      </c>
      <c r="K977" s="8">
        <f>Table2[[#This Row],[Unit Cost]]*Table2[[#This Row],[Quantity]]</f>
        <v>79.84</v>
      </c>
      <c r="L977" s="8">
        <f>Table2[[#This Row],[Gross Sales]]-Table2[[#This Row],[COGS]]</f>
        <v>20</v>
      </c>
      <c r="M977" s="9">
        <f t="shared" si="15"/>
        <v>0.2003205128205128</v>
      </c>
      <c r="N977" s="7">
        <v>4.992</v>
      </c>
      <c r="O977" s="7">
        <v>104.83199999999999</v>
      </c>
      <c r="P977" s="10">
        <v>43530</v>
      </c>
      <c r="Q977" s="10" t="str">
        <f>TEXT(Table2[[#This Row],[Date]],"mmm")</f>
        <v>Mar</v>
      </c>
      <c r="R977" s="11">
        <v>0.49652777777777773</v>
      </c>
      <c r="S977" s="6" t="s">
        <v>37</v>
      </c>
      <c r="T977" s="7">
        <v>7</v>
      </c>
      <c r="U977" s="6">
        <f>IF(_xlfn.XLOOKUP(A977,[1]Data2!$A:$A,[1]Data2!$B:$B,"no")="yes",1,0)</f>
        <v>0</v>
      </c>
    </row>
    <row r="978" spans="1:21" s="6" customFormat="1" x14ac:dyDescent="0.3">
      <c r="A978" s="6" t="s">
        <v>1016</v>
      </c>
      <c r="B978" s="6" t="s">
        <v>22</v>
      </c>
      <c r="C978" s="6" t="s">
        <v>23</v>
      </c>
      <c r="D978" s="6" t="s">
        <v>31</v>
      </c>
      <c r="E978" s="6" t="s">
        <v>25</v>
      </c>
      <c r="F978" s="6" t="s">
        <v>48</v>
      </c>
      <c r="G978" s="7">
        <f>Table2[[#This Row],[Unit price]]-10</f>
        <v>64.66</v>
      </c>
      <c r="H978" s="7">
        <v>74.66</v>
      </c>
      <c r="I978" s="8">
        <v>4</v>
      </c>
      <c r="J978" s="8">
        <f>Table2[[#This Row],[Unit price]]*Table2[[#This Row],[Quantity]]</f>
        <v>298.64</v>
      </c>
      <c r="K978" s="8">
        <f>Table2[[#This Row],[Unit Cost]]*Table2[[#This Row],[Quantity]]</f>
        <v>258.64</v>
      </c>
      <c r="L978" s="8">
        <f>Table2[[#This Row],[Gross Sales]]-Table2[[#This Row],[COGS]]</f>
        <v>40</v>
      </c>
      <c r="M978" s="9">
        <f t="shared" si="15"/>
        <v>0.13394053040450041</v>
      </c>
      <c r="N978" s="7">
        <v>14.932</v>
      </c>
      <c r="O978" s="7">
        <v>313.572</v>
      </c>
      <c r="P978" s="10">
        <v>43528</v>
      </c>
      <c r="Q978" s="10" t="str">
        <f>TEXT(Table2[[#This Row],[Date]],"mmm")</f>
        <v>Mar</v>
      </c>
      <c r="R978" s="11">
        <v>0.44375000000000003</v>
      </c>
      <c r="S978" s="6" t="s">
        <v>33</v>
      </c>
      <c r="T978" s="7">
        <v>8.5</v>
      </c>
      <c r="U978" s="6">
        <f>IF(_xlfn.XLOOKUP(A978,[1]Data2!$A:$A,[1]Data2!$B:$B,"no")="yes",1,0)</f>
        <v>1</v>
      </c>
    </row>
    <row r="979" spans="1:21" s="6" customFormat="1" x14ac:dyDescent="0.3">
      <c r="A979" s="6" t="s">
        <v>1017</v>
      </c>
      <c r="B979" s="6" t="s">
        <v>46</v>
      </c>
      <c r="C979" s="6" t="s">
        <v>47</v>
      </c>
      <c r="D979" s="6" t="s">
        <v>24</v>
      </c>
      <c r="E979" s="6" t="s">
        <v>35</v>
      </c>
      <c r="F979" s="6" t="s">
        <v>48</v>
      </c>
      <c r="G979" s="7">
        <f>Table2[[#This Row],[Unit price]]-10</f>
        <v>16.600000000000001</v>
      </c>
      <c r="H979" s="7">
        <v>26.6</v>
      </c>
      <c r="I979" s="8">
        <v>6</v>
      </c>
      <c r="J979" s="8">
        <f>Table2[[#This Row],[Unit price]]*Table2[[#This Row],[Quantity]]</f>
        <v>159.60000000000002</v>
      </c>
      <c r="K979" s="8">
        <f>Table2[[#This Row],[Unit Cost]]*Table2[[#This Row],[Quantity]]</f>
        <v>99.600000000000009</v>
      </c>
      <c r="L979" s="8">
        <f>Table2[[#This Row],[Gross Sales]]-Table2[[#This Row],[COGS]]</f>
        <v>60.000000000000014</v>
      </c>
      <c r="M979" s="9">
        <f t="shared" si="15"/>
        <v>0.37593984962406019</v>
      </c>
      <c r="N979" s="7">
        <v>7.98</v>
      </c>
      <c r="O979" s="7">
        <v>167.58</v>
      </c>
      <c r="P979" s="10">
        <v>43522</v>
      </c>
      <c r="Q979" s="10" t="str">
        <f>TEXT(Table2[[#This Row],[Date]],"mmm")</f>
        <v>Feb</v>
      </c>
      <c r="R979" s="11">
        <v>0.63194444444444442</v>
      </c>
      <c r="S979" s="6" t="s">
        <v>27</v>
      </c>
      <c r="T979" s="7">
        <v>4.9000000000000004</v>
      </c>
      <c r="U979" s="6">
        <f>IF(_xlfn.XLOOKUP(A979,[1]Data2!$A:$A,[1]Data2!$B:$B,"no")="yes",1,0)</f>
        <v>0</v>
      </c>
    </row>
    <row r="980" spans="1:21" s="6" customFormat="1" x14ac:dyDescent="0.3">
      <c r="A980" s="6" t="s">
        <v>1018</v>
      </c>
      <c r="B980" s="6" t="s">
        <v>46</v>
      </c>
      <c r="C980" s="6" t="s">
        <v>47</v>
      </c>
      <c r="D980" s="6" t="s">
        <v>31</v>
      </c>
      <c r="E980" s="6" t="s">
        <v>25</v>
      </c>
      <c r="F980" s="6" t="s">
        <v>32</v>
      </c>
      <c r="G980" s="7">
        <f>Table2[[#This Row],[Unit price]]-10</f>
        <v>15.45</v>
      </c>
      <c r="H980" s="7">
        <v>25.45</v>
      </c>
      <c r="I980" s="8">
        <v>1</v>
      </c>
      <c r="J980" s="8">
        <f>Table2[[#This Row],[Unit price]]*Table2[[#This Row],[Quantity]]</f>
        <v>25.45</v>
      </c>
      <c r="K980" s="8">
        <f>Table2[[#This Row],[Unit Cost]]*Table2[[#This Row],[Quantity]]</f>
        <v>15.45</v>
      </c>
      <c r="L980" s="8">
        <f>Table2[[#This Row],[Gross Sales]]-Table2[[#This Row],[COGS]]</f>
        <v>10</v>
      </c>
      <c r="M980" s="9">
        <f t="shared" si="15"/>
        <v>0.39292730844793716</v>
      </c>
      <c r="N980" s="7">
        <v>1.2725</v>
      </c>
      <c r="O980" s="7">
        <v>26.7225</v>
      </c>
      <c r="P980" s="10">
        <v>43534</v>
      </c>
      <c r="Q980" s="10" t="str">
        <f>TEXT(Table2[[#This Row],[Date]],"mmm")</f>
        <v>Mar</v>
      </c>
      <c r="R980" s="11">
        <v>0.75694444444444453</v>
      </c>
      <c r="S980" s="6" t="s">
        <v>37</v>
      </c>
      <c r="T980" s="7">
        <v>5.0999999999999996</v>
      </c>
      <c r="U980" s="6">
        <f>IF(_xlfn.XLOOKUP(A980,[1]Data2!$A:$A,[1]Data2!$B:$B,"no")="yes",1,0)</f>
        <v>0</v>
      </c>
    </row>
    <row r="981" spans="1:21" s="6" customFormat="1" x14ac:dyDescent="0.3">
      <c r="A981" s="6" t="s">
        <v>1019</v>
      </c>
      <c r="B981" s="6" t="s">
        <v>46</v>
      </c>
      <c r="C981" s="6" t="s">
        <v>47</v>
      </c>
      <c r="D981" s="6" t="s">
        <v>31</v>
      </c>
      <c r="E981" s="6" t="s">
        <v>25</v>
      </c>
      <c r="F981" s="6" t="s">
        <v>48</v>
      </c>
      <c r="G981" s="7">
        <f>Table2[[#This Row],[Unit price]]-10</f>
        <v>57.769999999999996</v>
      </c>
      <c r="H981" s="7">
        <v>67.77</v>
      </c>
      <c r="I981" s="8">
        <v>1</v>
      </c>
      <c r="J981" s="8">
        <f>Table2[[#This Row],[Unit price]]*Table2[[#This Row],[Quantity]]</f>
        <v>67.77</v>
      </c>
      <c r="K981" s="8">
        <f>Table2[[#This Row],[Unit Cost]]*Table2[[#This Row],[Quantity]]</f>
        <v>57.769999999999996</v>
      </c>
      <c r="L981" s="8">
        <f>Table2[[#This Row],[Gross Sales]]-Table2[[#This Row],[COGS]]</f>
        <v>10</v>
      </c>
      <c r="M981" s="9">
        <f t="shared" si="15"/>
        <v>0.14755791648221928</v>
      </c>
      <c r="N981" s="7">
        <v>3.3885000000000001</v>
      </c>
      <c r="O981" s="7">
        <v>71.158500000000004</v>
      </c>
      <c r="P981" s="10">
        <v>43500</v>
      </c>
      <c r="Q981" s="10" t="str">
        <f>TEXT(Table2[[#This Row],[Date]],"mmm")</f>
        <v>Feb</v>
      </c>
      <c r="R981" s="11">
        <v>0.86319444444444438</v>
      </c>
      <c r="S981" s="6" t="s">
        <v>37</v>
      </c>
      <c r="T981" s="7">
        <v>6.5</v>
      </c>
      <c r="U981" s="6">
        <f>IF(_xlfn.XLOOKUP(A981,[1]Data2!$A:$A,[1]Data2!$B:$B,"no")="yes",1,0)</f>
        <v>0</v>
      </c>
    </row>
    <row r="982" spans="1:21" s="6" customFormat="1" x14ac:dyDescent="0.3">
      <c r="A982" s="6" t="s">
        <v>1020</v>
      </c>
      <c r="B982" s="6" t="s">
        <v>29</v>
      </c>
      <c r="C982" s="6" t="s">
        <v>30</v>
      </c>
      <c r="D982" s="6" t="s">
        <v>24</v>
      </c>
      <c r="E982" s="6" t="s">
        <v>35</v>
      </c>
      <c r="F982" s="6" t="s">
        <v>48</v>
      </c>
      <c r="G982" s="7">
        <f>Table2[[#This Row],[Unit price]]-10</f>
        <v>49.59</v>
      </c>
      <c r="H982" s="7">
        <v>59.59</v>
      </c>
      <c r="I982" s="8">
        <v>4</v>
      </c>
      <c r="J982" s="8">
        <f>Table2[[#This Row],[Unit price]]*Table2[[#This Row],[Quantity]]</f>
        <v>238.36</v>
      </c>
      <c r="K982" s="8">
        <f>Table2[[#This Row],[Unit Cost]]*Table2[[#This Row],[Quantity]]</f>
        <v>198.36</v>
      </c>
      <c r="L982" s="8">
        <f>Table2[[#This Row],[Gross Sales]]-Table2[[#This Row],[COGS]]</f>
        <v>40</v>
      </c>
      <c r="M982" s="9">
        <f t="shared" si="15"/>
        <v>0.16781339150864238</v>
      </c>
      <c r="N982" s="7">
        <v>11.917999999999999</v>
      </c>
      <c r="O982" s="7">
        <v>250.27799999999999</v>
      </c>
      <c r="P982" s="10">
        <v>43484</v>
      </c>
      <c r="Q982" s="10" t="str">
        <f>TEXT(Table2[[#This Row],[Date]],"mmm")</f>
        <v>Jan</v>
      </c>
      <c r="R982" s="11">
        <v>0.53194444444444444</v>
      </c>
      <c r="S982" s="6" t="s">
        <v>33</v>
      </c>
      <c r="T982" s="7">
        <v>9.8000000000000007</v>
      </c>
      <c r="U982" s="6">
        <f>IF(_xlfn.XLOOKUP(A982,[1]Data2!$A:$A,[1]Data2!$B:$B,"no")="yes",1,0)</f>
        <v>1</v>
      </c>
    </row>
    <row r="983" spans="1:21" s="6" customFormat="1" x14ac:dyDescent="0.3">
      <c r="A983" s="6" t="s">
        <v>1021</v>
      </c>
      <c r="B983" s="6" t="s">
        <v>22</v>
      </c>
      <c r="C983" s="6" t="s">
        <v>23</v>
      </c>
      <c r="D983" s="6" t="s">
        <v>31</v>
      </c>
      <c r="E983" s="6" t="s">
        <v>35</v>
      </c>
      <c r="F983" s="6" t="s">
        <v>26</v>
      </c>
      <c r="G983" s="7">
        <f>Table2[[#This Row],[Unit price]]-10</f>
        <v>48.15</v>
      </c>
      <c r="H983" s="7">
        <v>58.15</v>
      </c>
      <c r="I983" s="8">
        <v>4</v>
      </c>
      <c r="J983" s="8">
        <f>Table2[[#This Row],[Unit price]]*Table2[[#This Row],[Quantity]]</f>
        <v>232.6</v>
      </c>
      <c r="K983" s="8">
        <f>Table2[[#This Row],[Unit Cost]]*Table2[[#This Row],[Quantity]]</f>
        <v>192.6</v>
      </c>
      <c r="L983" s="8">
        <f>Table2[[#This Row],[Gross Sales]]-Table2[[#This Row],[COGS]]</f>
        <v>40</v>
      </c>
      <c r="M983" s="9">
        <f t="shared" si="15"/>
        <v>0.17196904557179707</v>
      </c>
      <c r="N983" s="7">
        <v>11.63</v>
      </c>
      <c r="O983" s="7">
        <v>244.23</v>
      </c>
      <c r="P983" s="10">
        <v>43488</v>
      </c>
      <c r="Q983" s="10" t="str">
        <f>TEXT(Table2[[#This Row],[Date]],"mmm")</f>
        <v>Jan</v>
      </c>
      <c r="R983" s="11">
        <v>0.73888888888888893</v>
      </c>
      <c r="S983" s="6" t="s">
        <v>33</v>
      </c>
      <c r="T983" s="7">
        <v>8.4</v>
      </c>
      <c r="U983" s="6">
        <f>IF(_xlfn.XLOOKUP(A983,[1]Data2!$A:$A,[1]Data2!$B:$B,"no")="yes",1,0)</f>
        <v>0</v>
      </c>
    </row>
    <row r="984" spans="1:21" s="6" customFormat="1" x14ac:dyDescent="0.3">
      <c r="A984" s="6" t="s">
        <v>1022</v>
      </c>
      <c r="B984" s="6" t="s">
        <v>22</v>
      </c>
      <c r="C984" s="6" t="s">
        <v>23</v>
      </c>
      <c r="D984" s="6" t="s">
        <v>24</v>
      </c>
      <c r="E984" s="6" t="s">
        <v>25</v>
      </c>
      <c r="F984" s="6" t="s">
        <v>40</v>
      </c>
      <c r="G984" s="7">
        <f>Table2[[#This Row],[Unit price]]-10</f>
        <v>87.48</v>
      </c>
      <c r="H984" s="7">
        <v>97.48</v>
      </c>
      <c r="I984" s="8">
        <v>9</v>
      </c>
      <c r="J984" s="8">
        <f>Table2[[#This Row],[Unit price]]*Table2[[#This Row],[Quantity]]</f>
        <v>877.32</v>
      </c>
      <c r="K984" s="8">
        <f>Table2[[#This Row],[Unit Cost]]*Table2[[#This Row],[Quantity]]</f>
        <v>787.32</v>
      </c>
      <c r="L984" s="8">
        <f>Table2[[#This Row],[Gross Sales]]-Table2[[#This Row],[COGS]]</f>
        <v>90</v>
      </c>
      <c r="M984" s="9">
        <f t="shared" si="15"/>
        <v>0.10258514567090685</v>
      </c>
      <c r="N984" s="7">
        <v>43.866</v>
      </c>
      <c r="O984" s="7">
        <v>921.18600000000004</v>
      </c>
      <c r="P984" s="10">
        <v>43538</v>
      </c>
      <c r="Q984" s="10" t="str">
        <f>TEXT(Table2[[#This Row],[Date]],"mmm")</f>
        <v>Mar</v>
      </c>
      <c r="R984" s="11">
        <v>0.59652777777777777</v>
      </c>
      <c r="S984" s="6" t="s">
        <v>27</v>
      </c>
      <c r="T984" s="7">
        <v>7.4</v>
      </c>
      <c r="U984" s="6">
        <f>IF(_xlfn.XLOOKUP(A984,[1]Data2!$A:$A,[1]Data2!$B:$B,"no")="yes",1,0)</f>
        <v>0</v>
      </c>
    </row>
    <row r="985" spans="1:21" s="6" customFormat="1" x14ac:dyDescent="0.3">
      <c r="A985" s="6" t="s">
        <v>1023</v>
      </c>
      <c r="B985" s="6" t="s">
        <v>29</v>
      </c>
      <c r="C985" s="6" t="s">
        <v>30</v>
      </c>
      <c r="D985" s="6" t="s">
        <v>31</v>
      </c>
      <c r="E985" s="6" t="s">
        <v>35</v>
      </c>
      <c r="F985" s="6" t="s">
        <v>26</v>
      </c>
      <c r="G985" s="7">
        <f>Table2[[#This Row],[Unit price]]-10</f>
        <v>89.96</v>
      </c>
      <c r="H985" s="7">
        <v>99.96</v>
      </c>
      <c r="I985" s="8">
        <v>7</v>
      </c>
      <c r="J985" s="8">
        <f>Table2[[#This Row],[Unit price]]*Table2[[#This Row],[Quantity]]</f>
        <v>699.71999999999991</v>
      </c>
      <c r="K985" s="8">
        <f>Table2[[#This Row],[Unit Cost]]*Table2[[#This Row],[Quantity]]</f>
        <v>629.71999999999991</v>
      </c>
      <c r="L985" s="8">
        <f>Table2[[#This Row],[Gross Sales]]-Table2[[#This Row],[COGS]]</f>
        <v>70</v>
      </c>
      <c r="M985" s="9">
        <f t="shared" si="15"/>
        <v>0.10004001600640257</v>
      </c>
      <c r="N985" s="7">
        <v>34.985999999999997</v>
      </c>
      <c r="O985" s="7">
        <v>734.70600000000002</v>
      </c>
      <c r="P985" s="10">
        <v>43488</v>
      </c>
      <c r="Q985" s="10" t="str">
        <f>TEXT(Table2[[#This Row],[Date]],"mmm")</f>
        <v>Jan</v>
      </c>
      <c r="R985" s="11">
        <v>0.43958333333333338</v>
      </c>
      <c r="S985" s="6" t="s">
        <v>33</v>
      </c>
      <c r="T985" s="7">
        <v>6.1</v>
      </c>
      <c r="U985" s="6">
        <f>IF(_xlfn.XLOOKUP(A985,[1]Data2!$A:$A,[1]Data2!$B:$B,"no")="yes",1,0)</f>
        <v>0</v>
      </c>
    </row>
    <row r="986" spans="1:21" s="6" customFormat="1" x14ac:dyDescent="0.3">
      <c r="A986" s="6" t="s">
        <v>1024</v>
      </c>
      <c r="B986" s="6" t="s">
        <v>29</v>
      </c>
      <c r="C986" s="6" t="s">
        <v>30</v>
      </c>
      <c r="D986" s="6" t="s">
        <v>31</v>
      </c>
      <c r="E986" s="6" t="s">
        <v>35</v>
      </c>
      <c r="F986" s="6" t="s">
        <v>32</v>
      </c>
      <c r="G986" s="7">
        <f>Table2[[#This Row],[Unit price]]-10</f>
        <v>86.37</v>
      </c>
      <c r="H986" s="7">
        <v>96.37</v>
      </c>
      <c r="I986" s="8">
        <v>7</v>
      </c>
      <c r="J986" s="8">
        <f>Table2[[#This Row],[Unit price]]*Table2[[#This Row],[Quantity]]</f>
        <v>674.59</v>
      </c>
      <c r="K986" s="8">
        <f>Table2[[#This Row],[Unit Cost]]*Table2[[#This Row],[Quantity]]</f>
        <v>604.59</v>
      </c>
      <c r="L986" s="8">
        <f>Table2[[#This Row],[Gross Sales]]-Table2[[#This Row],[COGS]]</f>
        <v>70</v>
      </c>
      <c r="M986" s="9">
        <f t="shared" si="15"/>
        <v>0.10376673238559717</v>
      </c>
      <c r="N986" s="7">
        <v>33.729500000000002</v>
      </c>
      <c r="O986" s="7">
        <v>708.31949999999995</v>
      </c>
      <c r="P986" s="10">
        <v>43474</v>
      </c>
      <c r="Q986" s="10" t="str">
        <f>TEXT(Table2[[#This Row],[Date]],"mmm")</f>
        <v>Jan</v>
      </c>
      <c r="R986" s="11">
        <v>0.4861111111111111</v>
      </c>
      <c r="S986" s="6" t="s">
        <v>33</v>
      </c>
      <c r="T986" s="7">
        <v>6</v>
      </c>
      <c r="U986" s="6">
        <f>IF(_xlfn.XLOOKUP(A986,[1]Data2!$A:$A,[1]Data2!$B:$B,"no")="yes",1,0)</f>
        <v>1</v>
      </c>
    </row>
    <row r="987" spans="1:21" s="6" customFormat="1" x14ac:dyDescent="0.3">
      <c r="A987" s="6" t="s">
        <v>1025</v>
      </c>
      <c r="B987" s="6" t="s">
        <v>46</v>
      </c>
      <c r="C987" s="6" t="s">
        <v>47</v>
      </c>
      <c r="D987" s="6" t="s">
        <v>31</v>
      </c>
      <c r="E987" s="6" t="s">
        <v>25</v>
      </c>
      <c r="F987" s="6" t="s">
        <v>50</v>
      </c>
      <c r="G987" s="7">
        <f>Table2[[#This Row],[Unit price]]-10</f>
        <v>53.71</v>
      </c>
      <c r="H987" s="7">
        <v>63.71</v>
      </c>
      <c r="I987" s="8">
        <v>5</v>
      </c>
      <c r="J987" s="8">
        <f>Table2[[#This Row],[Unit price]]*Table2[[#This Row],[Quantity]]</f>
        <v>318.55</v>
      </c>
      <c r="K987" s="8">
        <f>Table2[[#This Row],[Unit Cost]]*Table2[[#This Row],[Quantity]]</f>
        <v>268.55</v>
      </c>
      <c r="L987" s="8">
        <f>Table2[[#This Row],[Gross Sales]]-Table2[[#This Row],[COGS]]</f>
        <v>50</v>
      </c>
      <c r="M987" s="9">
        <f t="shared" si="15"/>
        <v>0.15696123057604772</v>
      </c>
      <c r="N987" s="7">
        <v>15.9275</v>
      </c>
      <c r="O987" s="7">
        <v>334.47750000000002</v>
      </c>
      <c r="P987" s="10">
        <v>43503</v>
      </c>
      <c r="Q987" s="10" t="str">
        <f>TEXT(Table2[[#This Row],[Date]],"mmm")</f>
        <v>Feb</v>
      </c>
      <c r="R987" s="11">
        <v>0.8125</v>
      </c>
      <c r="S987" s="6" t="s">
        <v>27</v>
      </c>
      <c r="T987" s="7">
        <v>8.5</v>
      </c>
      <c r="U987" s="6">
        <f>IF(_xlfn.XLOOKUP(A987,[1]Data2!$A:$A,[1]Data2!$B:$B,"no")="yes",1,0)</f>
        <v>0</v>
      </c>
    </row>
    <row r="988" spans="1:21" s="6" customFormat="1" x14ac:dyDescent="0.3">
      <c r="A988" s="6" t="s">
        <v>1026</v>
      </c>
      <c r="B988" s="6" t="s">
        <v>46</v>
      </c>
      <c r="C988" s="6" t="s">
        <v>47</v>
      </c>
      <c r="D988" s="6" t="s">
        <v>31</v>
      </c>
      <c r="E988" s="6" t="s">
        <v>25</v>
      </c>
      <c r="F988" s="6" t="s">
        <v>26</v>
      </c>
      <c r="G988" s="7">
        <f>Table2[[#This Row],[Unit price]]-10</f>
        <v>4.76</v>
      </c>
      <c r="H988" s="7">
        <v>14.76</v>
      </c>
      <c r="I988" s="8">
        <v>2</v>
      </c>
      <c r="J988" s="8">
        <f>Table2[[#This Row],[Unit price]]*Table2[[#This Row],[Quantity]]</f>
        <v>29.52</v>
      </c>
      <c r="K988" s="8">
        <f>Table2[[#This Row],[Unit Cost]]*Table2[[#This Row],[Quantity]]</f>
        <v>9.52</v>
      </c>
      <c r="L988" s="8">
        <f>Table2[[#This Row],[Gross Sales]]-Table2[[#This Row],[COGS]]</f>
        <v>20</v>
      </c>
      <c r="M988" s="9">
        <f t="shared" si="15"/>
        <v>0.6775067750677507</v>
      </c>
      <c r="N988" s="7">
        <v>1.476</v>
      </c>
      <c r="O988" s="7">
        <v>30.995999999999999</v>
      </c>
      <c r="P988" s="10">
        <v>43514</v>
      </c>
      <c r="Q988" s="10" t="str">
        <f>TEXT(Table2[[#This Row],[Date]],"mmm")</f>
        <v>Feb</v>
      </c>
      <c r="R988" s="11">
        <v>0.61249999999999993</v>
      </c>
      <c r="S988" s="6" t="s">
        <v>27</v>
      </c>
      <c r="T988" s="7">
        <v>4.3</v>
      </c>
      <c r="U988" s="6">
        <f>IF(_xlfn.XLOOKUP(A988,[1]Data2!$A:$A,[1]Data2!$B:$B,"no")="yes",1,0)</f>
        <v>0</v>
      </c>
    </row>
    <row r="989" spans="1:21" s="6" customFormat="1" x14ac:dyDescent="0.3">
      <c r="A989" s="6" t="s">
        <v>1027</v>
      </c>
      <c r="B989" s="6" t="s">
        <v>46</v>
      </c>
      <c r="C989" s="6" t="s">
        <v>47</v>
      </c>
      <c r="D989" s="6" t="s">
        <v>24</v>
      </c>
      <c r="E989" s="6" t="s">
        <v>35</v>
      </c>
      <c r="F989" s="6" t="s">
        <v>26</v>
      </c>
      <c r="G989" s="7">
        <f>Table2[[#This Row],[Unit price]]-10</f>
        <v>52</v>
      </c>
      <c r="H989" s="7">
        <v>62</v>
      </c>
      <c r="I989" s="8">
        <v>8</v>
      </c>
      <c r="J989" s="8">
        <f>Table2[[#This Row],[Unit price]]*Table2[[#This Row],[Quantity]]</f>
        <v>496</v>
      </c>
      <c r="K989" s="8">
        <f>Table2[[#This Row],[Unit Cost]]*Table2[[#This Row],[Quantity]]</f>
        <v>416</v>
      </c>
      <c r="L989" s="8">
        <f>Table2[[#This Row],[Gross Sales]]-Table2[[#This Row],[COGS]]</f>
        <v>80</v>
      </c>
      <c r="M989" s="9">
        <f t="shared" si="15"/>
        <v>0.16129032258064516</v>
      </c>
      <c r="N989" s="7">
        <v>24.8</v>
      </c>
      <c r="O989" s="7">
        <v>520.79999999999995</v>
      </c>
      <c r="P989" s="10">
        <v>43468</v>
      </c>
      <c r="Q989" s="10" t="str">
        <f>TEXT(Table2[[#This Row],[Date]],"mmm")</f>
        <v>Jan</v>
      </c>
      <c r="R989" s="11">
        <v>0.79722222222222217</v>
      </c>
      <c r="S989" s="6" t="s">
        <v>37</v>
      </c>
      <c r="T989" s="7">
        <v>6.2</v>
      </c>
      <c r="U989" s="6">
        <f>IF(_xlfn.XLOOKUP(A989,[1]Data2!$A:$A,[1]Data2!$B:$B,"no")="yes",1,0)</f>
        <v>0</v>
      </c>
    </row>
    <row r="990" spans="1:21" s="6" customFormat="1" x14ac:dyDescent="0.3">
      <c r="A990" s="6" t="s">
        <v>1028</v>
      </c>
      <c r="B990" s="6" t="s">
        <v>29</v>
      </c>
      <c r="C990" s="6" t="s">
        <v>30</v>
      </c>
      <c r="D990" s="6" t="s">
        <v>24</v>
      </c>
      <c r="E990" s="6" t="s">
        <v>35</v>
      </c>
      <c r="F990" s="6" t="s">
        <v>32</v>
      </c>
      <c r="G990" s="7">
        <f>Table2[[#This Row],[Unit price]]-10</f>
        <v>72.34</v>
      </c>
      <c r="H990" s="7">
        <v>82.34</v>
      </c>
      <c r="I990" s="8">
        <v>10</v>
      </c>
      <c r="J990" s="8">
        <f>Table2[[#This Row],[Unit price]]*Table2[[#This Row],[Quantity]]</f>
        <v>823.40000000000009</v>
      </c>
      <c r="K990" s="8">
        <f>Table2[[#This Row],[Unit Cost]]*Table2[[#This Row],[Quantity]]</f>
        <v>723.40000000000009</v>
      </c>
      <c r="L990" s="8">
        <f>Table2[[#This Row],[Gross Sales]]-Table2[[#This Row],[COGS]]</f>
        <v>100</v>
      </c>
      <c r="M990" s="9">
        <f t="shared" si="15"/>
        <v>0.12144765606023802</v>
      </c>
      <c r="N990" s="7">
        <v>41.17</v>
      </c>
      <c r="O990" s="7">
        <v>864.57</v>
      </c>
      <c r="P990" s="10">
        <v>43553</v>
      </c>
      <c r="Q990" s="10" t="str">
        <f>TEXT(Table2[[#This Row],[Date]],"mmm")</f>
        <v>Mar</v>
      </c>
      <c r="R990" s="11">
        <v>0.79999999999999993</v>
      </c>
      <c r="S990" s="6" t="s">
        <v>27</v>
      </c>
      <c r="T990" s="7">
        <v>4.3</v>
      </c>
      <c r="U990" s="6">
        <f>IF(_xlfn.XLOOKUP(A990,[1]Data2!$A:$A,[1]Data2!$B:$B,"no")="yes",1,0)</f>
        <v>1</v>
      </c>
    </row>
    <row r="991" spans="1:21" s="6" customFormat="1" x14ac:dyDescent="0.3">
      <c r="A991" s="6" t="s">
        <v>1029</v>
      </c>
      <c r="B991" s="6" t="s">
        <v>46</v>
      </c>
      <c r="C991" s="6" t="s">
        <v>47</v>
      </c>
      <c r="D991" s="6" t="s">
        <v>24</v>
      </c>
      <c r="E991" s="6" t="s">
        <v>35</v>
      </c>
      <c r="F991" s="6" t="s">
        <v>26</v>
      </c>
      <c r="G991" s="7">
        <f>Table2[[#This Row],[Unit price]]-10</f>
        <v>65.37</v>
      </c>
      <c r="H991" s="7">
        <v>75.37</v>
      </c>
      <c r="I991" s="8">
        <v>8</v>
      </c>
      <c r="J991" s="8">
        <f>Table2[[#This Row],[Unit price]]*Table2[[#This Row],[Quantity]]</f>
        <v>602.96</v>
      </c>
      <c r="K991" s="8">
        <f>Table2[[#This Row],[Unit Cost]]*Table2[[#This Row],[Quantity]]</f>
        <v>522.96</v>
      </c>
      <c r="L991" s="8">
        <f>Table2[[#This Row],[Gross Sales]]-Table2[[#This Row],[COGS]]</f>
        <v>80</v>
      </c>
      <c r="M991" s="9">
        <f t="shared" si="15"/>
        <v>0.13267878466233249</v>
      </c>
      <c r="N991" s="7">
        <v>30.148</v>
      </c>
      <c r="O991" s="7">
        <v>633.10799999999995</v>
      </c>
      <c r="P991" s="10">
        <v>43493</v>
      </c>
      <c r="Q991" s="10" t="str">
        <f>TEXT(Table2[[#This Row],[Date]],"mmm")</f>
        <v>Jan</v>
      </c>
      <c r="R991" s="11">
        <v>0.65694444444444444</v>
      </c>
      <c r="S991" s="6" t="s">
        <v>37</v>
      </c>
      <c r="T991" s="7">
        <v>8.4</v>
      </c>
      <c r="U991" s="6">
        <f>IF(_xlfn.XLOOKUP(A991,[1]Data2!$A:$A,[1]Data2!$B:$B,"no")="yes",1,0)</f>
        <v>0</v>
      </c>
    </row>
    <row r="992" spans="1:21" s="6" customFormat="1" x14ac:dyDescent="0.3">
      <c r="A992" s="6" t="s">
        <v>1030</v>
      </c>
      <c r="B992" s="6" t="s">
        <v>22</v>
      </c>
      <c r="C992" s="6" t="s">
        <v>23</v>
      </c>
      <c r="D992" s="6" t="s">
        <v>31</v>
      </c>
      <c r="E992" s="6" t="s">
        <v>25</v>
      </c>
      <c r="F992" s="6" t="s">
        <v>48</v>
      </c>
      <c r="G992" s="7">
        <f>Table2[[#This Row],[Unit price]]-10</f>
        <v>46.56</v>
      </c>
      <c r="H992" s="7">
        <v>56.56</v>
      </c>
      <c r="I992" s="8">
        <v>5</v>
      </c>
      <c r="J992" s="8">
        <f>Table2[[#This Row],[Unit price]]*Table2[[#This Row],[Quantity]]</f>
        <v>282.8</v>
      </c>
      <c r="K992" s="8">
        <f>Table2[[#This Row],[Unit Cost]]*Table2[[#This Row],[Quantity]]</f>
        <v>232.8</v>
      </c>
      <c r="L992" s="8">
        <f>Table2[[#This Row],[Gross Sales]]-Table2[[#This Row],[COGS]]</f>
        <v>50</v>
      </c>
      <c r="M992" s="9">
        <f t="shared" si="15"/>
        <v>0.1768033946251768</v>
      </c>
      <c r="N992" s="7">
        <v>14.14</v>
      </c>
      <c r="O992" s="7">
        <v>296.94</v>
      </c>
      <c r="P992" s="10">
        <v>43546</v>
      </c>
      <c r="Q992" s="10" t="str">
        <f>TEXT(Table2[[#This Row],[Date]],"mmm")</f>
        <v>Mar</v>
      </c>
      <c r="R992" s="11">
        <v>0.79583333333333339</v>
      </c>
      <c r="S992" s="6" t="s">
        <v>37</v>
      </c>
      <c r="T992" s="7">
        <v>4.5</v>
      </c>
      <c r="U992" s="6">
        <f>IF(_xlfn.XLOOKUP(A992,[1]Data2!$A:$A,[1]Data2!$B:$B,"no")="yes",1,0)</f>
        <v>0</v>
      </c>
    </row>
    <row r="993" spans="1:21" s="6" customFormat="1" x14ac:dyDescent="0.3">
      <c r="A993" s="6" t="s">
        <v>1031</v>
      </c>
      <c r="B993" s="6" t="s">
        <v>46</v>
      </c>
      <c r="C993" s="6" t="s">
        <v>47</v>
      </c>
      <c r="D993" s="6" t="s">
        <v>31</v>
      </c>
      <c r="E993" s="6" t="s">
        <v>25</v>
      </c>
      <c r="F993" s="6" t="s">
        <v>40</v>
      </c>
      <c r="G993" s="7">
        <f>Table2[[#This Row],[Unit price]]-10</f>
        <v>66.599999999999994</v>
      </c>
      <c r="H993" s="7">
        <v>76.599999999999994</v>
      </c>
      <c r="I993" s="8">
        <v>10</v>
      </c>
      <c r="J993" s="8">
        <f>Table2[[#This Row],[Unit price]]*Table2[[#This Row],[Quantity]]</f>
        <v>766</v>
      </c>
      <c r="K993" s="8">
        <f>Table2[[#This Row],[Unit Cost]]*Table2[[#This Row],[Quantity]]</f>
        <v>666</v>
      </c>
      <c r="L993" s="8">
        <f>Table2[[#This Row],[Gross Sales]]-Table2[[#This Row],[COGS]]</f>
        <v>100</v>
      </c>
      <c r="M993" s="9">
        <f t="shared" si="15"/>
        <v>0.13054830287206268</v>
      </c>
      <c r="N993" s="7">
        <v>38.299999999999997</v>
      </c>
      <c r="O993" s="7">
        <v>804.3</v>
      </c>
      <c r="P993" s="10">
        <v>43489</v>
      </c>
      <c r="Q993" s="10" t="str">
        <f>TEXT(Table2[[#This Row],[Date]],"mmm")</f>
        <v>Jan</v>
      </c>
      <c r="R993" s="11">
        <v>0.75694444444444453</v>
      </c>
      <c r="S993" s="6" t="s">
        <v>27</v>
      </c>
      <c r="T993" s="7">
        <v>6</v>
      </c>
      <c r="U993" s="6">
        <f>IF(_xlfn.XLOOKUP(A993,[1]Data2!$A:$A,[1]Data2!$B:$B,"no")="yes",1,0)</f>
        <v>0</v>
      </c>
    </row>
    <row r="994" spans="1:21" s="6" customFormat="1" x14ac:dyDescent="0.3">
      <c r="A994" s="6" t="s">
        <v>1032</v>
      </c>
      <c r="B994" s="6" t="s">
        <v>22</v>
      </c>
      <c r="C994" s="6" t="s">
        <v>23</v>
      </c>
      <c r="D994" s="6" t="s">
        <v>31</v>
      </c>
      <c r="E994" s="6" t="s">
        <v>35</v>
      </c>
      <c r="F994" s="6" t="s">
        <v>32</v>
      </c>
      <c r="G994" s="7">
        <f>Table2[[#This Row],[Unit price]]-10</f>
        <v>48.03</v>
      </c>
      <c r="H994" s="7">
        <v>58.03</v>
      </c>
      <c r="I994" s="8">
        <v>2</v>
      </c>
      <c r="J994" s="8">
        <f>Table2[[#This Row],[Unit price]]*Table2[[#This Row],[Quantity]]</f>
        <v>116.06</v>
      </c>
      <c r="K994" s="8">
        <f>Table2[[#This Row],[Unit Cost]]*Table2[[#This Row],[Quantity]]</f>
        <v>96.06</v>
      </c>
      <c r="L994" s="8">
        <f>Table2[[#This Row],[Gross Sales]]-Table2[[#This Row],[COGS]]</f>
        <v>20</v>
      </c>
      <c r="M994" s="9">
        <f t="shared" si="15"/>
        <v>0.17232465965879717</v>
      </c>
      <c r="N994" s="7">
        <v>5.8029999999999999</v>
      </c>
      <c r="O994" s="7">
        <v>121.863</v>
      </c>
      <c r="P994" s="10">
        <v>43534</v>
      </c>
      <c r="Q994" s="10" t="str">
        <f>TEXT(Table2[[#This Row],[Date]],"mmm")</f>
        <v>Mar</v>
      </c>
      <c r="R994" s="11">
        <v>0.8652777777777777</v>
      </c>
      <c r="S994" s="6" t="s">
        <v>27</v>
      </c>
      <c r="T994" s="7">
        <v>8.8000000000000007</v>
      </c>
      <c r="U994" s="6">
        <f>IF(_xlfn.XLOOKUP(A994,[1]Data2!$A:$A,[1]Data2!$B:$B,"no")="yes",1,0)</f>
        <v>1</v>
      </c>
    </row>
    <row r="995" spans="1:21" s="6" customFormat="1" x14ac:dyDescent="0.3">
      <c r="A995" s="6" t="s">
        <v>1033</v>
      </c>
      <c r="B995" s="6" t="s">
        <v>46</v>
      </c>
      <c r="C995" s="6" t="s">
        <v>47</v>
      </c>
      <c r="D995" s="6" t="s">
        <v>31</v>
      </c>
      <c r="E995" s="6" t="s">
        <v>35</v>
      </c>
      <c r="F995" s="6" t="s">
        <v>50</v>
      </c>
      <c r="G995" s="7">
        <f>Table2[[#This Row],[Unit price]]-10</f>
        <v>7.4899999999999984</v>
      </c>
      <c r="H995" s="7">
        <v>17.489999999999998</v>
      </c>
      <c r="I995" s="8">
        <v>10</v>
      </c>
      <c r="J995" s="8">
        <f>Table2[[#This Row],[Unit price]]*Table2[[#This Row],[Quantity]]</f>
        <v>174.89999999999998</v>
      </c>
      <c r="K995" s="8">
        <f>Table2[[#This Row],[Unit Cost]]*Table2[[#This Row],[Quantity]]</f>
        <v>74.899999999999977</v>
      </c>
      <c r="L995" s="8">
        <f>Table2[[#This Row],[Gross Sales]]-Table2[[#This Row],[COGS]]</f>
        <v>100</v>
      </c>
      <c r="M995" s="9">
        <f t="shared" si="15"/>
        <v>0.5717552887364209</v>
      </c>
      <c r="N995" s="7">
        <v>8.7449999999999992</v>
      </c>
      <c r="O995" s="7">
        <v>183.64500000000001</v>
      </c>
      <c r="P995" s="10">
        <v>43518</v>
      </c>
      <c r="Q995" s="10" t="str">
        <f>TEXT(Table2[[#This Row],[Date]],"mmm")</f>
        <v>Feb</v>
      </c>
      <c r="R995" s="11">
        <v>0.77430555555555547</v>
      </c>
      <c r="S995" s="6" t="s">
        <v>27</v>
      </c>
      <c r="T995" s="7">
        <v>6.6</v>
      </c>
      <c r="U995" s="6">
        <f>IF(_xlfn.XLOOKUP(A995,[1]Data2!$A:$A,[1]Data2!$B:$B,"no")="yes",1,0)</f>
        <v>0</v>
      </c>
    </row>
    <row r="996" spans="1:21" s="6" customFormat="1" x14ac:dyDescent="0.3">
      <c r="A996" s="6" t="s">
        <v>1034</v>
      </c>
      <c r="B996" s="6" t="s">
        <v>29</v>
      </c>
      <c r="C996" s="6" t="s">
        <v>30</v>
      </c>
      <c r="D996" s="6" t="s">
        <v>24</v>
      </c>
      <c r="E996" s="6" t="s">
        <v>25</v>
      </c>
      <c r="F996" s="6" t="s">
        <v>32</v>
      </c>
      <c r="G996" s="7">
        <f>Table2[[#This Row],[Unit price]]-10</f>
        <v>50.95</v>
      </c>
      <c r="H996" s="7">
        <v>60.95</v>
      </c>
      <c r="I996" s="8">
        <v>1</v>
      </c>
      <c r="J996" s="8">
        <f>Table2[[#This Row],[Unit price]]*Table2[[#This Row],[Quantity]]</f>
        <v>60.95</v>
      </c>
      <c r="K996" s="8">
        <f>Table2[[#This Row],[Unit Cost]]*Table2[[#This Row],[Quantity]]</f>
        <v>50.95</v>
      </c>
      <c r="L996" s="8">
        <f>Table2[[#This Row],[Gross Sales]]-Table2[[#This Row],[COGS]]</f>
        <v>10</v>
      </c>
      <c r="M996" s="9">
        <f t="shared" si="15"/>
        <v>0.16406890894175552</v>
      </c>
      <c r="N996" s="7">
        <v>3.0474999999999999</v>
      </c>
      <c r="O996" s="7">
        <v>63.997500000000002</v>
      </c>
      <c r="P996" s="10">
        <v>43514</v>
      </c>
      <c r="Q996" s="10" t="str">
        <f>TEXT(Table2[[#This Row],[Date]],"mmm")</f>
        <v>Feb</v>
      </c>
      <c r="R996" s="11">
        <v>0.4861111111111111</v>
      </c>
      <c r="S996" s="6" t="s">
        <v>27</v>
      </c>
      <c r="T996" s="7">
        <v>5.9</v>
      </c>
      <c r="U996" s="6">
        <f>IF(_xlfn.XLOOKUP(A996,[1]Data2!$A:$A,[1]Data2!$B:$B,"no")="yes",1,0)</f>
        <v>0</v>
      </c>
    </row>
    <row r="997" spans="1:21" s="6" customFormat="1" x14ac:dyDescent="0.3">
      <c r="A997" s="6" t="s">
        <v>1035</v>
      </c>
      <c r="B997" s="6" t="s">
        <v>29</v>
      </c>
      <c r="C997" s="6" t="s">
        <v>30</v>
      </c>
      <c r="D997" s="6" t="s">
        <v>31</v>
      </c>
      <c r="E997" s="6" t="s">
        <v>35</v>
      </c>
      <c r="F997" s="6" t="s">
        <v>26</v>
      </c>
      <c r="G997" s="7">
        <f>Table2[[#This Row],[Unit price]]-10</f>
        <v>30.35</v>
      </c>
      <c r="H997" s="7">
        <v>40.35</v>
      </c>
      <c r="I997" s="8">
        <v>1</v>
      </c>
      <c r="J997" s="8">
        <f>Table2[[#This Row],[Unit price]]*Table2[[#This Row],[Quantity]]</f>
        <v>40.35</v>
      </c>
      <c r="K997" s="8">
        <f>Table2[[#This Row],[Unit Cost]]*Table2[[#This Row],[Quantity]]</f>
        <v>30.35</v>
      </c>
      <c r="L997" s="8">
        <f>Table2[[#This Row],[Gross Sales]]-Table2[[#This Row],[COGS]]</f>
        <v>10</v>
      </c>
      <c r="M997" s="9">
        <f t="shared" si="15"/>
        <v>0.24783147459727384</v>
      </c>
      <c r="N997" s="7">
        <v>2.0175000000000001</v>
      </c>
      <c r="O997" s="7">
        <v>42.3675</v>
      </c>
      <c r="P997" s="10">
        <v>43494</v>
      </c>
      <c r="Q997" s="10" t="str">
        <f>TEXT(Table2[[#This Row],[Date]],"mmm")</f>
        <v>Jan</v>
      </c>
      <c r="R997" s="11">
        <v>0.57361111111111118</v>
      </c>
      <c r="S997" s="6" t="s">
        <v>27</v>
      </c>
      <c r="T997" s="7">
        <v>6.2</v>
      </c>
      <c r="U997" s="6">
        <f>IF(_xlfn.XLOOKUP(A997,[1]Data2!$A:$A,[1]Data2!$B:$B,"no")="yes",1,0)</f>
        <v>0</v>
      </c>
    </row>
    <row r="998" spans="1:21" s="6" customFormat="1" x14ac:dyDescent="0.3">
      <c r="A998" s="6" t="s">
        <v>1036</v>
      </c>
      <c r="B998" s="6" t="s">
        <v>46</v>
      </c>
      <c r="C998" s="6" t="s">
        <v>47</v>
      </c>
      <c r="D998" s="6" t="s">
        <v>31</v>
      </c>
      <c r="E998" s="6" t="s">
        <v>25</v>
      </c>
      <c r="F998" s="6" t="s">
        <v>36</v>
      </c>
      <c r="G998" s="7">
        <f>Table2[[#This Row],[Unit price]]-10</f>
        <v>87.38</v>
      </c>
      <c r="H998" s="7">
        <v>97.38</v>
      </c>
      <c r="I998" s="8">
        <v>10</v>
      </c>
      <c r="J998" s="8">
        <f>Table2[[#This Row],[Unit price]]*Table2[[#This Row],[Quantity]]</f>
        <v>973.8</v>
      </c>
      <c r="K998" s="8">
        <f>Table2[[#This Row],[Unit Cost]]*Table2[[#This Row],[Quantity]]</f>
        <v>873.8</v>
      </c>
      <c r="L998" s="8">
        <f>Table2[[#This Row],[Gross Sales]]-Table2[[#This Row],[COGS]]</f>
        <v>100</v>
      </c>
      <c r="M998" s="9">
        <f t="shared" si="15"/>
        <v>0.10269049086054632</v>
      </c>
      <c r="N998" s="7">
        <v>48.69</v>
      </c>
      <c r="O998" s="7">
        <v>1022.49</v>
      </c>
      <c r="P998" s="10">
        <v>43526</v>
      </c>
      <c r="Q998" s="10" t="str">
        <f>TEXT(Table2[[#This Row],[Date]],"mmm")</f>
        <v>Mar</v>
      </c>
      <c r="R998" s="11">
        <v>0.71944444444444444</v>
      </c>
      <c r="S998" s="6" t="s">
        <v>27</v>
      </c>
      <c r="T998" s="7">
        <v>4.4000000000000004</v>
      </c>
      <c r="U998" s="6">
        <f>IF(_xlfn.XLOOKUP(A998,[1]Data2!$A:$A,[1]Data2!$B:$B,"no")="yes",1,0)</f>
        <v>1</v>
      </c>
    </row>
    <row r="999" spans="1:21" s="6" customFormat="1" x14ac:dyDescent="0.3">
      <c r="A999" s="6" t="s">
        <v>1037</v>
      </c>
      <c r="B999" s="6" t="s">
        <v>22</v>
      </c>
      <c r="C999" s="6" t="s">
        <v>23</v>
      </c>
      <c r="D999" s="6" t="s">
        <v>24</v>
      </c>
      <c r="E999" s="6" t="s">
        <v>35</v>
      </c>
      <c r="F999" s="6" t="s">
        <v>48</v>
      </c>
      <c r="G999" s="7">
        <f>Table2[[#This Row],[Unit price]]-10</f>
        <v>21.84</v>
      </c>
      <c r="H999" s="7">
        <v>31.84</v>
      </c>
      <c r="I999" s="8">
        <v>1</v>
      </c>
      <c r="J999" s="8">
        <f>Table2[[#This Row],[Unit price]]*Table2[[#This Row],[Quantity]]</f>
        <v>31.84</v>
      </c>
      <c r="K999" s="8">
        <f>Table2[[#This Row],[Unit Cost]]*Table2[[#This Row],[Quantity]]</f>
        <v>21.84</v>
      </c>
      <c r="L999" s="8">
        <f>Table2[[#This Row],[Gross Sales]]-Table2[[#This Row],[COGS]]</f>
        <v>10</v>
      </c>
      <c r="M999" s="9">
        <f t="shared" si="15"/>
        <v>0.314070351758794</v>
      </c>
      <c r="N999" s="7">
        <v>1.5920000000000001</v>
      </c>
      <c r="O999" s="7">
        <v>33.432000000000002</v>
      </c>
      <c r="P999" s="10">
        <v>43505</v>
      </c>
      <c r="Q999" s="10" t="str">
        <f>TEXT(Table2[[#This Row],[Date]],"mmm")</f>
        <v>Feb</v>
      </c>
      <c r="R999" s="11">
        <v>0.55694444444444446</v>
      </c>
      <c r="S999" s="6" t="s">
        <v>33</v>
      </c>
      <c r="T999" s="7">
        <v>7.7</v>
      </c>
      <c r="U999" s="6">
        <f>IF(_xlfn.XLOOKUP(A999,[1]Data2!$A:$A,[1]Data2!$B:$B,"no")="yes",1,0)</f>
        <v>0</v>
      </c>
    </row>
    <row r="1000" spans="1:21" s="6" customFormat="1" x14ac:dyDescent="0.3">
      <c r="A1000" s="6" t="s">
        <v>1038</v>
      </c>
      <c r="B1000" s="6" t="s">
        <v>22</v>
      </c>
      <c r="C1000" s="6" t="s">
        <v>23</v>
      </c>
      <c r="D1000" s="6" t="s">
        <v>31</v>
      </c>
      <c r="E1000" s="6" t="s">
        <v>35</v>
      </c>
      <c r="F1000" s="6" t="s">
        <v>36</v>
      </c>
      <c r="G1000" s="7">
        <f>Table2[[#This Row],[Unit price]]-10</f>
        <v>55.819999999999993</v>
      </c>
      <c r="H1000" s="7">
        <v>65.819999999999993</v>
      </c>
      <c r="I1000" s="8">
        <v>1</v>
      </c>
      <c r="J1000" s="8">
        <f>Table2[[#This Row],[Unit price]]*Table2[[#This Row],[Quantity]]</f>
        <v>65.819999999999993</v>
      </c>
      <c r="K1000" s="8">
        <f>Table2[[#This Row],[Unit Cost]]*Table2[[#This Row],[Quantity]]</f>
        <v>55.819999999999993</v>
      </c>
      <c r="L1000" s="8">
        <f>Table2[[#This Row],[Gross Sales]]-Table2[[#This Row],[COGS]]</f>
        <v>10</v>
      </c>
      <c r="M1000" s="9">
        <f t="shared" si="15"/>
        <v>0.15192950470981467</v>
      </c>
      <c r="N1000" s="7">
        <v>3.2909999999999999</v>
      </c>
      <c r="O1000" s="7">
        <v>69.111000000000004</v>
      </c>
      <c r="P1000" s="10">
        <v>43518</v>
      </c>
      <c r="Q1000" s="10" t="str">
        <f>TEXT(Table2[[#This Row],[Date]],"mmm")</f>
        <v>Feb</v>
      </c>
      <c r="R1000" s="11">
        <v>0.6479166666666667</v>
      </c>
      <c r="S1000" s="6" t="s">
        <v>33</v>
      </c>
      <c r="T1000" s="7">
        <v>4.0999999999999996</v>
      </c>
      <c r="U1000" s="6">
        <f>IF(_xlfn.XLOOKUP(A1000,[1]Data2!$A:$A,[1]Data2!$B:$B,"no")="yes",1,0)</f>
        <v>0</v>
      </c>
    </row>
    <row r="1001" spans="1:21" s="6" customFormat="1" x14ac:dyDescent="0.3">
      <c r="A1001" s="6" t="s">
        <v>1039</v>
      </c>
      <c r="B1001" s="6" t="s">
        <v>22</v>
      </c>
      <c r="C1001" s="6" t="s">
        <v>23</v>
      </c>
      <c r="D1001" s="6" t="s">
        <v>24</v>
      </c>
      <c r="E1001" s="6" t="s">
        <v>25</v>
      </c>
      <c r="F1001" s="6" t="s">
        <v>50</v>
      </c>
      <c r="G1001" s="7">
        <f>Table2[[#This Row],[Unit price]]-10</f>
        <v>78.34</v>
      </c>
      <c r="H1001" s="7">
        <v>88.34</v>
      </c>
      <c r="I1001" s="8">
        <v>7</v>
      </c>
      <c r="J1001" s="8">
        <f>Table2[[#This Row],[Unit price]]*Table2[[#This Row],[Quantity]]</f>
        <v>618.38</v>
      </c>
      <c r="K1001" s="8">
        <f>Table2[[#This Row],[Unit Cost]]*Table2[[#This Row],[Quantity]]</f>
        <v>548.38</v>
      </c>
      <c r="L1001" s="8">
        <f>Table2[[#This Row],[Gross Sales]]-Table2[[#This Row],[COGS]]</f>
        <v>70</v>
      </c>
      <c r="M1001" s="9">
        <f t="shared" si="15"/>
        <v>0.11319900384876613</v>
      </c>
      <c r="N1001" s="7">
        <v>30.919</v>
      </c>
      <c r="O1001" s="7">
        <v>649.29899999999998</v>
      </c>
      <c r="P1001" s="10">
        <v>43514</v>
      </c>
      <c r="Q1001" s="10" t="str">
        <f>TEXT(Table2[[#This Row],[Date]],"mmm")</f>
        <v>Feb</v>
      </c>
      <c r="R1001" s="11">
        <v>0.56111111111111112</v>
      </c>
      <c r="S1001" s="6" t="s">
        <v>33</v>
      </c>
      <c r="T1001" s="7">
        <v>6.6</v>
      </c>
      <c r="U1001" s="6">
        <f>IF(_xlfn.XLOOKUP(A1001,[1]Data2!$A:$A,[1]Data2!$B:$B,"no")="yes",1,0)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3CE7-0F50-4E0F-A141-6350750F969A}">
  <dimension ref="A1:B1001"/>
  <sheetViews>
    <sheetView tabSelected="1" workbookViewId="0">
      <selection activeCell="B1" sqref="B1"/>
    </sheetView>
  </sheetViews>
  <sheetFormatPr defaultRowHeight="14.4" x14ac:dyDescent="0.3"/>
  <cols>
    <col min="1" max="1" width="19.5546875" style="6" customWidth="1"/>
    <col min="2" max="2" width="15.6640625" style="6" customWidth="1"/>
    <col min="3" max="16384" width="8.88671875" style="6"/>
  </cols>
  <sheetData>
    <row r="1" spans="1:2" x14ac:dyDescent="0.3">
      <c r="A1" s="6" t="s">
        <v>0</v>
      </c>
      <c r="B1" s="6" t="s">
        <v>1040</v>
      </c>
    </row>
    <row r="2" spans="1:2" x14ac:dyDescent="0.3">
      <c r="A2" s="6" t="s">
        <v>21</v>
      </c>
      <c r="B2" s="6" t="s">
        <v>1041</v>
      </c>
    </row>
    <row r="3" spans="1:2" x14ac:dyDescent="0.3">
      <c r="A3" s="6" t="s">
        <v>28</v>
      </c>
      <c r="B3" s="6" t="s">
        <v>1042</v>
      </c>
    </row>
    <row r="4" spans="1:2" x14ac:dyDescent="0.3">
      <c r="A4" s="6" t="s">
        <v>34</v>
      </c>
      <c r="B4" s="6" t="s">
        <v>1042</v>
      </c>
    </row>
    <row r="5" spans="1:2" x14ac:dyDescent="0.3">
      <c r="A5" s="6" t="s">
        <v>38</v>
      </c>
      <c r="B5" s="6" t="s">
        <v>1042</v>
      </c>
    </row>
    <row r="6" spans="1:2" x14ac:dyDescent="0.3">
      <c r="A6" s="6" t="s">
        <v>39</v>
      </c>
      <c r="B6" s="6" t="s">
        <v>1041</v>
      </c>
    </row>
    <row r="7" spans="1:2" x14ac:dyDescent="0.3">
      <c r="A7" s="6" t="s">
        <v>41</v>
      </c>
      <c r="B7" s="6" t="s">
        <v>1042</v>
      </c>
    </row>
    <row r="8" spans="1:2" x14ac:dyDescent="0.3">
      <c r="A8" s="6" t="s">
        <v>42</v>
      </c>
      <c r="B8" s="6" t="s">
        <v>1042</v>
      </c>
    </row>
    <row r="9" spans="1:2" x14ac:dyDescent="0.3">
      <c r="A9" s="6" t="s">
        <v>43</v>
      </c>
      <c r="B9" s="6" t="s">
        <v>1042</v>
      </c>
    </row>
    <row r="10" spans="1:2" x14ac:dyDescent="0.3">
      <c r="A10" s="6" t="s">
        <v>44</v>
      </c>
      <c r="B10" s="6" t="s">
        <v>1041</v>
      </c>
    </row>
    <row r="11" spans="1:2" x14ac:dyDescent="0.3">
      <c r="A11" s="6" t="s">
        <v>45</v>
      </c>
      <c r="B11" s="6" t="s">
        <v>1042</v>
      </c>
    </row>
    <row r="12" spans="1:2" x14ac:dyDescent="0.3">
      <c r="A12" s="6" t="s">
        <v>49</v>
      </c>
      <c r="B12" s="6" t="s">
        <v>1042</v>
      </c>
    </row>
    <row r="13" spans="1:2" x14ac:dyDescent="0.3">
      <c r="A13" s="6" t="s">
        <v>51</v>
      </c>
      <c r="B13" s="6" t="s">
        <v>1042</v>
      </c>
    </row>
    <row r="14" spans="1:2" x14ac:dyDescent="0.3">
      <c r="A14" s="6" t="s">
        <v>52</v>
      </c>
      <c r="B14" s="6" t="s">
        <v>1041</v>
      </c>
    </row>
    <row r="15" spans="1:2" x14ac:dyDescent="0.3">
      <c r="A15" s="6" t="s">
        <v>53</v>
      </c>
      <c r="B15" s="6" t="s">
        <v>1042</v>
      </c>
    </row>
    <row r="16" spans="1:2" x14ac:dyDescent="0.3">
      <c r="A16" s="6" t="s">
        <v>54</v>
      </c>
      <c r="B16" s="6" t="s">
        <v>1042</v>
      </c>
    </row>
    <row r="17" spans="1:2" x14ac:dyDescent="0.3">
      <c r="A17" s="6" t="s">
        <v>55</v>
      </c>
      <c r="B17" s="6" t="s">
        <v>1042</v>
      </c>
    </row>
    <row r="18" spans="1:2" x14ac:dyDescent="0.3">
      <c r="A18" s="6" t="s">
        <v>56</v>
      </c>
      <c r="B18" s="6" t="s">
        <v>1041</v>
      </c>
    </row>
    <row r="19" spans="1:2" x14ac:dyDescent="0.3">
      <c r="A19" s="6" t="s">
        <v>57</v>
      </c>
      <c r="B19" s="6" t="s">
        <v>1042</v>
      </c>
    </row>
    <row r="20" spans="1:2" x14ac:dyDescent="0.3">
      <c r="A20" s="6" t="s">
        <v>58</v>
      </c>
      <c r="B20" s="6" t="s">
        <v>1042</v>
      </c>
    </row>
    <row r="21" spans="1:2" x14ac:dyDescent="0.3">
      <c r="A21" s="6" t="s">
        <v>59</v>
      </c>
      <c r="B21" s="6" t="s">
        <v>1042</v>
      </c>
    </row>
    <row r="22" spans="1:2" x14ac:dyDescent="0.3">
      <c r="A22" s="6" t="s">
        <v>60</v>
      </c>
      <c r="B22" s="6" t="s">
        <v>1041</v>
      </c>
    </row>
    <row r="23" spans="1:2" x14ac:dyDescent="0.3">
      <c r="A23" s="6" t="s">
        <v>61</v>
      </c>
      <c r="B23" s="6" t="s">
        <v>1042</v>
      </c>
    </row>
    <row r="24" spans="1:2" x14ac:dyDescent="0.3">
      <c r="A24" s="6" t="s">
        <v>62</v>
      </c>
      <c r="B24" s="6" t="s">
        <v>1042</v>
      </c>
    </row>
    <row r="25" spans="1:2" x14ac:dyDescent="0.3">
      <c r="A25" s="6" t="s">
        <v>63</v>
      </c>
      <c r="B25" s="6" t="s">
        <v>1042</v>
      </c>
    </row>
    <row r="26" spans="1:2" x14ac:dyDescent="0.3">
      <c r="A26" s="6" t="s">
        <v>64</v>
      </c>
      <c r="B26" s="6" t="s">
        <v>1041</v>
      </c>
    </row>
    <row r="27" spans="1:2" x14ac:dyDescent="0.3">
      <c r="A27" s="6" t="s">
        <v>65</v>
      </c>
      <c r="B27" s="6" t="s">
        <v>1042</v>
      </c>
    </row>
    <row r="28" spans="1:2" x14ac:dyDescent="0.3">
      <c r="A28" s="6" t="s">
        <v>66</v>
      </c>
      <c r="B28" s="6" t="s">
        <v>1042</v>
      </c>
    </row>
    <row r="29" spans="1:2" x14ac:dyDescent="0.3">
      <c r="A29" s="6" t="s">
        <v>67</v>
      </c>
      <c r="B29" s="6" t="s">
        <v>1042</v>
      </c>
    </row>
    <row r="30" spans="1:2" x14ac:dyDescent="0.3">
      <c r="A30" s="6" t="s">
        <v>68</v>
      </c>
      <c r="B30" s="6" t="s">
        <v>1041</v>
      </c>
    </row>
    <row r="31" spans="1:2" x14ac:dyDescent="0.3">
      <c r="A31" s="6" t="s">
        <v>69</v>
      </c>
      <c r="B31" s="6" t="s">
        <v>1042</v>
      </c>
    </row>
    <row r="32" spans="1:2" x14ac:dyDescent="0.3">
      <c r="A32" s="6" t="s">
        <v>70</v>
      </c>
      <c r="B32" s="6" t="s">
        <v>1042</v>
      </c>
    </row>
    <row r="33" spans="1:2" x14ac:dyDescent="0.3">
      <c r="A33" s="6" t="s">
        <v>71</v>
      </c>
      <c r="B33" s="6" t="s">
        <v>1042</v>
      </c>
    </row>
    <row r="34" spans="1:2" x14ac:dyDescent="0.3">
      <c r="A34" s="6" t="s">
        <v>72</v>
      </c>
      <c r="B34" s="6" t="s">
        <v>1041</v>
      </c>
    </row>
    <row r="35" spans="1:2" x14ac:dyDescent="0.3">
      <c r="A35" s="6" t="s">
        <v>73</v>
      </c>
      <c r="B35" s="6" t="s">
        <v>1042</v>
      </c>
    </row>
    <row r="36" spans="1:2" x14ac:dyDescent="0.3">
      <c r="A36" s="6" t="s">
        <v>74</v>
      </c>
      <c r="B36" s="6" t="s">
        <v>1042</v>
      </c>
    </row>
    <row r="37" spans="1:2" x14ac:dyDescent="0.3">
      <c r="A37" s="6" t="s">
        <v>75</v>
      </c>
      <c r="B37" s="6" t="s">
        <v>1042</v>
      </c>
    </row>
    <row r="38" spans="1:2" x14ac:dyDescent="0.3">
      <c r="A38" s="6" t="s">
        <v>76</v>
      </c>
      <c r="B38" s="6" t="s">
        <v>1041</v>
      </c>
    </row>
    <row r="39" spans="1:2" x14ac:dyDescent="0.3">
      <c r="A39" s="6" t="s">
        <v>77</v>
      </c>
      <c r="B39" s="6" t="s">
        <v>1042</v>
      </c>
    </row>
    <row r="40" spans="1:2" x14ac:dyDescent="0.3">
      <c r="A40" s="6" t="s">
        <v>78</v>
      </c>
      <c r="B40" s="6" t="s">
        <v>1042</v>
      </c>
    </row>
    <row r="41" spans="1:2" x14ac:dyDescent="0.3">
      <c r="A41" s="6" t="s">
        <v>79</v>
      </c>
      <c r="B41" s="6" t="s">
        <v>1042</v>
      </c>
    </row>
    <row r="42" spans="1:2" x14ac:dyDescent="0.3">
      <c r="A42" s="6" t="s">
        <v>80</v>
      </c>
      <c r="B42" s="6" t="s">
        <v>1041</v>
      </c>
    </row>
    <row r="43" spans="1:2" x14ac:dyDescent="0.3">
      <c r="A43" s="6" t="s">
        <v>81</v>
      </c>
      <c r="B43" s="6" t="s">
        <v>1042</v>
      </c>
    </row>
    <row r="44" spans="1:2" x14ac:dyDescent="0.3">
      <c r="A44" s="6" t="s">
        <v>82</v>
      </c>
      <c r="B44" s="6" t="s">
        <v>1042</v>
      </c>
    </row>
    <row r="45" spans="1:2" x14ac:dyDescent="0.3">
      <c r="A45" s="6" t="s">
        <v>83</v>
      </c>
      <c r="B45" s="6" t="s">
        <v>1042</v>
      </c>
    </row>
    <row r="46" spans="1:2" x14ac:dyDescent="0.3">
      <c r="A46" s="6" t="s">
        <v>84</v>
      </c>
      <c r="B46" s="6" t="s">
        <v>1041</v>
      </c>
    </row>
    <row r="47" spans="1:2" x14ac:dyDescent="0.3">
      <c r="A47" s="6" t="s">
        <v>85</v>
      </c>
      <c r="B47" s="6" t="s">
        <v>1042</v>
      </c>
    </row>
    <row r="48" spans="1:2" x14ac:dyDescent="0.3">
      <c r="A48" s="6" t="s">
        <v>86</v>
      </c>
      <c r="B48" s="6" t="s">
        <v>1042</v>
      </c>
    </row>
    <row r="49" spans="1:2" x14ac:dyDescent="0.3">
      <c r="A49" s="6" t="s">
        <v>87</v>
      </c>
      <c r="B49" s="6" t="s">
        <v>1042</v>
      </c>
    </row>
    <row r="50" spans="1:2" x14ac:dyDescent="0.3">
      <c r="A50" s="6" t="s">
        <v>88</v>
      </c>
      <c r="B50" s="6" t="s">
        <v>1041</v>
      </c>
    </row>
    <row r="51" spans="1:2" x14ac:dyDescent="0.3">
      <c r="A51" s="6" t="s">
        <v>89</v>
      </c>
      <c r="B51" s="6" t="s">
        <v>1042</v>
      </c>
    </row>
    <row r="52" spans="1:2" x14ac:dyDescent="0.3">
      <c r="A52" s="6" t="s">
        <v>90</v>
      </c>
      <c r="B52" s="6" t="s">
        <v>1042</v>
      </c>
    </row>
    <row r="53" spans="1:2" x14ac:dyDescent="0.3">
      <c r="A53" s="6" t="s">
        <v>91</v>
      </c>
      <c r="B53" s="6" t="s">
        <v>1042</v>
      </c>
    </row>
    <row r="54" spans="1:2" x14ac:dyDescent="0.3">
      <c r="A54" s="6" t="s">
        <v>92</v>
      </c>
      <c r="B54" s="6" t="s">
        <v>1041</v>
      </c>
    </row>
    <row r="55" spans="1:2" x14ac:dyDescent="0.3">
      <c r="A55" s="6" t="s">
        <v>93</v>
      </c>
      <c r="B55" s="6" t="s">
        <v>1042</v>
      </c>
    </row>
    <row r="56" spans="1:2" x14ac:dyDescent="0.3">
      <c r="A56" s="6" t="s">
        <v>94</v>
      </c>
      <c r="B56" s="6" t="s">
        <v>1042</v>
      </c>
    </row>
    <row r="57" spans="1:2" x14ac:dyDescent="0.3">
      <c r="A57" s="6" t="s">
        <v>95</v>
      </c>
      <c r="B57" s="6" t="s">
        <v>1042</v>
      </c>
    </row>
    <row r="58" spans="1:2" x14ac:dyDescent="0.3">
      <c r="A58" s="6" t="s">
        <v>96</v>
      </c>
      <c r="B58" s="6" t="s">
        <v>1041</v>
      </c>
    </row>
    <row r="59" spans="1:2" x14ac:dyDescent="0.3">
      <c r="A59" s="6" t="s">
        <v>97</v>
      </c>
      <c r="B59" s="6" t="s">
        <v>1042</v>
      </c>
    </row>
    <row r="60" spans="1:2" x14ac:dyDescent="0.3">
      <c r="A60" s="6" t="s">
        <v>98</v>
      </c>
      <c r="B60" s="6" t="s">
        <v>1042</v>
      </c>
    </row>
    <row r="61" spans="1:2" x14ac:dyDescent="0.3">
      <c r="A61" s="6" t="s">
        <v>99</v>
      </c>
      <c r="B61" s="6" t="s">
        <v>1042</v>
      </c>
    </row>
    <row r="62" spans="1:2" x14ac:dyDescent="0.3">
      <c r="A62" s="6" t="s">
        <v>100</v>
      </c>
      <c r="B62" s="6" t="s">
        <v>1041</v>
      </c>
    </row>
    <row r="63" spans="1:2" x14ac:dyDescent="0.3">
      <c r="A63" s="6" t="s">
        <v>101</v>
      </c>
      <c r="B63" s="6" t="s">
        <v>1042</v>
      </c>
    </row>
    <row r="64" spans="1:2" x14ac:dyDescent="0.3">
      <c r="A64" s="6" t="s">
        <v>102</v>
      </c>
      <c r="B64" s="6" t="s">
        <v>1042</v>
      </c>
    </row>
    <row r="65" spans="1:2" x14ac:dyDescent="0.3">
      <c r="A65" s="6" t="s">
        <v>103</v>
      </c>
      <c r="B65" s="6" t="s">
        <v>1042</v>
      </c>
    </row>
    <row r="66" spans="1:2" x14ac:dyDescent="0.3">
      <c r="A66" s="6" t="s">
        <v>104</v>
      </c>
      <c r="B66" s="6" t="s">
        <v>1041</v>
      </c>
    </row>
    <row r="67" spans="1:2" x14ac:dyDescent="0.3">
      <c r="A67" s="6" t="s">
        <v>105</v>
      </c>
      <c r="B67" s="6" t="s">
        <v>1042</v>
      </c>
    </row>
    <row r="68" spans="1:2" x14ac:dyDescent="0.3">
      <c r="A68" s="6" t="s">
        <v>106</v>
      </c>
      <c r="B68" s="6" t="s">
        <v>1042</v>
      </c>
    </row>
    <row r="69" spans="1:2" x14ac:dyDescent="0.3">
      <c r="A69" s="6" t="s">
        <v>107</v>
      </c>
      <c r="B69" s="6" t="s">
        <v>1042</v>
      </c>
    </row>
    <row r="70" spans="1:2" x14ac:dyDescent="0.3">
      <c r="A70" s="6" t="s">
        <v>108</v>
      </c>
      <c r="B70" s="6" t="s">
        <v>1041</v>
      </c>
    </row>
    <row r="71" spans="1:2" x14ac:dyDescent="0.3">
      <c r="A71" s="6" t="s">
        <v>109</v>
      </c>
      <c r="B71" s="6" t="s">
        <v>1042</v>
      </c>
    </row>
    <row r="72" spans="1:2" x14ac:dyDescent="0.3">
      <c r="A72" s="6" t="s">
        <v>110</v>
      </c>
      <c r="B72" s="6" t="s">
        <v>1042</v>
      </c>
    </row>
    <row r="73" spans="1:2" x14ac:dyDescent="0.3">
      <c r="A73" s="6" t="s">
        <v>111</v>
      </c>
      <c r="B73" s="6" t="s">
        <v>1042</v>
      </c>
    </row>
    <row r="74" spans="1:2" x14ac:dyDescent="0.3">
      <c r="A74" s="6" t="s">
        <v>112</v>
      </c>
      <c r="B74" s="6" t="s">
        <v>1041</v>
      </c>
    </row>
    <row r="75" spans="1:2" x14ac:dyDescent="0.3">
      <c r="A75" s="6" t="s">
        <v>113</v>
      </c>
      <c r="B75" s="6" t="s">
        <v>1042</v>
      </c>
    </row>
    <row r="76" spans="1:2" x14ac:dyDescent="0.3">
      <c r="A76" s="6" t="s">
        <v>114</v>
      </c>
      <c r="B76" s="6" t="s">
        <v>1042</v>
      </c>
    </row>
    <row r="77" spans="1:2" x14ac:dyDescent="0.3">
      <c r="A77" s="6" t="s">
        <v>115</v>
      </c>
      <c r="B77" s="6" t="s">
        <v>1042</v>
      </c>
    </row>
    <row r="78" spans="1:2" x14ac:dyDescent="0.3">
      <c r="A78" s="6" t="s">
        <v>116</v>
      </c>
      <c r="B78" s="6" t="s">
        <v>1041</v>
      </c>
    </row>
    <row r="79" spans="1:2" x14ac:dyDescent="0.3">
      <c r="A79" s="6" t="s">
        <v>117</v>
      </c>
      <c r="B79" s="6" t="s">
        <v>1042</v>
      </c>
    </row>
    <row r="80" spans="1:2" x14ac:dyDescent="0.3">
      <c r="A80" s="6" t="s">
        <v>118</v>
      </c>
      <c r="B80" s="6" t="s">
        <v>1042</v>
      </c>
    </row>
    <row r="81" spans="1:2" x14ac:dyDescent="0.3">
      <c r="A81" s="6" t="s">
        <v>119</v>
      </c>
      <c r="B81" s="6" t="s">
        <v>1042</v>
      </c>
    </row>
    <row r="82" spans="1:2" x14ac:dyDescent="0.3">
      <c r="A82" s="6" t="s">
        <v>120</v>
      </c>
      <c r="B82" s="6" t="s">
        <v>1041</v>
      </c>
    </row>
    <row r="83" spans="1:2" x14ac:dyDescent="0.3">
      <c r="A83" s="6" t="s">
        <v>121</v>
      </c>
      <c r="B83" s="6" t="s">
        <v>1042</v>
      </c>
    </row>
    <row r="84" spans="1:2" x14ac:dyDescent="0.3">
      <c r="A84" s="6" t="s">
        <v>122</v>
      </c>
      <c r="B84" s="6" t="s">
        <v>1042</v>
      </c>
    </row>
    <row r="85" spans="1:2" x14ac:dyDescent="0.3">
      <c r="A85" s="6" t="s">
        <v>123</v>
      </c>
      <c r="B85" s="6" t="s">
        <v>1042</v>
      </c>
    </row>
    <row r="86" spans="1:2" x14ac:dyDescent="0.3">
      <c r="A86" s="6" t="s">
        <v>124</v>
      </c>
      <c r="B86" s="6" t="s">
        <v>1041</v>
      </c>
    </row>
    <row r="87" spans="1:2" x14ac:dyDescent="0.3">
      <c r="A87" s="6" t="s">
        <v>125</v>
      </c>
      <c r="B87" s="6" t="s">
        <v>1042</v>
      </c>
    </row>
    <row r="88" spans="1:2" x14ac:dyDescent="0.3">
      <c r="A88" s="6" t="s">
        <v>126</v>
      </c>
      <c r="B88" s="6" t="s">
        <v>1042</v>
      </c>
    </row>
    <row r="89" spans="1:2" x14ac:dyDescent="0.3">
      <c r="A89" s="6" t="s">
        <v>127</v>
      </c>
      <c r="B89" s="6" t="s">
        <v>1042</v>
      </c>
    </row>
    <row r="90" spans="1:2" x14ac:dyDescent="0.3">
      <c r="A90" s="6" t="s">
        <v>128</v>
      </c>
      <c r="B90" s="6" t="s">
        <v>1041</v>
      </c>
    </row>
    <row r="91" spans="1:2" x14ac:dyDescent="0.3">
      <c r="A91" s="6" t="s">
        <v>129</v>
      </c>
      <c r="B91" s="6" t="s">
        <v>1042</v>
      </c>
    </row>
    <row r="92" spans="1:2" x14ac:dyDescent="0.3">
      <c r="A92" s="6" t="s">
        <v>130</v>
      </c>
      <c r="B92" s="6" t="s">
        <v>1042</v>
      </c>
    </row>
    <row r="93" spans="1:2" x14ac:dyDescent="0.3">
      <c r="A93" s="6" t="s">
        <v>131</v>
      </c>
      <c r="B93" s="6" t="s">
        <v>1042</v>
      </c>
    </row>
    <row r="94" spans="1:2" x14ac:dyDescent="0.3">
      <c r="A94" s="6" t="s">
        <v>132</v>
      </c>
      <c r="B94" s="6" t="s">
        <v>1041</v>
      </c>
    </row>
    <row r="95" spans="1:2" x14ac:dyDescent="0.3">
      <c r="A95" s="6" t="s">
        <v>133</v>
      </c>
      <c r="B95" s="6" t="s">
        <v>1042</v>
      </c>
    </row>
    <row r="96" spans="1:2" x14ac:dyDescent="0.3">
      <c r="A96" s="6" t="s">
        <v>134</v>
      </c>
      <c r="B96" s="6" t="s">
        <v>1042</v>
      </c>
    </row>
    <row r="97" spans="1:2" x14ac:dyDescent="0.3">
      <c r="A97" s="6" t="s">
        <v>135</v>
      </c>
      <c r="B97" s="6" t="s">
        <v>1042</v>
      </c>
    </row>
    <row r="98" spans="1:2" x14ac:dyDescent="0.3">
      <c r="A98" s="6" t="s">
        <v>136</v>
      </c>
      <c r="B98" s="6" t="s">
        <v>1041</v>
      </c>
    </row>
    <row r="99" spans="1:2" x14ac:dyDescent="0.3">
      <c r="A99" s="6" t="s">
        <v>137</v>
      </c>
      <c r="B99" s="6" t="s">
        <v>1042</v>
      </c>
    </row>
    <row r="100" spans="1:2" x14ac:dyDescent="0.3">
      <c r="A100" s="6" t="s">
        <v>138</v>
      </c>
      <c r="B100" s="6" t="s">
        <v>1042</v>
      </c>
    </row>
    <row r="101" spans="1:2" x14ac:dyDescent="0.3">
      <c r="A101" s="6" t="s">
        <v>139</v>
      </c>
      <c r="B101" s="6" t="s">
        <v>1042</v>
      </c>
    </row>
    <row r="102" spans="1:2" x14ac:dyDescent="0.3">
      <c r="A102" s="6" t="s">
        <v>140</v>
      </c>
      <c r="B102" s="6" t="s">
        <v>1041</v>
      </c>
    </row>
    <row r="103" spans="1:2" x14ac:dyDescent="0.3">
      <c r="A103" s="6" t="s">
        <v>141</v>
      </c>
      <c r="B103" s="6" t="s">
        <v>1042</v>
      </c>
    </row>
    <row r="104" spans="1:2" x14ac:dyDescent="0.3">
      <c r="A104" s="6" t="s">
        <v>142</v>
      </c>
      <c r="B104" s="6" t="s">
        <v>1042</v>
      </c>
    </row>
    <row r="105" spans="1:2" x14ac:dyDescent="0.3">
      <c r="A105" s="6" t="s">
        <v>143</v>
      </c>
      <c r="B105" s="6" t="s">
        <v>1042</v>
      </c>
    </row>
    <row r="106" spans="1:2" x14ac:dyDescent="0.3">
      <c r="A106" s="6" t="s">
        <v>144</v>
      </c>
      <c r="B106" s="6" t="s">
        <v>1041</v>
      </c>
    </row>
    <row r="107" spans="1:2" x14ac:dyDescent="0.3">
      <c r="A107" s="6" t="s">
        <v>145</v>
      </c>
      <c r="B107" s="6" t="s">
        <v>1042</v>
      </c>
    </row>
    <row r="108" spans="1:2" x14ac:dyDescent="0.3">
      <c r="A108" s="6" t="s">
        <v>146</v>
      </c>
      <c r="B108" s="6" t="s">
        <v>1042</v>
      </c>
    </row>
    <row r="109" spans="1:2" x14ac:dyDescent="0.3">
      <c r="A109" s="6" t="s">
        <v>147</v>
      </c>
      <c r="B109" s="6" t="s">
        <v>1042</v>
      </c>
    </row>
    <row r="110" spans="1:2" x14ac:dyDescent="0.3">
      <c r="A110" s="6" t="s">
        <v>148</v>
      </c>
      <c r="B110" s="6" t="s">
        <v>1041</v>
      </c>
    </row>
    <row r="111" spans="1:2" x14ac:dyDescent="0.3">
      <c r="A111" s="6" t="s">
        <v>149</v>
      </c>
      <c r="B111" s="6" t="s">
        <v>1042</v>
      </c>
    </row>
    <row r="112" spans="1:2" x14ac:dyDescent="0.3">
      <c r="A112" s="6" t="s">
        <v>150</v>
      </c>
      <c r="B112" s="6" t="s">
        <v>1042</v>
      </c>
    </row>
    <row r="113" spans="1:2" x14ac:dyDescent="0.3">
      <c r="A113" s="6" t="s">
        <v>151</v>
      </c>
      <c r="B113" s="6" t="s">
        <v>1042</v>
      </c>
    </row>
    <row r="114" spans="1:2" x14ac:dyDescent="0.3">
      <c r="A114" s="6" t="s">
        <v>152</v>
      </c>
      <c r="B114" s="6" t="s">
        <v>1041</v>
      </c>
    </row>
    <row r="115" spans="1:2" x14ac:dyDescent="0.3">
      <c r="A115" s="6" t="s">
        <v>153</v>
      </c>
      <c r="B115" s="6" t="s">
        <v>1042</v>
      </c>
    </row>
    <row r="116" spans="1:2" x14ac:dyDescent="0.3">
      <c r="A116" s="6" t="s">
        <v>154</v>
      </c>
      <c r="B116" s="6" t="s">
        <v>1042</v>
      </c>
    </row>
    <row r="117" spans="1:2" x14ac:dyDescent="0.3">
      <c r="A117" s="6" t="s">
        <v>155</v>
      </c>
      <c r="B117" s="6" t="s">
        <v>1042</v>
      </c>
    </row>
    <row r="118" spans="1:2" x14ac:dyDescent="0.3">
      <c r="A118" s="6" t="s">
        <v>156</v>
      </c>
      <c r="B118" s="6" t="s">
        <v>1041</v>
      </c>
    </row>
    <row r="119" spans="1:2" x14ac:dyDescent="0.3">
      <c r="A119" s="6" t="s">
        <v>157</v>
      </c>
      <c r="B119" s="6" t="s">
        <v>1042</v>
      </c>
    </row>
    <row r="120" spans="1:2" x14ac:dyDescent="0.3">
      <c r="A120" s="6" t="s">
        <v>158</v>
      </c>
      <c r="B120" s="6" t="s">
        <v>1042</v>
      </c>
    </row>
    <row r="121" spans="1:2" x14ac:dyDescent="0.3">
      <c r="A121" s="6" t="s">
        <v>159</v>
      </c>
      <c r="B121" s="6" t="s">
        <v>1042</v>
      </c>
    </row>
    <row r="122" spans="1:2" x14ac:dyDescent="0.3">
      <c r="A122" s="6" t="s">
        <v>160</v>
      </c>
      <c r="B122" s="6" t="s">
        <v>1041</v>
      </c>
    </row>
    <row r="123" spans="1:2" x14ac:dyDescent="0.3">
      <c r="A123" s="6" t="s">
        <v>161</v>
      </c>
      <c r="B123" s="6" t="s">
        <v>1042</v>
      </c>
    </row>
    <row r="124" spans="1:2" x14ac:dyDescent="0.3">
      <c r="A124" s="6" t="s">
        <v>162</v>
      </c>
      <c r="B124" s="6" t="s">
        <v>1042</v>
      </c>
    </row>
    <row r="125" spans="1:2" x14ac:dyDescent="0.3">
      <c r="A125" s="6" t="s">
        <v>163</v>
      </c>
      <c r="B125" s="6" t="s">
        <v>1042</v>
      </c>
    </row>
    <row r="126" spans="1:2" x14ac:dyDescent="0.3">
      <c r="A126" s="6" t="s">
        <v>164</v>
      </c>
      <c r="B126" s="6" t="s">
        <v>1041</v>
      </c>
    </row>
    <row r="127" spans="1:2" x14ac:dyDescent="0.3">
      <c r="A127" s="6" t="s">
        <v>165</v>
      </c>
      <c r="B127" s="6" t="s">
        <v>1042</v>
      </c>
    </row>
    <row r="128" spans="1:2" x14ac:dyDescent="0.3">
      <c r="A128" s="6" t="s">
        <v>166</v>
      </c>
      <c r="B128" s="6" t="s">
        <v>1042</v>
      </c>
    </row>
    <row r="129" spans="1:2" x14ac:dyDescent="0.3">
      <c r="A129" s="6" t="s">
        <v>167</v>
      </c>
      <c r="B129" s="6" t="s">
        <v>1042</v>
      </c>
    </row>
    <row r="130" spans="1:2" x14ac:dyDescent="0.3">
      <c r="A130" s="6" t="s">
        <v>168</v>
      </c>
      <c r="B130" s="6" t="s">
        <v>1041</v>
      </c>
    </row>
    <row r="131" spans="1:2" x14ac:dyDescent="0.3">
      <c r="A131" s="6" t="s">
        <v>169</v>
      </c>
      <c r="B131" s="6" t="s">
        <v>1042</v>
      </c>
    </row>
    <row r="132" spans="1:2" x14ac:dyDescent="0.3">
      <c r="A132" s="6" t="s">
        <v>170</v>
      </c>
      <c r="B132" s="6" t="s">
        <v>1042</v>
      </c>
    </row>
    <row r="133" spans="1:2" x14ac:dyDescent="0.3">
      <c r="A133" s="6" t="s">
        <v>171</v>
      </c>
      <c r="B133" s="6" t="s">
        <v>1042</v>
      </c>
    </row>
    <row r="134" spans="1:2" x14ac:dyDescent="0.3">
      <c r="A134" s="6" t="s">
        <v>172</v>
      </c>
      <c r="B134" s="6" t="s">
        <v>1041</v>
      </c>
    </row>
    <row r="135" spans="1:2" x14ac:dyDescent="0.3">
      <c r="A135" s="6" t="s">
        <v>173</v>
      </c>
      <c r="B135" s="6" t="s">
        <v>1042</v>
      </c>
    </row>
    <row r="136" spans="1:2" x14ac:dyDescent="0.3">
      <c r="A136" s="6" t="s">
        <v>174</v>
      </c>
      <c r="B136" s="6" t="s">
        <v>1042</v>
      </c>
    </row>
    <row r="137" spans="1:2" x14ac:dyDescent="0.3">
      <c r="A137" s="6" t="s">
        <v>175</v>
      </c>
      <c r="B137" s="6" t="s">
        <v>1042</v>
      </c>
    </row>
    <row r="138" spans="1:2" x14ac:dyDescent="0.3">
      <c r="A138" s="6" t="s">
        <v>176</v>
      </c>
      <c r="B138" s="6" t="s">
        <v>1041</v>
      </c>
    </row>
    <row r="139" spans="1:2" x14ac:dyDescent="0.3">
      <c r="A139" s="6" t="s">
        <v>177</v>
      </c>
      <c r="B139" s="6" t="s">
        <v>1042</v>
      </c>
    </row>
    <row r="140" spans="1:2" x14ac:dyDescent="0.3">
      <c r="A140" s="6" t="s">
        <v>178</v>
      </c>
      <c r="B140" s="6" t="s">
        <v>1042</v>
      </c>
    </row>
    <row r="141" spans="1:2" x14ac:dyDescent="0.3">
      <c r="A141" s="6" t="s">
        <v>179</v>
      </c>
      <c r="B141" s="6" t="s">
        <v>1042</v>
      </c>
    </row>
    <row r="142" spans="1:2" x14ac:dyDescent="0.3">
      <c r="A142" s="6" t="s">
        <v>180</v>
      </c>
      <c r="B142" s="6" t="s">
        <v>1041</v>
      </c>
    </row>
    <row r="143" spans="1:2" x14ac:dyDescent="0.3">
      <c r="A143" s="6" t="s">
        <v>181</v>
      </c>
      <c r="B143" s="6" t="s">
        <v>1042</v>
      </c>
    </row>
    <row r="144" spans="1:2" x14ac:dyDescent="0.3">
      <c r="A144" s="6" t="s">
        <v>182</v>
      </c>
      <c r="B144" s="6" t="s">
        <v>1042</v>
      </c>
    </row>
    <row r="145" spans="1:2" x14ac:dyDescent="0.3">
      <c r="A145" s="6" t="s">
        <v>183</v>
      </c>
      <c r="B145" s="6" t="s">
        <v>1042</v>
      </c>
    </row>
    <row r="146" spans="1:2" x14ac:dyDescent="0.3">
      <c r="A146" s="6" t="s">
        <v>184</v>
      </c>
      <c r="B146" s="6" t="s">
        <v>1041</v>
      </c>
    </row>
    <row r="147" spans="1:2" x14ac:dyDescent="0.3">
      <c r="A147" s="6" t="s">
        <v>185</v>
      </c>
      <c r="B147" s="6" t="s">
        <v>1042</v>
      </c>
    </row>
    <row r="148" spans="1:2" x14ac:dyDescent="0.3">
      <c r="A148" s="6" t="s">
        <v>186</v>
      </c>
      <c r="B148" s="6" t="s">
        <v>1042</v>
      </c>
    </row>
    <row r="149" spans="1:2" x14ac:dyDescent="0.3">
      <c r="A149" s="6" t="s">
        <v>187</v>
      </c>
      <c r="B149" s="6" t="s">
        <v>1042</v>
      </c>
    </row>
    <row r="150" spans="1:2" x14ac:dyDescent="0.3">
      <c r="A150" s="6" t="s">
        <v>188</v>
      </c>
      <c r="B150" s="6" t="s">
        <v>1041</v>
      </c>
    </row>
    <row r="151" spans="1:2" x14ac:dyDescent="0.3">
      <c r="A151" s="6" t="s">
        <v>189</v>
      </c>
      <c r="B151" s="6" t="s">
        <v>1042</v>
      </c>
    </row>
    <row r="152" spans="1:2" x14ac:dyDescent="0.3">
      <c r="A152" s="6" t="s">
        <v>190</v>
      </c>
      <c r="B152" s="6" t="s">
        <v>1042</v>
      </c>
    </row>
    <row r="153" spans="1:2" x14ac:dyDescent="0.3">
      <c r="A153" s="6" t="s">
        <v>191</v>
      </c>
      <c r="B153" s="6" t="s">
        <v>1042</v>
      </c>
    </row>
    <row r="154" spans="1:2" x14ac:dyDescent="0.3">
      <c r="A154" s="6" t="s">
        <v>192</v>
      </c>
      <c r="B154" s="6" t="s">
        <v>1041</v>
      </c>
    </row>
    <row r="155" spans="1:2" x14ac:dyDescent="0.3">
      <c r="A155" s="6" t="s">
        <v>193</v>
      </c>
      <c r="B155" s="6" t="s">
        <v>1042</v>
      </c>
    </row>
    <row r="156" spans="1:2" x14ac:dyDescent="0.3">
      <c r="A156" s="6" t="s">
        <v>194</v>
      </c>
      <c r="B156" s="6" t="s">
        <v>1042</v>
      </c>
    </row>
    <row r="157" spans="1:2" x14ac:dyDescent="0.3">
      <c r="A157" s="6" t="s">
        <v>195</v>
      </c>
      <c r="B157" s="6" t="s">
        <v>1042</v>
      </c>
    </row>
    <row r="158" spans="1:2" x14ac:dyDescent="0.3">
      <c r="A158" s="6" t="s">
        <v>196</v>
      </c>
      <c r="B158" s="6" t="s">
        <v>1041</v>
      </c>
    </row>
    <row r="159" spans="1:2" x14ac:dyDescent="0.3">
      <c r="A159" s="6" t="s">
        <v>197</v>
      </c>
      <c r="B159" s="6" t="s">
        <v>1042</v>
      </c>
    </row>
    <row r="160" spans="1:2" x14ac:dyDescent="0.3">
      <c r="A160" s="6" t="s">
        <v>198</v>
      </c>
      <c r="B160" s="6" t="s">
        <v>1042</v>
      </c>
    </row>
    <row r="161" spans="1:2" x14ac:dyDescent="0.3">
      <c r="A161" s="6" t="s">
        <v>199</v>
      </c>
      <c r="B161" s="6" t="s">
        <v>1042</v>
      </c>
    </row>
    <row r="162" spans="1:2" x14ac:dyDescent="0.3">
      <c r="A162" s="6" t="s">
        <v>200</v>
      </c>
      <c r="B162" s="6" t="s">
        <v>1041</v>
      </c>
    </row>
    <row r="163" spans="1:2" x14ac:dyDescent="0.3">
      <c r="A163" s="6" t="s">
        <v>201</v>
      </c>
      <c r="B163" s="6" t="s">
        <v>1042</v>
      </c>
    </row>
    <row r="164" spans="1:2" x14ac:dyDescent="0.3">
      <c r="A164" s="6" t="s">
        <v>202</v>
      </c>
      <c r="B164" s="6" t="s">
        <v>1042</v>
      </c>
    </row>
    <row r="165" spans="1:2" x14ac:dyDescent="0.3">
      <c r="A165" s="6" t="s">
        <v>203</v>
      </c>
      <c r="B165" s="6" t="s">
        <v>1042</v>
      </c>
    </row>
    <row r="166" spans="1:2" x14ac:dyDescent="0.3">
      <c r="A166" s="6" t="s">
        <v>204</v>
      </c>
      <c r="B166" s="6" t="s">
        <v>1041</v>
      </c>
    </row>
    <row r="167" spans="1:2" x14ac:dyDescent="0.3">
      <c r="A167" s="6" t="s">
        <v>205</v>
      </c>
      <c r="B167" s="6" t="s">
        <v>1042</v>
      </c>
    </row>
    <row r="168" spans="1:2" x14ac:dyDescent="0.3">
      <c r="A168" s="6" t="s">
        <v>206</v>
      </c>
      <c r="B168" s="6" t="s">
        <v>1042</v>
      </c>
    </row>
    <row r="169" spans="1:2" x14ac:dyDescent="0.3">
      <c r="A169" s="6" t="s">
        <v>207</v>
      </c>
      <c r="B169" s="6" t="s">
        <v>1042</v>
      </c>
    </row>
    <row r="170" spans="1:2" x14ac:dyDescent="0.3">
      <c r="A170" s="6" t="s">
        <v>208</v>
      </c>
      <c r="B170" s="6" t="s">
        <v>1041</v>
      </c>
    </row>
    <row r="171" spans="1:2" x14ac:dyDescent="0.3">
      <c r="A171" s="6" t="s">
        <v>209</v>
      </c>
      <c r="B171" s="6" t="s">
        <v>1042</v>
      </c>
    </row>
    <row r="172" spans="1:2" x14ac:dyDescent="0.3">
      <c r="A172" s="6" t="s">
        <v>210</v>
      </c>
      <c r="B172" s="6" t="s">
        <v>1042</v>
      </c>
    </row>
    <row r="173" spans="1:2" x14ac:dyDescent="0.3">
      <c r="A173" s="6" t="s">
        <v>211</v>
      </c>
      <c r="B173" s="6" t="s">
        <v>1042</v>
      </c>
    </row>
    <row r="174" spans="1:2" x14ac:dyDescent="0.3">
      <c r="A174" s="6" t="s">
        <v>212</v>
      </c>
      <c r="B174" s="6" t="s">
        <v>1041</v>
      </c>
    </row>
    <row r="175" spans="1:2" x14ac:dyDescent="0.3">
      <c r="A175" s="6" t="s">
        <v>213</v>
      </c>
      <c r="B175" s="6" t="s">
        <v>1042</v>
      </c>
    </row>
    <row r="176" spans="1:2" x14ac:dyDescent="0.3">
      <c r="A176" s="6" t="s">
        <v>214</v>
      </c>
      <c r="B176" s="6" t="s">
        <v>1042</v>
      </c>
    </row>
    <row r="177" spans="1:2" x14ac:dyDescent="0.3">
      <c r="A177" s="6" t="s">
        <v>215</v>
      </c>
      <c r="B177" s="6" t="s">
        <v>1042</v>
      </c>
    </row>
    <row r="178" spans="1:2" x14ac:dyDescent="0.3">
      <c r="A178" s="6" t="s">
        <v>216</v>
      </c>
      <c r="B178" s="6" t="s">
        <v>1041</v>
      </c>
    </row>
    <row r="179" spans="1:2" x14ac:dyDescent="0.3">
      <c r="A179" s="6" t="s">
        <v>217</v>
      </c>
      <c r="B179" s="6" t="s">
        <v>1042</v>
      </c>
    </row>
    <row r="180" spans="1:2" x14ac:dyDescent="0.3">
      <c r="A180" s="6" t="s">
        <v>218</v>
      </c>
      <c r="B180" s="6" t="s">
        <v>1042</v>
      </c>
    </row>
    <row r="181" spans="1:2" x14ac:dyDescent="0.3">
      <c r="A181" s="6" t="s">
        <v>219</v>
      </c>
      <c r="B181" s="6" t="s">
        <v>1042</v>
      </c>
    </row>
    <row r="182" spans="1:2" x14ac:dyDescent="0.3">
      <c r="A182" s="6" t="s">
        <v>220</v>
      </c>
      <c r="B182" s="6" t="s">
        <v>1041</v>
      </c>
    </row>
    <row r="183" spans="1:2" x14ac:dyDescent="0.3">
      <c r="A183" s="6" t="s">
        <v>221</v>
      </c>
      <c r="B183" s="6" t="s">
        <v>1042</v>
      </c>
    </row>
    <row r="184" spans="1:2" x14ac:dyDescent="0.3">
      <c r="A184" s="6" t="s">
        <v>222</v>
      </c>
      <c r="B184" s="6" t="s">
        <v>1042</v>
      </c>
    </row>
    <row r="185" spans="1:2" x14ac:dyDescent="0.3">
      <c r="A185" s="6" t="s">
        <v>223</v>
      </c>
      <c r="B185" s="6" t="s">
        <v>1042</v>
      </c>
    </row>
    <row r="186" spans="1:2" x14ac:dyDescent="0.3">
      <c r="A186" s="6" t="s">
        <v>224</v>
      </c>
      <c r="B186" s="6" t="s">
        <v>1041</v>
      </c>
    </row>
    <row r="187" spans="1:2" x14ac:dyDescent="0.3">
      <c r="A187" s="6" t="s">
        <v>225</v>
      </c>
      <c r="B187" s="6" t="s">
        <v>1042</v>
      </c>
    </row>
    <row r="188" spans="1:2" x14ac:dyDescent="0.3">
      <c r="A188" s="6" t="s">
        <v>226</v>
      </c>
      <c r="B188" s="6" t="s">
        <v>1042</v>
      </c>
    </row>
    <row r="189" spans="1:2" x14ac:dyDescent="0.3">
      <c r="A189" s="6" t="s">
        <v>227</v>
      </c>
      <c r="B189" s="6" t="s">
        <v>1042</v>
      </c>
    </row>
    <row r="190" spans="1:2" x14ac:dyDescent="0.3">
      <c r="A190" s="6" t="s">
        <v>228</v>
      </c>
      <c r="B190" s="6" t="s">
        <v>1041</v>
      </c>
    </row>
    <row r="191" spans="1:2" x14ac:dyDescent="0.3">
      <c r="A191" s="6" t="s">
        <v>229</v>
      </c>
      <c r="B191" s="6" t="s">
        <v>1042</v>
      </c>
    </row>
    <row r="192" spans="1:2" x14ac:dyDescent="0.3">
      <c r="A192" s="6" t="s">
        <v>230</v>
      </c>
      <c r="B192" s="6" t="s">
        <v>1042</v>
      </c>
    </row>
    <row r="193" spans="1:2" x14ac:dyDescent="0.3">
      <c r="A193" s="6" t="s">
        <v>231</v>
      </c>
      <c r="B193" s="6" t="s">
        <v>1042</v>
      </c>
    </row>
    <row r="194" spans="1:2" x14ac:dyDescent="0.3">
      <c r="A194" s="6" t="s">
        <v>232</v>
      </c>
      <c r="B194" s="6" t="s">
        <v>1041</v>
      </c>
    </row>
    <row r="195" spans="1:2" x14ac:dyDescent="0.3">
      <c r="A195" s="6" t="s">
        <v>233</v>
      </c>
      <c r="B195" s="6" t="s">
        <v>1042</v>
      </c>
    </row>
    <row r="196" spans="1:2" x14ac:dyDescent="0.3">
      <c r="A196" s="6" t="s">
        <v>234</v>
      </c>
      <c r="B196" s="6" t="s">
        <v>1042</v>
      </c>
    </row>
    <row r="197" spans="1:2" x14ac:dyDescent="0.3">
      <c r="A197" s="6" t="s">
        <v>235</v>
      </c>
      <c r="B197" s="6" t="s">
        <v>1042</v>
      </c>
    </row>
    <row r="198" spans="1:2" x14ac:dyDescent="0.3">
      <c r="A198" s="6" t="s">
        <v>236</v>
      </c>
      <c r="B198" s="6" t="s">
        <v>1041</v>
      </c>
    </row>
    <row r="199" spans="1:2" x14ac:dyDescent="0.3">
      <c r="A199" s="6" t="s">
        <v>237</v>
      </c>
      <c r="B199" s="6" t="s">
        <v>1042</v>
      </c>
    </row>
    <row r="200" spans="1:2" x14ac:dyDescent="0.3">
      <c r="A200" s="6" t="s">
        <v>238</v>
      </c>
      <c r="B200" s="6" t="s">
        <v>1042</v>
      </c>
    </row>
    <row r="201" spans="1:2" x14ac:dyDescent="0.3">
      <c r="A201" s="6" t="s">
        <v>239</v>
      </c>
      <c r="B201" s="6" t="s">
        <v>1042</v>
      </c>
    </row>
    <row r="202" spans="1:2" x14ac:dyDescent="0.3">
      <c r="A202" s="6" t="s">
        <v>240</v>
      </c>
      <c r="B202" s="6" t="s">
        <v>1041</v>
      </c>
    </row>
    <row r="203" spans="1:2" x14ac:dyDescent="0.3">
      <c r="A203" s="6" t="s">
        <v>241</v>
      </c>
      <c r="B203" s="6" t="s">
        <v>1042</v>
      </c>
    </row>
    <row r="204" spans="1:2" x14ac:dyDescent="0.3">
      <c r="A204" s="6" t="s">
        <v>242</v>
      </c>
      <c r="B204" s="6" t="s">
        <v>1042</v>
      </c>
    </row>
    <row r="205" spans="1:2" x14ac:dyDescent="0.3">
      <c r="A205" s="6" t="s">
        <v>243</v>
      </c>
      <c r="B205" s="6" t="s">
        <v>1042</v>
      </c>
    </row>
    <row r="206" spans="1:2" x14ac:dyDescent="0.3">
      <c r="A206" s="6" t="s">
        <v>244</v>
      </c>
      <c r="B206" s="6" t="s">
        <v>1041</v>
      </c>
    </row>
    <row r="207" spans="1:2" x14ac:dyDescent="0.3">
      <c r="A207" s="6" t="s">
        <v>245</v>
      </c>
      <c r="B207" s="6" t="s">
        <v>1042</v>
      </c>
    </row>
    <row r="208" spans="1:2" x14ac:dyDescent="0.3">
      <c r="A208" s="6" t="s">
        <v>246</v>
      </c>
      <c r="B208" s="6" t="s">
        <v>1042</v>
      </c>
    </row>
    <row r="209" spans="1:2" x14ac:dyDescent="0.3">
      <c r="A209" s="6" t="s">
        <v>247</v>
      </c>
      <c r="B209" s="6" t="s">
        <v>1042</v>
      </c>
    </row>
    <row r="210" spans="1:2" x14ac:dyDescent="0.3">
      <c r="A210" s="6" t="s">
        <v>248</v>
      </c>
      <c r="B210" s="6" t="s">
        <v>1041</v>
      </c>
    </row>
    <row r="211" spans="1:2" x14ac:dyDescent="0.3">
      <c r="A211" s="6" t="s">
        <v>249</v>
      </c>
      <c r="B211" s="6" t="s">
        <v>1042</v>
      </c>
    </row>
    <row r="212" spans="1:2" x14ac:dyDescent="0.3">
      <c r="A212" s="6" t="s">
        <v>250</v>
      </c>
      <c r="B212" s="6" t="s">
        <v>1042</v>
      </c>
    </row>
    <row r="213" spans="1:2" x14ac:dyDescent="0.3">
      <c r="A213" s="6" t="s">
        <v>251</v>
      </c>
      <c r="B213" s="6" t="s">
        <v>1042</v>
      </c>
    </row>
    <row r="214" spans="1:2" x14ac:dyDescent="0.3">
      <c r="A214" s="6" t="s">
        <v>252</v>
      </c>
      <c r="B214" s="6" t="s">
        <v>1041</v>
      </c>
    </row>
    <row r="215" spans="1:2" x14ac:dyDescent="0.3">
      <c r="A215" s="6" t="s">
        <v>253</v>
      </c>
      <c r="B215" s="6" t="s">
        <v>1042</v>
      </c>
    </row>
    <row r="216" spans="1:2" x14ac:dyDescent="0.3">
      <c r="A216" s="6" t="s">
        <v>254</v>
      </c>
      <c r="B216" s="6" t="s">
        <v>1042</v>
      </c>
    </row>
    <row r="217" spans="1:2" x14ac:dyDescent="0.3">
      <c r="A217" s="6" t="s">
        <v>255</v>
      </c>
      <c r="B217" s="6" t="s">
        <v>1042</v>
      </c>
    </row>
    <row r="218" spans="1:2" x14ac:dyDescent="0.3">
      <c r="A218" s="6" t="s">
        <v>256</v>
      </c>
      <c r="B218" s="6" t="s">
        <v>1041</v>
      </c>
    </row>
    <row r="219" spans="1:2" x14ac:dyDescent="0.3">
      <c r="A219" s="6" t="s">
        <v>257</v>
      </c>
      <c r="B219" s="6" t="s">
        <v>1042</v>
      </c>
    </row>
    <row r="220" spans="1:2" x14ac:dyDescent="0.3">
      <c r="A220" s="6" t="s">
        <v>258</v>
      </c>
      <c r="B220" s="6" t="s">
        <v>1042</v>
      </c>
    </row>
    <row r="221" spans="1:2" x14ac:dyDescent="0.3">
      <c r="A221" s="6" t="s">
        <v>259</v>
      </c>
      <c r="B221" s="6" t="s">
        <v>1042</v>
      </c>
    </row>
    <row r="222" spans="1:2" x14ac:dyDescent="0.3">
      <c r="A222" s="6" t="s">
        <v>260</v>
      </c>
      <c r="B222" s="6" t="s">
        <v>1041</v>
      </c>
    </row>
    <row r="223" spans="1:2" x14ac:dyDescent="0.3">
      <c r="A223" s="6" t="s">
        <v>261</v>
      </c>
      <c r="B223" s="6" t="s">
        <v>1042</v>
      </c>
    </row>
    <row r="224" spans="1:2" x14ac:dyDescent="0.3">
      <c r="A224" s="6" t="s">
        <v>262</v>
      </c>
      <c r="B224" s="6" t="s">
        <v>1042</v>
      </c>
    </row>
    <row r="225" spans="1:2" x14ac:dyDescent="0.3">
      <c r="A225" s="6" t="s">
        <v>263</v>
      </c>
      <c r="B225" s="6" t="s">
        <v>1042</v>
      </c>
    </row>
    <row r="226" spans="1:2" x14ac:dyDescent="0.3">
      <c r="A226" s="6" t="s">
        <v>264</v>
      </c>
      <c r="B226" s="6" t="s">
        <v>1041</v>
      </c>
    </row>
    <row r="227" spans="1:2" x14ac:dyDescent="0.3">
      <c r="A227" s="6" t="s">
        <v>265</v>
      </c>
      <c r="B227" s="6" t="s">
        <v>1042</v>
      </c>
    </row>
    <row r="228" spans="1:2" x14ac:dyDescent="0.3">
      <c r="A228" s="6" t="s">
        <v>266</v>
      </c>
      <c r="B228" s="6" t="s">
        <v>1042</v>
      </c>
    </row>
    <row r="229" spans="1:2" x14ac:dyDescent="0.3">
      <c r="A229" s="6" t="s">
        <v>267</v>
      </c>
      <c r="B229" s="6" t="s">
        <v>1042</v>
      </c>
    </row>
    <row r="230" spans="1:2" x14ac:dyDescent="0.3">
      <c r="A230" s="6" t="s">
        <v>268</v>
      </c>
      <c r="B230" s="6" t="s">
        <v>1041</v>
      </c>
    </row>
    <row r="231" spans="1:2" x14ac:dyDescent="0.3">
      <c r="A231" s="6" t="s">
        <v>269</v>
      </c>
      <c r="B231" s="6" t="s">
        <v>1042</v>
      </c>
    </row>
    <row r="232" spans="1:2" x14ac:dyDescent="0.3">
      <c r="A232" s="6" t="s">
        <v>270</v>
      </c>
      <c r="B232" s="6" t="s">
        <v>1042</v>
      </c>
    </row>
    <row r="233" spans="1:2" x14ac:dyDescent="0.3">
      <c r="A233" s="6" t="s">
        <v>271</v>
      </c>
      <c r="B233" s="6" t="s">
        <v>1042</v>
      </c>
    </row>
    <row r="234" spans="1:2" x14ac:dyDescent="0.3">
      <c r="A234" s="6" t="s">
        <v>272</v>
      </c>
      <c r="B234" s="6" t="s">
        <v>1041</v>
      </c>
    </row>
    <row r="235" spans="1:2" x14ac:dyDescent="0.3">
      <c r="A235" s="6" t="s">
        <v>273</v>
      </c>
      <c r="B235" s="6" t="s">
        <v>1042</v>
      </c>
    </row>
    <row r="236" spans="1:2" x14ac:dyDescent="0.3">
      <c r="A236" s="6" t="s">
        <v>274</v>
      </c>
      <c r="B236" s="6" t="s">
        <v>1042</v>
      </c>
    </row>
    <row r="237" spans="1:2" x14ac:dyDescent="0.3">
      <c r="A237" s="6" t="s">
        <v>275</v>
      </c>
      <c r="B237" s="6" t="s">
        <v>1042</v>
      </c>
    </row>
    <row r="238" spans="1:2" x14ac:dyDescent="0.3">
      <c r="A238" s="6" t="s">
        <v>276</v>
      </c>
      <c r="B238" s="6" t="s">
        <v>1041</v>
      </c>
    </row>
    <row r="239" spans="1:2" x14ac:dyDescent="0.3">
      <c r="A239" s="6" t="s">
        <v>277</v>
      </c>
      <c r="B239" s="6" t="s">
        <v>1042</v>
      </c>
    </row>
    <row r="240" spans="1:2" x14ac:dyDescent="0.3">
      <c r="A240" s="6" t="s">
        <v>278</v>
      </c>
      <c r="B240" s="6" t="s">
        <v>1042</v>
      </c>
    </row>
    <row r="241" spans="1:2" x14ac:dyDescent="0.3">
      <c r="A241" s="6" t="s">
        <v>279</v>
      </c>
      <c r="B241" s="6" t="s">
        <v>1042</v>
      </c>
    </row>
    <row r="242" spans="1:2" x14ac:dyDescent="0.3">
      <c r="A242" s="6" t="s">
        <v>280</v>
      </c>
      <c r="B242" s="6" t="s">
        <v>1041</v>
      </c>
    </row>
    <row r="243" spans="1:2" x14ac:dyDescent="0.3">
      <c r="A243" s="6" t="s">
        <v>281</v>
      </c>
      <c r="B243" s="6" t="s">
        <v>1042</v>
      </c>
    </row>
    <row r="244" spans="1:2" x14ac:dyDescent="0.3">
      <c r="A244" s="6" t="s">
        <v>282</v>
      </c>
      <c r="B244" s="6" t="s">
        <v>1042</v>
      </c>
    </row>
    <row r="245" spans="1:2" x14ac:dyDescent="0.3">
      <c r="A245" s="6" t="s">
        <v>283</v>
      </c>
      <c r="B245" s="6" t="s">
        <v>1042</v>
      </c>
    </row>
    <row r="246" spans="1:2" x14ac:dyDescent="0.3">
      <c r="A246" s="6" t="s">
        <v>284</v>
      </c>
      <c r="B246" s="6" t="s">
        <v>1041</v>
      </c>
    </row>
    <row r="247" spans="1:2" x14ac:dyDescent="0.3">
      <c r="A247" s="6" t="s">
        <v>285</v>
      </c>
      <c r="B247" s="6" t="s">
        <v>1042</v>
      </c>
    </row>
    <row r="248" spans="1:2" x14ac:dyDescent="0.3">
      <c r="A248" s="6" t="s">
        <v>286</v>
      </c>
      <c r="B248" s="6" t="s">
        <v>1042</v>
      </c>
    </row>
    <row r="249" spans="1:2" x14ac:dyDescent="0.3">
      <c r="A249" s="6" t="s">
        <v>287</v>
      </c>
      <c r="B249" s="6" t="s">
        <v>1042</v>
      </c>
    </row>
    <row r="250" spans="1:2" x14ac:dyDescent="0.3">
      <c r="A250" s="6" t="s">
        <v>288</v>
      </c>
      <c r="B250" s="6" t="s">
        <v>1041</v>
      </c>
    </row>
    <row r="251" spans="1:2" x14ac:dyDescent="0.3">
      <c r="A251" s="6" t="s">
        <v>289</v>
      </c>
      <c r="B251" s="6" t="s">
        <v>1042</v>
      </c>
    </row>
    <row r="252" spans="1:2" x14ac:dyDescent="0.3">
      <c r="A252" s="6" t="s">
        <v>290</v>
      </c>
      <c r="B252" s="6" t="s">
        <v>1042</v>
      </c>
    </row>
    <row r="253" spans="1:2" x14ac:dyDescent="0.3">
      <c r="A253" s="6" t="s">
        <v>291</v>
      </c>
      <c r="B253" s="6" t="s">
        <v>1042</v>
      </c>
    </row>
    <row r="254" spans="1:2" x14ac:dyDescent="0.3">
      <c r="A254" s="6" t="s">
        <v>292</v>
      </c>
      <c r="B254" s="6" t="s">
        <v>1041</v>
      </c>
    </row>
    <row r="255" spans="1:2" x14ac:dyDescent="0.3">
      <c r="A255" s="6" t="s">
        <v>293</v>
      </c>
      <c r="B255" s="6" t="s">
        <v>1042</v>
      </c>
    </row>
    <row r="256" spans="1:2" x14ac:dyDescent="0.3">
      <c r="A256" s="6" t="s">
        <v>294</v>
      </c>
      <c r="B256" s="6" t="s">
        <v>1042</v>
      </c>
    </row>
    <row r="257" spans="1:2" x14ac:dyDescent="0.3">
      <c r="A257" s="6" t="s">
        <v>295</v>
      </c>
      <c r="B257" s="6" t="s">
        <v>1042</v>
      </c>
    </row>
    <row r="258" spans="1:2" x14ac:dyDescent="0.3">
      <c r="A258" s="6" t="s">
        <v>296</v>
      </c>
      <c r="B258" s="6" t="s">
        <v>1041</v>
      </c>
    </row>
    <row r="259" spans="1:2" x14ac:dyDescent="0.3">
      <c r="A259" s="6" t="s">
        <v>297</v>
      </c>
      <c r="B259" s="6" t="s">
        <v>1042</v>
      </c>
    </row>
    <row r="260" spans="1:2" x14ac:dyDescent="0.3">
      <c r="A260" s="6" t="s">
        <v>298</v>
      </c>
      <c r="B260" s="6" t="s">
        <v>1042</v>
      </c>
    </row>
    <row r="261" spans="1:2" x14ac:dyDescent="0.3">
      <c r="A261" s="6" t="s">
        <v>299</v>
      </c>
      <c r="B261" s="6" t="s">
        <v>1042</v>
      </c>
    </row>
    <row r="262" spans="1:2" x14ac:dyDescent="0.3">
      <c r="A262" s="6" t="s">
        <v>300</v>
      </c>
      <c r="B262" s="6" t="s">
        <v>1041</v>
      </c>
    </row>
    <row r="263" spans="1:2" x14ac:dyDescent="0.3">
      <c r="A263" s="6" t="s">
        <v>301</v>
      </c>
      <c r="B263" s="6" t="s">
        <v>1042</v>
      </c>
    </row>
    <row r="264" spans="1:2" x14ac:dyDescent="0.3">
      <c r="A264" s="6" t="s">
        <v>302</v>
      </c>
      <c r="B264" s="6" t="s">
        <v>1042</v>
      </c>
    </row>
    <row r="265" spans="1:2" x14ac:dyDescent="0.3">
      <c r="A265" s="6" t="s">
        <v>303</v>
      </c>
      <c r="B265" s="6" t="s">
        <v>1042</v>
      </c>
    </row>
    <row r="266" spans="1:2" x14ac:dyDescent="0.3">
      <c r="A266" s="6" t="s">
        <v>304</v>
      </c>
      <c r="B266" s="6" t="s">
        <v>1041</v>
      </c>
    </row>
    <row r="267" spans="1:2" x14ac:dyDescent="0.3">
      <c r="A267" s="6" t="s">
        <v>305</v>
      </c>
      <c r="B267" s="6" t="s">
        <v>1042</v>
      </c>
    </row>
    <row r="268" spans="1:2" x14ac:dyDescent="0.3">
      <c r="A268" s="6" t="s">
        <v>306</v>
      </c>
      <c r="B268" s="6" t="s">
        <v>1042</v>
      </c>
    </row>
    <row r="269" spans="1:2" x14ac:dyDescent="0.3">
      <c r="A269" s="6" t="s">
        <v>307</v>
      </c>
      <c r="B269" s="6" t="s">
        <v>1042</v>
      </c>
    </row>
    <row r="270" spans="1:2" x14ac:dyDescent="0.3">
      <c r="A270" s="6" t="s">
        <v>308</v>
      </c>
      <c r="B270" s="6" t="s">
        <v>1041</v>
      </c>
    </row>
    <row r="271" spans="1:2" x14ac:dyDescent="0.3">
      <c r="A271" s="6" t="s">
        <v>309</v>
      </c>
      <c r="B271" s="6" t="s">
        <v>1042</v>
      </c>
    </row>
    <row r="272" spans="1:2" x14ac:dyDescent="0.3">
      <c r="A272" s="6" t="s">
        <v>310</v>
      </c>
      <c r="B272" s="6" t="s">
        <v>1042</v>
      </c>
    </row>
    <row r="273" spans="1:2" x14ac:dyDescent="0.3">
      <c r="A273" s="6" t="s">
        <v>311</v>
      </c>
      <c r="B273" s="6" t="s">
        <v>1042</v>
      </c>
    </row>
    <row r="274" spans="1:2" x14ac:dyDescent="0.3">
      <c r="A274" s="6" t="s">
        <v>312</v>
      </c>
      <c r="B274" s="6" t="s">
        <v>1041</v>
      </c>
    </row>
    <row r="275" spans="1:2" x14ac:dyDescent="0.3">
      <c r="A275" s="6" t="s">
        <v>313</v>
      </c>
      <c r="B275" s="6" t="s">
        <v>1042</v>
      </c>
    </row>
    <row r="276" spans="1:2" x14ac:dyDescent="0.3">
      <c r="A276" s="6" t="s">
        <v>314</v>
      </c>
      <c r="B276" s="6" t="s">
        <v>1042</v>
      </c>
    </row>
    <row r="277" spans="1:2" x14ac:dyDescent="0.3">
      <c r="A277" s="6" t="s">
        <v>315</v>
      </c>
      <c r="B277" s="6" t="s">
        <v>1042</v>
      </c>
    </row>
    <row r="278" spans="1:2" x14ac:dyDescent="0.3">
      <c r="A278" s="6" t="s">
        <v>316</v>
      </c>
      <c r="B278" s="6" t="s">
        <v>1041</v>
      </c>
    </row>
    <row r="279" spans="1:2" x14ac:dyDescent="0.3">
      <c r="A279" s="6" t="s">
        <v>317</v>
      </c>
      <c r="B279" s="6" t="s">
        <v>1042</v>
      </c>
    </row>
    <row r="280" spans="1:2" x14ac:dyDescent="0.3">
      <c r="A280" s="6" t="s">
        <v>318</v>
      </c>
      <c r="B280" s="6" t="s">
        <v>1042</v>
      </c>
    </row>
    <row r="281" spans="1:2" x14ac:dyDescent="0.3">
      <c r="A281" s="6" t="s">
        <v>319</v>
      </c>
      <c r="B281" s="6" t="s">
        <v>1042</v>
      </c>
    </row>
    <row r="282" spans="1:2" x14ac:dyDescent="0.3">
      <c r="A282" s="6" t="s">
        <v>320</v>
      </c>
      <c r="B282" s="6" t="s">
        <v>1041</v>
      </c>
    </row>
    <row r="283" spans="1:2" x14ac:dyDescent="0.3">
      <c r="A283" s="6" t="s">
        <v>321</v>
      </c>
      <c r="B283" s="6" t="s">
        <v>1042</v>
      </c>
    </row>
    <row r="284" spans="1:2" x14ac:dyDescent="0.3">
      <c r="A284" s="6" t="s">
        <v>322</v>
      </c>
      <c r="B284" s="6" t="s">
        <v>1042</v>
      </c>
    </row>
    <row r="285" spans="1:2" x14ac:dyDescent="0.3">
      <c r="A285" s="6" t="s">
        <v>323</v>
      </c>
      <c r="B285" s="6" t="s">
        <v>1042</v>
      </c>
    </row>
    <row r="286" spans="1:2" x14ac:dyDescent="0.3">
      <c r="A286" s="6" t="s">
        <v>324</v>
      </c>
      <c r="B286" s="6" t="s">
        <v>1041</v>
      </c>
    </row>
    <row r="287" spans="1:2" x14ac:dyDescent="0.3">
      <c r="A287" s="6" t="s">
        <v>325</v>
      </c>
      <c r="B287" s="6" t="s">
        <v>1042</v>
      </c>
    </row>
    <row r="288" spans="1:2" x14ac:dyDescent="0.3">
      <c r="A288" s="6" t="s">
        <v>326</v>
      </c>
      <c r="B288" s="6" t="s">
        <v>1042</v>
      </c>
    </row>
    <row r="289" spans="1:2" x14ac:dyDescent="0.3">
      <c r="A289" s="6" t="s">
        <v>327</v>
      </c>
      <c r="B289" s="6" t="s">
        <v>1042</v>
      </c>
    </row>
    <row r="290" spans="1:2" x14ac:dyDescent="0.3">
      <c r="A290" s="6" t="s">
        <v>328</v>
      </c>
      <c r="B290" s="6" t="s">
        <v>1041</v>
      </c>
    </row>
    <row r="291" spans="1:2" x14ac:dyDescent="0.3">
      <c r="A291" s="6" t="s">
        <v>329</v>
      </c>
      <c r="B291" s="6" t="s">
        <v>1042</v>
      </c>
    </row>
    <row r="292" spans="1:2" x14ac:dyDescent="0.3">
      <c r="A292" s="6" t="s">
        <v>330</v>
      </c>
      <c r="B292" s="6" t="s">
        <v>1042</v>
      </c>
    </row>
    <row r="293" spans="1:2" x14ac:dyDescent="0.3">
      <c r="A293" s="6" t="s">
        <v>331</v>
      </c>
      <c r="B293" s="6" t="s">
        <v>1042</v>
      </c>
    </row>
    <row r="294" spans="1:2" x14ac:dyDescent="0.3">
      <c r="A294" s="6" t="s">
        <v>332</v>
      </c>
      <c r="B294" s="6" t="s">
        <v>1041</v>
      </c>
    </row>
    <row r="295" spans="1:2" x14ac:dyDescent="0.3">
      <c r="A295" s="6" t="s">
        <v>333</v>
      </c>
      <c r="B295" s="6" t="s">
        <v>1042</v>
      </c>
    </row>
    <row r="296" spans="1:2" x14ac:dyDescent="0.3">
      <c r="A296" s="6" t="s">
        <v>334</v>
      </c>
      <c r="B296" s="6" t="s">
        <v>1042</v>
      </c>
    </row>
    <row r="297" spans="1:2" x14ac:dyDescent="0.3">
      <c r="A297" s="6" t="s">
        <v>335</v>
      </c>
      <c r="B297" s="6" t="s">
        <v>1042</v>
      </c>
    </row>
    <row r="298" spans="1:2" x14ac:dyDescent="0.3">
      <c r="A298" s="6" t="s">
        <v>336</v>
      </c>
      <c r="B298" s="6" t="s">
        <v>1041</v>
      </c>
    </row>
    <row r="299" spans="1:2" x14ac:dyDescent="0.3">
      <c r="A299" s="6" t="s">
        <v>337</v>
      </c>
      <c r="B299" s="6" t="s">
        <v>1042</v>
      </c>
    </row>
    <row r="300" spans="1:2" x14ac:dyDescent="0.3">
      <c r="A300" s="6" t="s">
        <v>338</v>
      </c>
      <c r="B300" s="6" t="s">
        <v>1042</v>
      </c>
    </row>
    <row r="301" spans="1:2" x14ac:dyDescent="0.3">
      <c r="A301" s="6" t="s">
        <v>339</v>
      </c>
      <c r="B301" s="6" t="s">
        <v>1042</v>
      </c>
    </row>
    <row r="302" spans="1:2" x14ac:dyDescent="0.3">
      <c r="A302" s="6" t="s">
        <v>340</v>
      </c>
      <c r="B302" s="6" t="s">
        <v>1041</v>
      </c>
    </row>
    <row r="303" spans="1:2" x14ac:dyDescent="0.3">
      <c r="A303" s="6" t="s">
        <v>341</v>
      </c>
      <c r="B303" s="6" t="s">
        <v>1042</v>
      </c>
    </row>
    <row r="304" spans="1:2" x14ac:dyDescent="0.3">
      <c r="A304" s="6" t="s">
        <v>342</v>
      </c>
      <c r="B304" s="6" t="s">
        <v>1042</v>
      </c>
    </row>
    <row r="305" spans="1:2" x14ac:dyDescent="0.3">
      <c r="A305" s="6" t="s">
        <v>343</v>
      </c>
      <c r="B305" s="6" t="s">
        <v>1042</v>
      </c>
    </row>
    <row r="306" spans="1:2" x14ac:dyDescent="0.3">
      <c r="A306" s="6" t="s">
        <v>344</v>
      </c>
      <c r="B306" s="6" t="s">
        <v>1041</v>
      </c>
    </row>
    <row r="307" spans="1:2" x14ac:dyDescent="0.3">
      <c r="A307" s="6" t="s">
        <v>345</v>
      </c>
      <c r="B307" s="6" t="s">
        <v>1042</v>
      </c>
    </row>
    <row r="308" spans="1:2" x14ac:dyDescent="0.3">
      <c r="A308" s="6" t="s">
        <v>346</v>
      </c>
      <c r="B308" s="6" t="s">
        <v>1042</v>
      </c>
    </row>
    <row r="309" spans="1:2" x14ac:dyDescent="0.3">
      <c r="A309" s="6" t="s">
        <v>347</v>
      </c>
      <c r="B309" s="6" t="s">
        <v>1042</v>
      </c>
    </row>
    <row r="310" spans="1:2" x14ac:dyDescent="0.3">
      <c r="A310" s="6" t="s">
        <v>348</v>
      </c>
      <c r="B310" s="6" t="s">
        <v>1041</v>
      </c>
    </row>
    <row r="311" spans="1:2" x14ac:dyDescent="0.3">
      <c r="A311" s="6" t="s">
        <v>349</v>
      </c>
      <c r="B311" s="6" t="s">
        <v>1042</v>
      </c>
    </row>
    <row r="312" spans="1:2" x14ac:dyDescent="0.3">
      <c r="A312" s="6" t="s">
        <v>350</v>
      </c>
      <c r="B312" s="6" t="s">
        <v>1042</v>
      </c>
    </row>
    <row r="313" spans="1:2" x14ac:dyDescent="0.3">
      <c r="A313" s="6" t="s">
        <v>351</v>
      </c>
      <c r="B313" s="6" t="s">
        <v>1042</v>
      </c>
    </row>
    <row r="314" spans="1:2" x14ac:dyDescent="0.3">
      <c r="A314" s="6" t="s">
        <v>352</v>
      </c>
      <c r="B314" s="6" t="s">
        <v>1041</v>
      </c>
    </row>
    <row r="315" spans="1:2" x14ac:dyDescent="0.3">
      <c r="A315" s="6" t="s">
        <v>353</v>
      </c>
      <c r="B315" s="6" t="s">
        <v>1042</v>
      </c>
    </row>
    <row r="316" spans="1:2" x14ac:dyDescent="0.3">
      <c r="A316" s="6" t="s">
        <v>354</v>
      </c>
      <c r="B316" s="6" t="s">
        <v>1042</v>
      </c>
    </row>
    <row r="317" spans="1:2" x14ac:dyDescent="0.3">
      <c r="A317" s="6" t="s">
        <v>355</v>
      </c>
      <c r="B317" s="6" t="s">
        <v>1042</v>
      </c>
    </row>
    <row r="318" spans="1:2" x14ac:dyDescent="0.3">
      <c r="A318" s="6" t="s">
        <v>356</v>
      </c>
      <c r="B318" s="6" t="s">
        <v>1041</v>
      </c>
    </row>
    <row r="319" spans="1:2" x14ac:dyDescent="0.3">
      <c r="A319" s="6" t="s">
        <v>357</v>
      </c>
      <c r="B319" s="6" t="s">
        <v>1042</v>
      </c>
    </row>
    <row r="320" spans="1:2" x14ac:dyDescent="0.3">
      <c r="A320" s="6" t="s">
        <v>358</v>
      </c>
      <c r="B320" s="6" t="s">
        <v>1042</v>
      </c>
    </row>
    <row r="321" spans="1:2" x14ac:dyDescent="0.3">
      <c r="A321" s="6" t="s">
        <v>359</v>
      </c>
      <c r="B321" s="6" t="s">
        <v>1042</v>
      </c>
    </row>
    <row r="322" spans="1:2" x14ac:dyDescent="0.3">
      <c r="A322" s="6" t="s">
        <v>360</v>
      </c>
      <c r="B322" s="6" t="s">
        <v>1041</v>
      </c>
    </row>
    <row r="323" spans="1:2" x14ac:dyDescent="0.3">
      <c r="A323" s="6" t="s">
        <v>361</v>
      </c>
      <c r="B323" s="6" t="s">
        <v>1042</v>
      </c>
    </row>
    <row r="324" spans="1:2" x14ac:dyDescent="0.3">
      <c r="A324" s="6" t="s">
        <v>362</v>
      </c>
      <c r="B324" s="6" t="s">
        <v>1042</v>
      </c>
    </row>
    <row r="325" spans="1:2" x14ac:dyDescent="0.3">
      <c r="A325" s="6" t="s">
        <v>363</v>
      </c>
      <c r="B325" s="6" t="s">
        <v>1042</v>
      </c>
    </row>
    <row r="326" spans="1:2" x14ac:dyDescent="0.3">
      <c r="A326" s="6" t="s">
        <v>364</v>
      </c>
      <c r="B326" s="6" t="s">
        <v>1041</v>
      </c>
    </row>
    <row r="327" spans="1:2" x14ac:dyDescent="0.3">
      <c r="A327" s="6" t="s">
        <v>365</v>
      </c>
      <c r="B327" s="6" t="s">
        <v>1042</v>
      </c>
    </row>
    <row r="328" spans="1:2" x14ac:dyDescent="0.3">
      <c r="A328" s="6" t="s">
        <v>366</v>
      </c>
      <c r="B328" s="6" t="s">
        <v>1042</v>
      </c>
    </row>
    <row r="329" spans="1:2" x14ac:dyDescent="0.3">
      <c r="A329" s="6" t="s">
        <v>367</v>
      </c>
      <c r="B329" s="6" t="s">
        <v>1042</v>
      </c>
    </row>
    <row r="330" spans="1:2" x14ac:dyDescent="0.3">
      <c r="A330" s="6" t="s">
        <v>368</v>
      </c>
      <c r="B330" s="6" t="s">
        <v>1041</v>
      </c>
    </row>
    <row r="331" spans="1:2" x14ac:dyDescent="0.3">
      <c r="A331" s="6" t="s">
        <v>369</v>
      </c>
      <c r="B331" s="6" t="s">
        <v>1042</v>
      </c>
    </row>
    <row r="332" spans="1:2" x14ac:dyDescent="0.3">
      <c r="A332" s="6" t="s">
        <v>370</v>
      </c>
      <c r="B332" s="6" t="s">
        <v>1042</v>
      </c>
    </row>
    <row r="333" spans="1:2" x14ac:dyDescent="0.3">
      <c r="A333" s="6" t="s">
        <v>371</v>
      </c>
      <c r="B333" s="6" t="s">
        <v>1042</v>
      </c>
    </row>
    <row r="334" spans="1:2" x14ac:dyDescent="0.3">
      <c r="A334" s="6" t="s">
        <v>372</v>
      </c>
      <c r="B334" s="6" t="s">
        <v>1041</v>
      </c>
    </row>
    <row r="335" spans="1:2" x14ac:dyDescent="0.3">
      <c r="A335" s="6" t="s">
        <v>373</v>
      </c>
      <c r="B335" s="6" t="s">
        <v>1042</v>
      </c>
    </row>
    <row r="336" spans="1:2" x14ac:dyDescent="0.3">
      <c r="A336" s="6" t="s">
        <v>374</v>
      </c>
      <c r="B336" s="6" t="s">
        <v>1042</v>
      </c>
    </row>
    <row r="337" spans="1:2" x14ac:dyDescent="0.3">
      <c r="A337" s="6" t="s">
        <v>375</v>
      </c>
      <c r="B337" s="6" t="s">
        <v>1042</v>
      </c>
    </row>
    <row r="338" spans="1:2" x14ac:dyDescent="0.3">
      <c r="A338" s="6" t="s">
        <v>376</v>
      </c>
      <c r="B338" s="6" t="s">
        <v>1041</v>
      </c>
    </row>
    <row r="339" spans="1:2" x14ac:dyDescent="0.3">
      <c r="A339" s="6" t="s">
        <v>377</v>
      </c>
      <c r="B339" s="6" t="s">
        <v>1042</v>
      </c>
    </row>
    <row r="340" spans="1:2" x14ac:dyDescent="0.3">
      <c r="A340" s="6" t="s">
        <v>378</v>
      </c>
      <c r="B340" s="6" t="s">
        <v>1042</v>
      </c>
    </row>
    <row r="341" spans="1:2" x14ac:dyDescent="0.3">
      <c r="A341" s="6" t="s">
        <v>379</v>
      </c>
      <c r="B341" s="6" t="s">
        <v>1042</v>
      </c>
    </row>
    <row r="342" spans="1:2" x14ac:dyDescent="0.3">
      <c r="A342" s="6" t="s">
        <v>380</v>
      </c>
      <c r="B342" s="6" t="s">
        <v>1041</v>
      </c>
    </row>
    <row r="343" spans="1:2" x14ac:dyDescent="0.3">
      <c r="A343" s="6" t="s">
        <v>381</v>
      </c>
      <c r="B343" s="6" t="s">
        <v>1042</v>
      </c>
    </row>
    <row r="344" spans="1:2" x14ac:dyDescent="0.3">
      <c r="A344" s="6" t="s">
        <v>382</v>
      </c>
      <c r="B344" s="6" t="s">
        <v>1042</v>
      </c>
    </row>
    <row r="345" spans="1:2" x14ac:dyDescent="0.3">
      <c r="A345" s="6" t="s">
        <v>383</v>
      </c>
      <c r="B345" s="6" t="s">
        <v>1042</v>
      </c>
    </row>
    <row r="346" spans="1:2" x14ac:dyDescent="0.3">
      <c r="A346" s="6" t="s">
        <v>384</v>
      </c>
      <c r="B346" s="6" t="s">
        <v>1041</v>
      </c>
    </row>
    <row r="347" spans="1:2" x14ac:dyDescent="0.3">
      <c r="A347" s="6" t="s">
        <v>385</v>
      </c>
      <c r="B347" s="6" t="s">
        <v>1042</v>
      </c>
    </row>
    <row r="348" spans="1:2" x14ac:dyDescent="0.3">
      <c r="A348" s="6" t="s">
        <v>386</v>
      </c>
      <c r="B348" s="6" t="s">
        <v>1042</v>
      </c>
    </row>
    <row r="349" spans="1:2" x14ac:dyDescent="0.3">
      <c r="A349" s="6" t="s">
        <v>387</v>
      </c>
      <c r="B349" s="6" t="s">
        <v>1042</v>
      </c>
    </row>
    <row r="350" spans="1:2" x14ac:dyDescent="0.3">
      <c r="A350" s="6" t="s">
        <v>388</v>
      </c>
      <c r="B350" s="6" t="s">
        <v>1041</v>
      </c>
    </row>
    <row r="351" spans="1:2" x14ac:dyDescent="0.3">
      <c r="A351" s="6" t="s">
        <v>389</v>
      </c>
      <c r="B351" s="6" t="s">
        <v>1042</v>
      </c>
    </row>
    <row r="352" spans="1:2" x14ac:dyDescent="0.3">
      <c r="A352" s="6" t="s">
        <v>390</v>
      </c>
      <c r="B352" s="6" t="s">
        <v>1042</v>
      </c>
    </row>
    <row r="353" spans="1:2" x14ac:dyDescent="0.3">
      <c r="A353" s="6" t="s">
        <v>391</v>
      </c>
      <c r="B353" s="6" t="s">
        <v>1042</v>
      </c>
    </row>
    <row r="354" spans="1:2" x14ac:dyDescent="0.3">
      <c r="A354" s="6" t="s">
        <v>392</v>
      </c>
      <c r="B354" s="6" t="s">
        <v>1041</v>
      </c>
    </row>
    <row r="355" spans="1:2" x14ac:dyDescent="0.3">
      <c r="A355" s="6" t="s">
        <v>393</v>
      </c>
      <c r="B355" s="6" t="s">
        <v>1042</v>
      </c>
    </row>
    <row r="356" spans="1:2" x14ac:dyDescent="0.3">
      <c r="A356" s="6" t="s">
        <v>394</v>
      </c>
      <c r="B356" s="6" t="s">
        <v>1042</v>
      </c>
    </row>
    <row r="357" spans="1:2" x14ac:dyDescent="0.3">
      <c r="A357" s="6" t="s">
        <v>395</v>
      </c>
      <c r="B357" s="6" t="s">
        <v>1042</v>
      </c>
    </row>
    <row r="358" spans="1:2" x14ac:dyDescent="0.3">
      <c r="A358" s="6" t="s">
        <v>396</v>
      </c>
      <c r="B358" s="6" t="s">
        <v>1041</v>
      </c>
    </row>
    <row r="359" spans="1:2" x14ac:dyDescent="0.3">
      <c r="A359" s="6" t="s">
        <v>397</v>
      </c>
      <c r="B359" s="6" t="s">
        <v>1042</v>
      </c>
    </row>
    <row r="360" spans="1:2" x14ac:dyDescent="0.3">
      <c r="A360" s="6" t="s">
        <v>398</v>
      </c>
      <c r="B360" s="6" t="s">
        <v>1042</v>
      </c>
    </row>
    <row r="361" spans="1:2" x14ac:dyDescent="0.3">
      <c r="A361" s="6" t="s">
        <v>399</v>
      </c>
      <c r="B361" s="6" t="s">
        <v>1042</v>
      </c>
    </row>
    <row r="362" spans="1:2" x14ac:dyDescent="0.3">
      <c r="A362" s="6" t="s">
        <v>400</v>
      </c>
      <c r="B362" s="6" t="s">
        <v>1041</v>
      </c>
    </row>
    <row r="363" spans="1:2" x14ac:dyDescent="0.3">
      <c r="A363" s="6" t="s">
        <v>401</v>
      </c>
      <c r="B363" s="6" t="s">
        <v>1042</v>
      </c>
    </row>
    <row r="364" spans="1:2" x14ac:dyDescent="0.3">
      <c r="A364" s="6" t="s">
        <v>402</v>
      </c>
      <c r="B364" s="6" t="s">
        <v>1042</v>
      </c>
    </row>
    <row r="365" spans="1:2" x14ac:dyDescent="0.3">
      <c r="A365" s="6" t="s">
        <v>403</v>
      </c>
      <c r="B365" s="6" t="s">
        <v>1042</v>
      </c>
    </row>
    <row r="366" spans="1:2" x14ac:dyDescent="0.3">
      <c r="A366" s="6" t="s">
        <v>404</v>
      </c>
      <c r="B366" s="6" t="s">
        <v>1041</v>
      </c>
    </row>
    <row r="367" spans="1:2" x14ac:dyDescent="0.3">
      <c r="A367" s="6" t="s">
        <v>405</v>
      </c>
      <c r="B367" s="6" t="s">
        <v>1042</v>
      </c>
    </row>
    <row r="368" spans="1:2" x14ac:dyDescent="0.3">
      <c r="A368" s="6" t="s">
        <v>406</v>
      </c>
      <c r="B368" s="6" t="s">
        <v>1042</v>
      </c>
    </row>
    <row r="369" spans="1:2" x14ac:dyDescent="0.3">
      <c r="A369" s="6" t="s">
        <v>407</v>
      </c>
      <c r="B369" s="6" t="s">
        <v>1042</v>
      </c>
    </row>
    <row r="370" spans="1:2" x14ac:dyDescent="0.3">
      <c r="A370" s="6" t="s">
        <v>408</v>
      </c>
      <c r="B370" s="6" t="s">
        <v>1041</v>
      </c>
    </row>
    <row r="371" spans="1:2" x14ac:dyDescent="0.3">
      <c r="A371" s="6" t="s">
        <v>409</v>
      </c>
      <c r="B371" s="6" t="s">
        <v>1042</v>
      </c>
    </row>
    <row r="372" spans="1:2" x14ac:dyDescent="0.3">
      <c r="A372" s="6" t="s">
        <v>410</v>
      </c>
      <c r="B372" s="6" t="s">
        <v>1042</v>
      </c>
    </row>
    <row r="373" spans="1:2" x14ac:dyDescent="0.3">
      <c r="A373" s="6" t="s">
        <v>411</v>
      </c>
      <c r="B373" s="6" t="s">
        <v>1042</v>
      </c>
    </row>
    <row r="374" spans="1:2" x14ac:dyDescent="0.3">
      <c r="A374" s="6" t="s">
        <v>412</v>
      </c>
      <c r="B374" s="6" t="s">
        <v>1041</v>
      </c>
    </row>
    <row r="375" spans="1:2" x14ac:dyDescent="0.3">
      <c r="A375" s="6" t="s">
        <v>413</v>
      </c>
      <c r="B375" s="6" t="s">
        <v>1042</v>
      </c>
    </row>
    <row r="376" spans="1:2" x14ac:dyDescent="0.3">
      <c r="A376" s="6" t="s">
        <v>414</v>
      </c>
      <c r="B376" s="6" t="s">
        <v>1042</v>
      </c>
    </row>
    <row r="377" spans="1:2" x14ac:dyDescent="0.3">
      <c r="A377" s="6" t="s">
        <v>415</v>
      </c>
      <c r="B377" s="6" t="s">
        <v>1042</v>
      </c>
    </row>
    <row r="378" spans="1:2" x14ac:dyDescent="0.3">
      <c r="A378" s="6" t="s">
        <v>416</v>
      </c>
      <c r="B378" s="6" t="s">
        <v>1041</v>
      </c>
    </row>
    <row r="379" spans="1:2" x14ac:dyDescent="0.3">
      <c r="A379" s="6" t="s">
        <v>417</v>
      </c>
      <c r="B379" s="6" t="s">
        <v>1042</v>
      </c>
    </row>
    <row r="380" spans="1:2" x14ac:dyDescent="0.3">
      <c r="A380" s="6" t="s">
        <v>418</v>
      </c>
      <c r="B380" s="6" t="s">
        <v>1042</v>
      </c>
    </row>
    <row r="381" spans="1:2" x14ac:dyDescent="0.3">
      <c r="A381" s="6" t="s">
        <v>419</v>
      </c>
      <c r="B381" s="6" t="s">
        <v>1042</v>
      </c>
    </row>
    <row r="382" spans="1:2" x14ac:dyDescent="0.3">
      <c r="A382" s="6" t="s">
        <v>420</v>
      </c>
      <c r="B382" s="6" t="s">
        <v>1041</v>
      </c>
    </row>
    <row r="383" spans="1:2" x14ac:dyDescent="0.3">
      <c r="A383" s="6" t="s">
        <v>421</v>
      </c>
      <c r="B383" s="6" t="s">
        <v>1042</v>
      </c>
    </row>
    <row r="384" spans="1:2" x14ac:dyDescent="0.3">
      <c r="A384" s="6" t="s">
        <v>422</v>
      </c>
      <c r="B384" s="6" t="s">
        <v>1042</v>
      </c>
    </row>
    <row r="385" spans="1:2" x14ac:dyDescent="0.3">
      <c r="A385" s="6" t="s">
        <v>423</v>
      </c>
      <c r="B385" s="6" t="s">
        <v>1042</v>
      </c>
    </row>
    <row r="386" spans="1:2" x14ac:dyDescent="0.3">
      <c r="A386" s="6" t="s">
        <v>424</v>
      </c>
      <c r="B386" s="6" t="s">
        <v>1041</v>
      </c>
    </row>
    <row r="387" spans="1:2" x14ac:dyDescent="0.3">
      <c r="A387" s="6" t="s">
        <v>425</v>
      </c>
      <c r="B387" s="6" t="s">
        <v>1042</v>
      </c>
    </row>
    <row r="388" spans="1:2" x14ac:dyDescent="0.3">
      <c r="A388" s="6" t="s">
        <v>426</v>
      </c>
      <c r="B388" s="6" t="s">
        <v>1042</v>
      </c>
    </row>
    <row r="389" spans="1:2" x14ac:dyDescent="0.3">
      <c r="A389" s="6" t="s">
        <v>427</v>
      </c>
      <c r="B389" s="6" t="s">
        <v>1042</v>
      </c>
    </row>
    <row r="390" spans="1:2" x14ac:dyDescent="0.3">
      <c r="A390" s="6" t="s">
        <v>428</v>
      </c>
      <c r="B390" s="6" t="s">
        <v>1041</v>
      </c>
    </row>
    <row r="391" spans="1:2" x14ac:dyDescent="0.3">
      <c r="A391" s="6" t="s">
        <v>429</v>
      </c>
      <c r="B391" s="6" t="s">
        <v>1042</v>
      </c>
    </row>
    <row r="392" spans="1:2" x14ac:dyDescent="0.3">
      <c r="A392" s="6" t="s">
        <v>430</v>
      </c>
      <c r="B392" s="6" t="s">
        <v>1042</v>
      </c>
    </row>
    <row r="393" spans="1:2" x14ac:dyDescent="0.3">
      <c r="A393" s="6" t="s">
        <v>431</v>
      </c>
      <c r="B393" s="6" t="s">
        <v>1042</v>
      </c>
    </row>
    <row r="394" spans="1:2" x14ac:dyDescent="0.3">
      <c r="A394" s="6" t="s">
        <v>432</v>
      </c>
      <c r="B394" s="6" t="s">
        <v>1041</v>
      </c>
    </row>
    <row r="395" spans="1:2" x14ac:dyDescent="0.3">
      <c r="A395" s="6" t="s">
        <v>433</v>
      </c>
      <c r="B395" s="6" t="s">
        <v>1042</v>
      </c>
    </row>
    <row r="396" spans="1:2" x14ac:dyDescent="0.3">
      <c r="A396" s="6" t="s">
        <v>434</v>
      </c>
      <c r="B396" s="6" t="s">
        <v>1042</v>
      </c>
    </row>
    <row r="397" spans="1:2" x14ac:dyDescent="0.3">
      <c r="A397" s="6" t="s">
        <v>435</v>
      </c>
      <c r="B397" s="6" t="s">
        <v>1042</v>
      </c>
    </row>
    <row r="398" spans="1:2" x14ac:dyDescent="0.3">
      <c r="A398" s="6" t="s">
        <v>436</v>
      </c>
      <c r="B398" s="6" t="s">
        <v>1041</v>
      </c>
    </row>
    <row r="399" spans="1:2" x14ac:dyDescent="0.3">
      <c r="A399" s="6" t="s">
        <v>437</v>
      </c>
      <c r="B399" s="6" t="s">
        <v>1042</v>
      </c>
    </row>
    <row r="400" spans="1:2" x14ac:dyDescent="0.3">
      <c r="A400" s="6" t="s">
        <v>438</v>
      </c>
      <c r="B400" s="6" t="s">
        <v>1042</v>
      </c>
    </row>
    <row r="401" spans="1:2" x14ac:dyDescent="0.3">
      <c r="A401" s="6" t="s">
        <v>439</v>
      </c>
      <c r="B401" s="6" t="s">
        <v>1042</v>
      </c>
    </row>
    <row r="402" spans="1:2" x14ac:dyDescent="0.3">
      <c r="A402" s="6" t="s">
        <v>440</v>
      </c>
      <c r="B402" s="6" t="s">
        <v>1041</v>
      </c>
    </row>
    <row r="403" spans="1:2" x14ac:dyDescent="0.3">
      <c r="A403" s="6" t="s">
        <v>441</v>
      </c>
      <c r="B403" s="6" t="s">
        <v>1042</v>
      </c>
    </row>
    <row r="404" spans="1:2" x14ac:dyDescent="0.3">
      <c r="A404" s="6" t="s">
        <v>442</v>
      </c>
      <c r="B404" s="6" t="s">
        <v>1042</v>
      </c>
    </row>
    <row r="405" spans="1:2" x14ac:dyDescent="0.3">
      <c r="A405" s="6" t="s">
        <v>443</v>
      </c>
      <c r="B405" s="6" t="s">
        <v>1042</v>
      </c>
    </row>
    <row r="406" spans="1:2" x14ac:dyDescent="0.3">
      <c r="A406" s="6" t="s">
        <v>444</v>
      </c>
      <c r="B406" s="6" t="s">
        <v>1041</v>
      </c>
    </row>
    <row r="407" spans="1:2" x14ac:dyDescent="0.3">
      <c r="A407" s="6" t="s">
        <v>445</v>
      </c>
      <c r="B407" s="6" t="s">
        <v>1042</v>
      </c>
    </row>
    <row r="408" spans="1:2" x14ac:dyDescent="0.3">
      <c r="A408" s="6" t="s">
        <v>446</v>
      </c>
      <c r="B408" s="6" t="s">
        <v>1042</v>
      </c>
    </row>
    <row r="409" spans="1:2" x14ac:dyDescent="0.3">
      <c r="A409" s="6" t="s">
        <v>447</v>
      </c>
      <c r="B409" s="6" t="s">
        <v>1042</v>
      </c>
    </row>
    <row r="410" spans="1:2" x14ac:dyDescent="0.3">
      <c r="A410" s="6" t="s">
        <v>448</v>
      </c>
      <c r="B410" s="6" t="s">
        <v>1041</v>
      </c>
    </row>
    <row r="411" spans="1:2" x14ac:dyDescent="0.3">
      <c r="A411" s="6" t="s">
        <v>449</v>
      </c>
      <c r="B411" s="6" t="s">
        <v>1042</v>
      </c>
    </row>
    <row r="412" spans="1:2" x14ac:dyDescent="0.3">
      <c r="A412" s="6" t="s">
        <v>450</v>
      </c>
      <c r="B412" s="6" t="s">
        <v>1042</v>
      </c>
    </row>
    <row r="413" spans="1:2" x14ac:dyDescent="0.3">
      <c r="A413" s="6" t="s">
        <v>451</v>
      </c>
      <c r="B413" s="6" t="s">
        <v>1042</v>
      </c>
    </row>
    <row r="414" spans="1:2" x14ac:dyDescent="0.3">
      <c r="A414" s="6" t="s">
        <v>452</v>
      </c>
      <c r="B414" s="6" t="s">
        <v>1041</v>
      </c>
    </row>
    <row r="415" spans="1:2" x14ac:dyDescent="0.3">
      <c r="A415" s="6" t="s">
        <v>453</v>
      </c>
      <c r="B415" s="6" t="s">
        <v>1042</v>
      </c>
    </row>
    <row r="416" spans="1:2" x14ac:dyDescent="0.3">
      <c r="A416" s="6" t="s">
        <v>454</v>
      </c>
      <c r="B416" s="6" t="s">
        <v>1042</v>
      </c>
    </row>
    <row r="417" spans="1:2" x14ac:dyDescent="0.3">
      <c r="A417" s="6" t="s">
        <v>455</v>
      </c>
      <c r="B417" s="6" t="s">
        <v>1042</v>
      </c>
    </row>
    <row r="418" spans="1:2" x14ac:dyDescent="0.3">
      <c r="A418" s="6" t="s">
        <v>456</v>
      </c>
      <c r="B418" s="6" t="s">
        <v>1041</v>
      </c>
    </row>
    <row r="419" spans="1:2" x14ac:dyDescent="0.3">
      <c r="A419" s="6" t="s">
        <v>457</v>
      </c>
      <c r="B419" s="6" t="s">
        <v>1042</v>
      </c>
    </row>
    <row r="420" spans="1:2" x14ac:dyDescent="0.3">
      <c r="A420" s="6" t="s">
        <v>458</v>
      </c>
      <c r="B420" s="6" t="s">
        <v>1042</v>
      </c>
    </row>
    <row r="421" spans="1:2" x14ac:dyDescent="0.3">
      <c r="A421" s="6" t="s">
        <v>459</v>
      </c>
      <c r="B421" s="6" t="s">
        <v>1042</v>
      </c>
    </row>
    <row r="422" spans="1:2" x14ac:dyDescent="0.3">
      <c r="A422" s="6" t="s">
        <v>460</v>
      </c>
      <c r="B422" s="6" t="s">
        <v>1041</v>
      </c>
    </row>
    <row r="423" spans="1:2" x14ac:dyDescent="0.3">
      <c r="A423" s="6" t="s">
        <v>461</v>
      </c>
      <c r="B423" s="6" t="s">
        <v>1042</v>
      </c>
    </row>
    <row r="424" spans="1:2" x14ac:dyDescent="0.3">
      <c r="A424" s="6" t="s">
        <v>462</v>
      </c>
      <c r="B424" s="6" t="s">
        <v>1042</v>
      </c>
    </row>
    <row r="425" spans="1:2" x14ac:dyDescent="0.3">
      <c r="A425" s="6" t="s">
        <v>463</v>
      </c>
      <c r="B425" s="6" t="s">
        <v>1042</v>
      </c>
    </row>
    <row r="426" spans="1:2" x14ac:dyDescent="0.3">
      <c r="A426" s="6" t="s">
        <v>464</v>
      </c>
      <c r="B426" s="6" t="s">
        <v>1041</v>
      </c>
    </row>
    <row r="427" spans="1:2" x14ac:dyDescent="0.3">
      <c r="A427" s="6" t="s">
        <v>465</v>
      </c>
      <c r="B427" s="6" t="s">
        <v>1042</v>
      </c>
    </row>
    <row r="428" spans="1:2" x14ac:dyDescent="0.3">
      <c r="A428" s="6" t="s">
        <v>466</v>
      </c>
      <c r="B428" s="6" t="s">
        <v>1042</v>
      </c>
    </row>
    <row r="429" spans="1:2" x14ac:dyDescent="0.3">
      <c r="A429" s="6" t="s">
        <v>467</v>
      </c>
      <c r="B429" s="6" t="s">
        <v>1042</v>
      </c>
    </row>
    <row r="430" spans="1:2" x14ac:dyDescent="0.3">
      <c r="A430" s="6" t="s">
        <v>468</v>
      </c>
      <c r="B430" s="6" t="s">
        <v>1041</v>
      </c>
    </row>
    <row r="431" spans="1:2" x14ac:dyDescent="0.3">
      <c r="A431" s="6" t="s">
        <v>469</v>
      </c>
      <c r="B431" s="6" t="s">
        <v>1042</v>
      </c>
    </row>
    <row r="432" spans="1:2" x14ac:dyDescent="0.3">
      <c r="A432" s="6" t="s">
        <v>470</v>
      </c>
      <c r="B432" s="6" t="s">
        <v>1042</v>
      </c>
    </row>
    <row r="433" spans="1:2" x14ac:dyDescent="0.3">
      <c r="A433" s="6" t="s">
        <v>471</v>
      </c>
      <c r="B433" s="6" t="s">
        <v>1042</v>
      </c>
    </row>
    <row r="434" spans="1:2" x14ac:dyDescent="0.3">
      <c r="A434" s="6" t="s">
        <v>472</v>
      </c>
      <c r="B434" s="6" t="s">
        <v>1041</v>
      </c>
    </row>
    <row r="435" spans="1:2" x14ac:dyDescent="0.3">
      <c r="A435" s="6" t="s">
        <v>473</v>
      </c>
      <c r="B435" s="6" t="s">
        <v>1042</v>
      </c>
    </row>
    <row r="436" spans="1:2" x14ac:dyDescent="0.3">
      <c r="A436" s="6" t="s">
        <v>474</v>
      </c>
      <c r="B436" s="6" t="s">
        <v>1042</v>
      </c>
    </row>
    <row r="437" spans="1:2" x14ac:dyDescent="0.3">
      <c r="A437" s="6" t="s">
        <v>475</v>
      </c>
      <c r="B437" s="6" t="s">
        <v>1042</v>
      </c>
    </row>
    <row r="438" spans="1:2" x14ac:dyDescent="0.3">
      <c r="A438" s="6" t="s">
        <v>476</v>
      </c>
      <c r="B438" s="6" t="s">
        <v>1041</v>
      </c>
    </row>
    <row r="439" spans="1:2" x14ac:dyDescent="0.3">
      <c r="A439" s="6" t="s">
        <v>477</v>
      </c>
      <c r="B439" s="6" t="s">
        <v>1042</v>
      </c>
    </row>
    <row r="440" spans="1:2" x14ac:dyDescent="0.3">
      <c r="A440" s="6" t="s">
        <v>478</v>
      </c>
      <c r="B440" s="6" t="s">
        <v>1042</v>
      </c>
    </row>
    <row r="441" spans="1:2" x14ac:dyDescent="0.3">
      <c r="A441" s="6" t="s">
        <v>479</v>
      </c>
      <c r="B441" s="6" t="s">
        <v>1042</v>
      </c>
    </row>
    <row r="442" spans="1:2" x14ac:dyDescent="0.3">
      <c r="A442" s="6" t="s">
        <v>480</v>
      </c>
      <c r="B442" s="6" t="s">
        <v>1041</v>
      </c>
    </row>
    <row r="443" spans="1:2" x14ac:dyDescent="0.3">
      <c r="A443" s="6" t="s">
        <v>481</v>
      </c>
      <c r="B443" s="6" t="s">
        <v>1042</v>
      </c>
    </row>
    <row r="444" spans="1:2" x14ac:dyDescent="0.3">
      <c r="A444" s="6" t="s">
        <v>482</v>
      </c>
      <c r="B444" s="6" t="s">
        <v>1042</v>
      </c>
    </row>
    <row r="445" spans="1:2" x14ac:dyDescent="0.3">
      <c r="A445" s="6" t="s">
        <v>483</v>
      </c>
      <c r="B445" s="6" t="s">
        <v>1042</v>
      </c>
    </row>
    <row r="446" spans="1:2" x14ac:dyDescent="0.3">
      <c r="A446" s="6" t="s">
        <v>484</v>
      </c>
      <c r="B446" s="6" t="s">
        <v>1041</v>
      </c>
    </row>
    <row r="447" spans="1:2" x14ac:dyDescent="0.3">
      <c r="A447" s="6" t="s">
        <v>485</v>
      </c>
      <c r="B447" s="6" t="s">
        <v>1042</v>
      </c>
    </row>
    <row r="448" spans="1:2" x14ac:dyDescent="0.3">
      <c r="A448" s="6" t="s">
        <v>486</v>
      </c>
      <c r="B448" s="6" t="s">
        <v>1042</v>
      </c>
    </row>
    <row r="449" spans="1:2" x14ac:dyDescent="0.3">
      <c r="A449" s="6" t="s">
        <v>487</v>
      </c>
      <c r="B449" s="6" t="s">
        <v>1042</v>
      </c>
    </row>
    <row r="450" spans="1:2" x14ac:dyDescent="0.3">
      <c r="A450" s="6" t="s">
        <v>488</v>
      </c>
      <c r="B450" s="6" t="s">
        <v>1041</v>
      </c>
    </row>
    <row r="451" spans="1:2" x14ac:dyDescent="0.3">
      <c r="A451" s="6" t="s">
        <v>489</v>
      </c>
      <c r="B451" s="6" t="s">
        <v>1042</v>
      </c>
    </row>
    <row r="452" spans="1:2" x14ac:dyDescent="0.3">
      <c r="A452" s="6" t="s">
        <v>490</v>
      </c>
      <c r="B452" s="6" t="s">
        <v>1042</v>
      </c>
    </row>
    <row r="453" spans="1:2" x14ac:dyDescent="0.3">
      <c r="A453" s="6" t="s">
        <v>491</v>
      </c>
      <c r="B453" s="6" t="s">
        <v>1042</v>
      </c>
    </row>
    <row r="454" spans="1:2" x14ac:dyDescent="0.3">
      <c r="A454" s="6" t="s">
        <v>492</v>
      </c>
      <c r="B454" s="6" t="s">
        <v>1041</v>
      </c>
    </row>
    <row r="455" spans="1:2" x14ac:dyDescent="0.3">
      <c r="A455" s="6" t="s">
        <v>493</v>
      </c>
      <c r="B455" s="6" t="s">
        <v>1042</v>
      </c>
    </row>
    <row r="456" spans="1:2" x14ac:dyDescent="0.3">
      <c r="A456" s="6" t="s">
        <v>494</v>
      </c>
      <c r="B456" s="6" t="s">
        <v>1042</v>
      </c>
    </row>
    <row r="457" spans="1:2" x14ac:dyDescent="0.3">
      <c r="A457" s="6" t="s">
        <v>495</v>
      </c>
      <c r="B457" s="6" t="s">
        <v>1042</v>
      </c>
    </row>
    <row r="458" spans="1:2" x14ac:dyDescent="0.3">
      <c r="A458" s="6" t="s">
        <v>496</v>
      </c>
      <c r="B458" s="6" t="s">
        <v>1041</v>
      </c>
    </row>
    <row r="459" spans="1:2" x14ac:dyDescent="0.3">
      <c r="A459" s="6" t="s">
        <v>497</v>
      </c>
      <c r="B459" s="6" t="s">
        <v>1042</v>
      </c>
    </row>
    <row r="460" spans="1:2" x14ac:dyDescent="0.3">
      <c r="A460" s="6" t="s">
        <v>498</v>
      </c>
      <c r="B460" s="6" t="s">
        <v>1042</v>
      </c>
    </row>
    <row r="461" spans="1:2" x14ac:dyDescent="0.3">
      <c r="A461" s="6" t="s">
        <v>499</v>
      </c>
      <c r="B461" s="6" t="s">
        <v>1042</v>
      </c>
    </row>
    <row r="462" spans="1:2" x14ac:dyDescent="0.3">
      <c r="A462" s="6" t="s">
        <v>500</v>
      </c>
      <c r="B462" s="6" t="s">
        <v>1041</v>
      </c>
    </row>
    <row r="463" spans="1:2" x14ac:dyDescent="0.3">
      <c r="A463" s="6" t="s">
        <v>501</v>
      </c>
      <c r="B463" s="6" t="s">
        <v>1042</v>
      </c>
    </row>
    <row r="464" spans="1:2" x14ac:dyDescent="0.3">
      <c r="A464" s="6" t="s">
        <v>502</v>
      </c>
      <c r="B464" s="6" t="s">
        <v>1042</v>
      </c>
    </row>
    <row r="465" spans="1:2" x14ac:dyDescent="0.3">
      <c r="A465" s="6" t="s">
        <v>503</v>
      </c>
      <c r="B465" s="6" t="s">
        <v>1042</v>
      </c>
    </row>
    <row r="466" spans="1:2" x14ac:dyDescent="0.3">
      <c r="A466" s="6" t="s">
        <v>504</v>
      </c>
      <c r="B466" s="6" t="s">
        <v>1041</v>
      </c>
    </row>
    <row r="467" spans="1:2" x14ac:dyDescent="0.3">
      <c r="A467" s="6" t="s">
        <v>505</v>
      </c>
      <c r="B467" s="6" t="s">
        <v>1042</v>
      </c>
    </row>
    <row r="468" spans="1:2" x14ac:dyDescent="0.3">
      <c r="A468" s="6" t="s">
        <v>506</v>
      </c>
      <c r="B468" s="6" t="s">
        <v>1042</v>
      </c>
    </row>
    <row r="469" spans="1:2" x14ac:dyDescent="0.3">
      <c r="A469" s="6" t="s">
        <v>507</v>
      </c>
      <c r="B469" s="6" t="s">
        <v>1042</v>
      </c>
    </row>
    <row r="470" spans="1:2" x14ac:dyDescent="0.3">
      <c r="A470" s="6" t="s">
        <v>508</v>
      </c>
      <c r="B470" s="6" t="s">
        <v>1041</v>
      </c>
    </row>
    <row r="471" spans="1:2" x14ac:dyDescent="0.3">
      <c r="A471" s="6" t="s">
        <v>509</v>
      </c>
      <c r="B471" s="6" t="s">
        <v>1042</v>
      </c>
    </row>
    <row r="472" spans="1:2" x14ac:dyDescent="0.3">
      <c r="A472" s="6" t="s">
        <v>510</v>
      </c>
      <c r="B472" s="6" t="s">
        <v>1042</v>
      </c>
    </row>
    <row r="473" spans="1:2" x14ac:dyDescent="0.3">
      <c r="A473" s="6" t="s">
        <v>511</v>
      </c>
      <c r="B473" s="6" t="s">
        <v>1042</v>
      </c>
    </row>
    <row r="474" spans="1:2" x14ac:dyDescent="0.3">
      <c r="A474" s="6" t="s">
        <v>512</v>
      </c>
      <c r="B474" s="6" t="s">
        <v>1041</v>
      </c>
    </row>
    <row r="475" spans="1:2" x14ac:dyDescent="0.3">
      <c r="A475" s="6" t="s">
        <v>513</v>
      </c>
      <c r="B475" s="6" t="s">
        <v>1042</v>
      </c>
    </row>
    <row r="476" spans="1:2" x14ac:dyDescent="0.3">
      <c r="A476" s="6" t="s">
        <v>514</v>
      </c>
      <c r="B476" s="6" t="s">
        <v>1042</v>
      </c>
    </row>
    <row r="477" spans="1:2" x14ac:dyDescent="0.3">
      <c r="A477" s="6" t="s">
        <v>515</v>
      </c>
      <c r="B477" s="6" t="s">
        <v>1042</v>
      </c>
    </row>
    <row r="478" spans="1:2" x14ac:dyDescent="0.3">
      <c r="A478" s="6" t="s">
        <v>516</v>
      </c>
      <c r="B478" s="6" t="s">
        <v>1041</v>
      </c>
    </row>
    <row r="479" spans="1:2" x14ac:dyDescent="0.3">
      <c r="A479" s="6" t="s">
        <v>517</v>
      </c>
      <c r="B479" s="6" t="s">
        <v>1042</v>
      </c>
    </row>
    <row r="480" spans="1:2" x14ac:dyDescent="0.3">
      <c r="A480" s="6" t="s">
        <v>518</v>
      </c>
      <c r="B480" s="6" t="s">
        <v>1042</v>
      </c>
    </row>
    <row r="481" spans="1:2" x14ac:dyDescent="0.3">
      <c r="A481" s="6" t="s">
        <v>519</v>
      </c>
      <c r="B481" s="6" t="s">
        <v>1042</v>
      </c>
    </row>
    <row r="482" spans="1:2" x14ac:dyDescent="0.3">
      <c r="A482" s="6" t="s">
        <v>520</v>
      </c>
      <c r="B482" s="6" t="s">
        <v>1041</v>
      </c>
    </row>
    <row r="483" spans="1:2" x14ac:dyDescent="0.3">
      <c r="A483" s="6" t="s">
        <v>521</v>
      </c>
      <c r="B483" s="6" t="s">
        <v>1042</v>
      </c>
    </row>
    <row r="484" spans="1:2" x14ac:dyDescent="0.3">
      <c r="A484" s="6" t="s">
        <v>522</v>
      </c>
      <c r="B484" s="6" t="s">
        <v>1042</v>
      </c>
    </row>
    <row r="485" spans="1:2" x14ac:dyDescent="0.3">
      <c r="A485" s="6" t="s">
        <v>523</v>
      </c>
      <c r="B485" s="6" t="s">
        <v>1042</v>
      </c>
    </row>
    <row r="486" spans="1:2" x14ac:dyDescent="0.3">
      <c r="A486" s="6" t="s">
        <v>524</v>
      </c>
      <c r="B486" s="6" t="s">
        <v>1041</v>
      </c>
    </row>
    <row r="487" spans="1:2" x14ac:dyDescent="0.3">
      <c r="A487" s="6" t="s">
        <v>525</v>
      </c>
      <c r="B487" s="6" t="s">
        <v>1042</v>
      </c>
    </row>
    <row r="488" spans="1:2" x14ac:dyDescent="0.3">
      <c r="A488" s="6" t="s">
        <v>526</v>
      </c>
      <c r="B488" s="6" t="s">
        <v>1042</v>
      </c>
    </row>
    <row r="489" spans="1:2" x14ac:dyDescent="0.3">
      <c r="A489" s="6" t="s">
        <v>527</v>
      </c>
      <c r="B489" s="6" t="s">
        <v>1042</v>
      </c>
    </row>
    <row r="490" spans="1:2" x14ac:dyDescent="0.3">
      <c r="A490" s="6" t="s">
        <v>528</v>
      </c>
      <c r="B490" s="6" t="s">
        <v>1041</v>
      </c>
    </row>
    <row r="491" spans="1:2" x14ac:dyDescent="0.3">
      <c r="A491" s="6" t="s">
        <v>529</v>
      </c>
      <c r="B491" s="6" t="s">
        <v>1042</v>
      </c>
    </row>
    <row r="492" spans="1:2" x14ac:dyDescent="0.3">
      <c r="A492" s="6" t="s">
        <v>530</v>
      </c>
      <c r="B492" s="6" t="s">
        <v>1042</v>
      </c>
    </row>
    <row r="493" spans="1:2" x14ac:dyDescent="0.3">
      <c r="A493" s="6" t="s">
        <v>531</v>
      </c>
      <c r="B493" s="6" t="s">
        <v>1042</v>
      </c>
    </row>
    <row r="494" spans="1:2" x14ac:dyDescent="0.3">
      <c r="A494" s="6" t="s">
        <v>532</v>
      </c>
      <c r="B494" s="6" t="s">
        <v>1041</v>
      </c>
    </row>
    <row r="495" spans="1:2" x14ac:dyDescent="0.3">
      <c r="A495" s="6" t="s">
        <v>533</v>
      </c>
      <c r="B495" s="6" t="s">
        <v>1042</v>
      </c>
    </row>
    <row r="496" spans="1:2" x14ac:dyDescent="0.3">
      <c r="A496" s="6" t="s">
        <v>534</v>
      </c>
      <c r="B496" s="6" t="s">
        <v>1042</v>
      </c>
    </row>
    <row r="497" spans="1:2" x14ac:dyDescent="0.3">
      <c r="A497" s="6" t="s">
        <v>535</v>
      </c>
      <c r="B497" s="6" t="s">
        <v>1042</v>
      </c>
    </row>
    <row r="498" spans="1:2" x14ac:dyDescent="0.3">
      <c r="A498" s="6" t="s">
        <v>536</v>
      </c>
      <c r="B498" s="6" t="s">
        <v>1041</v>
      </c>
    </row>
    <row r="499" spans="1:2" x14ac:dyDescent="0.3">
      <c r="A499" s="6" t="s">
        <v>537</v>
      </c>
      <c r="B499" s="6" t="s">
        <v>1042</v>
      </c>
    </row>
    <row r="500" spans="1:2" x14ac:dyDescent="0.3">
      <c r="A500" s="6" t="s">
        <v>538</v>
      </c>
      <c r="B500" s="6" t="s">
        <v>1042</v>
      </c>
    </row>
    <row r="501" spans="1:2" x14ac:dyDescent="0.3">
      <c r="A501" s="6" t="s">
        <v>539</v>
      </c>
      <c r="B501" s="6" t="s">
        <v>1042</v>
      </c>
    </row>
    <row r="502" spans="1:2" x14ac:dyDescent="0.3">
      <c r="A502" s="6" t="s">
        <v>540</v>
      </c>
      <c r="B502" s="6" t="s">
        <v>1041</v>
      </c>
    </row>
    <row r="503" spans="1:2" x14ac:dyDescent="0.3">
      <c r="A503" s="6" t="s">
        <v>541</v>
      </c>
      <c r="B503" s="6" t="s">
        <v>1042</v>
      </c>
    </row>
    <row r="504" spans="1:2" x14ac:dyDescent="0.3">
      <c r="A504" s="6" t="s">
        <v>542</v>
      </c>
      <c r="B504" s="6" t="s">
        <v>1042</v>
      </c>
    </row>
    <row r="505" spans="1:2" x14ac:dyDescent="0.3">
      <c r="A505" s="6" t="s">
        <v>543</v>
      </c>
      <c r="B505" s="6" t="s">
        <v>1042</v>
      </c>
    </row>
    <row r="506" spans="1:2" x14ac:dyDescent="0.3">
      <c r="A506" s="6" t="s">
        <v>544</v>
      </c>
      <c r="B506" s="6" t="s">
        <v>1041</v>
      </c>
    </row>
    <row r="507" spans="1:2" x14ac:dyDescent="0.3">
      <c r="A507" s="6" t="s">
        <v>545</v>
      </c>
      <c r="B507" s="6" t="s">
        <v>1042</v>
      </c>
    </row>
    <row r="508" spans="1:2" x14ac:dyDescent="0.3">
      <c r="A508" s="6" t="s">
        <v>546</v>
      </c>
      <c r="B508" s="6" t="s">
        <v>1042</v>
      </c>
    </row>
    <row r="509" spans="1:2" x14ac:dyDescent="0.3">
      <c r="A509" s="6" t="s">
        <v>547</v>
      </c>
      <c r="B509" s="6" t="s">
        <v>1042</v>
      </c>
    </row>
    <row r="510" spans="1:2" x14ac:dyDescent="0.3">
      <c r="A510" s="6" t="s">
        <v>548</v>
      </c>
      <c r="B510" s="6" t="s">
        <v>1041</v>
      </c>
    </row>
    <row r="511" spans="1:2" x14ac:dyDescent="0.3">
      <c r="A511" s="6" t="s">
        <v>549</v>
      </c>
      <c r="B511" s="6" t="s">
        <v>1042</v>
      </c>
    </row>
    <row r="512" spans="1:2" x14ac:dyDescent="0.3">
      <c r="A512" s="6" t="s">
        <v>550</v>
      </c>
      <c r="B512" s="6" t="s">
        <v>1042</v>
      </c>
    </row>
    <row r="513" spans="1:2" x14ac:dyDescent="0.3">
      <c r="A513" s="6" t="s">
        <v>551</v>
      </c>
      <c r="B513" s="6" t="s">
        <v>1042</v>
      </c>
    </row>
    <row r="514" spans="1:2" x14ac:dyDescent="0.3">
      <c r="A514" s="6" t="s">
        <v>552</v>
      </c>
      <c r="B514" s="6" t="s">
        <v>1041</v>
      </c>
    </row>
    <row r="515" spans="1:2" x14ac:dyDescent="0.3">
      <c r="A515" s="6" t="s">
        <v>553</v>
      </c>
      <c r="B515" s="6" t="s">
        <v>1042</v>
      </c>
    </row>
    <row r="516" spans="1:2" x14ac:dyDescent="0.3">
      <c r="A516" s="6" t="s">
        <v>554</v>
      </c>
      <c r="B516" s="6" t="s">
        <v>1042</v>
      </c>
    </row>
    <row r="517" spans="1:2" x14ac:dyDescent="0.3">
      <c r="A517" s="6" t="s">
        <v>555</v>
      </c>
      <c r="B517" s="6" t="s">
        <v>1042</v>
      </c>
    </row>
    <row r="518" spans="1:2" x14ac:dyDescent="0.3">
      <c r="A518" s="6" t="s">
        <v>556</v>
      </c>
      <c r="B518" s="6" t="s">
        <v>1041</v>
      </c>
    </row>
    <row r="519" spans="1:2" x14ac:dyDescent="0.3">
      <c r="A519" s="6" t="s">
        <v>557</v>
      </c>
      <c r="B519" s="6" t="s">
        <v>1042</v>
      </c>
    </row>
    <row r="520" spans="1:2" x14ac:dyDescent="0.3">
      <c r="A520" s="6" t="s">
        <v>558</v>
      </c>
      <c r="B520" s="6" t="s">
        <v>1042</v>
      </c>
    </row>
    <row r="521" spans="1:2" x14ac:dyDescent="0.3">
      <c r="A521" s="6" t="s">
        <v>559</v>
      </c>
      <c r="B521" s="6" t="s">
        <v>1042</v>
      </c>
    </row>
    <row r="522" spans="1:2" x14ac:dyDescent="0.3">
      <c r="A522" s="6" t="s">
        <v>560</v>
      </c>
      <c r="B522" s="6" t="s">
        <v>1041</v>
      </c>
    </row>
    <row r="523" spans="1:2" x14ac:dyDescent="0.3">
      <c r="A523" s="6" t="s">
        <v>561</v>
      </c>
      <c r="B523" s="6" t="s">
        <v>1042</v>
      </c>
    </row>
    <row r="524" spans="1:2" x14ac:dyDescent="0.3">
      <c r="A524" s="6" t="s">
        <v>562</v>
      </c>
      <c r="B524" s="6" t="s">
        <v>1042</v>
      </c>
    </row>
    <row r="525" spans="1:2" x14ac:dyDescent="0.3">
      <c r="A525" s="6" t="s">
        <v>563</v>
      </c>
      <c r="B525" s="6" t="s">
        <v>1042</v>
      </c>
    </row>
    <row r="526" spans="1:2" x14ac:dyDescent="0.3">
      <c r="A526" s="6" t="s">
        <v>564</v>
      </c>
      <c r="B526" s="6" t="s">
        <v>1041</v>
      </c>
    </row>
    <row r="527" spans="1:2" x14ac:dyDescent="0.3">
      <c r="A527" s="6" t="s">
        <v>565</v>
      </c>
      <c r="B527" s="6" t="s">
        <v>1042</v>
      </c>
    </row>
    <row r="528" spans="1:2" x14ac:dyDescent="0.3">
      <c r="A528" s="6" t="s">
        <v>566</v>
      </c>
      <c r="B528" s="6" t="s">
        <v>1042</v>
      </c>
    </row>
    <row r="529" spans="1:2" x14ac:dyDescent="0.3">
      <c r="A529" s="6" t="s">
        <v>567</v>
      </c>
      <c r="B529" s="6" t="s">
        <v>1042</v>
      </c>
    </row>
    <row r="530" spans="1:2" x14ac:dyDescent="0.3">
      <c r="A530" s="6" t="s">
        <v>568</v>
      </c>
      <c r="B530" s="6" t="s">
        <v>1041</v>
      </c>
    </row>
    <row r="531" spans="1:2" x14ac:dyDescent="0.3">
      <c r="A531" s="6" t="s">
        <v>569</v>
      </c>
      <c r="B531" s="6" t="s">
        <v>1042</v>
      </c>
    </row>
    <row r="532" spans="1:2" x14ac:dyDescent="0.3">
      <c r="A532" s="6" t="s">
        <v>570</v>
      </c>
      <c r="B532" s="6" t="s">
        <v>1042</v>
      </c>
    </row>
    <row r="533" spans="1:2" x14ac:dyDescent="0.3">
      <c r="A533" s="6" t="s">
        <v>571</v>
      </c>
      <c r="B533" s="6" t="s">
        <v>1042</v>
      </c>
    </row>
    <row r="534" spans="1:2" x14ac:dyDescent="0.3">
      <c r="A534" s="6" t="s">
        <v>572</v>
      </c>
      <c r="B534" s="6" t="s">
        <v>1041</v>
      </c>
    </row>
    <row r="535" spans="1:2" x14ac:dyDescent="0.3">
      <c r="A535" s="6" t="s">
        <v>573</v>
      </c>
      <c r="B535" s="6" t="s">
        <v>1042</v>
      </c>
    </row>
    <row r="536" spans="1:2" x14ac:dyDescent="0.3">
      <c r="A536" s="6" t="s">
        <v>574</v>
      </c>
      <c r="B536" s="6" t="s">
        <v>1042</v>
      </c>
    </row>
    <row r="537" spans="1:2" x14ac:dyDescent="0.3">
      <c r="A537" s="6" t="s">
        <v>575</v>
      </c>
      <c r="B537" s="6" t="s">
        <v>1042</v>
      </c>
    </row>
    <row r="538" spans="1:2" x14ac:dyDescent="0.3">
      <c r="A538" s="6" t="s">
        <v>576</v>
      </c>
      <c r="B538" s="6" t="s">
        <v>1041</v>
      </c>
    </row>
    <row r="539" spans="1:2" x14ac:dyDescent="0.3">
      <c r="A539" s="6" t="s">
        <v>577</v>
      </c>
      <c r="B539" s="6" t="s">
        <v>1042</v>
      </c>
    </row>
    <row r="540" spans="1:2" x14ac:dyDescent="0.3">
      <c r="A540" s="6" t="s">
        <v>578</v>
      </c>
      <c r="B540" s="6" t="s">
        <v>1042</v>
      </c>
    </row>
    <row r="541" spans="1:2" x14ac:dyDescent="0.3">
      <c r="A541" s="6" t="s">
        <v>579</v>
      </c>
      <c r="B541" s="6" t="s">
        <v>1042</v>
      </c>
    </row>
    <row r="542" spans="1:2" x14ac:dyDescent="0.3">
      <c r="A542" s="6" t="s">
        <v>580</v>
      </c>
      <c r="B542" s="6" t="s">
        <v>1041</v>
      </c>
    </row>
    <row r="543" spans="1:2" x14ac:dyDescent="0.3">
      <c r="A543" s="6" t="s">
        <v>581</v>
      </c>
      <c r="B543" s="6" t="s">
        <v>1042</v>
      </c>
    </row>
    <row r="544" spans="1:2" x14ac:dyDescent="0.3">
      <c r="A544" s="6" t="s">
        <v>582</v>
      </c>
      <c r="B544" s="6" t="s">
        <v>1042</v>
      </c>
    </row>
    <row r="545" spans="1:2" x14ac:dyDescent="0.3">
      <c r="A545" s="6" t="s">
        <v>583</v>
      </c>
      <c r="B545" s="6" t="s">
        <v>1042</v>
      </c>
    </row>
    <row r="546" spans="1:2" x14ac:dyDescent="0.3">
      <c r="A546" s="6" t="s">
        <v>584</v>
      </c>
      <c r="B546" s="6" t="s">
        <v>1041</v>
      </c>
    </row>
    <row r="547" spans="1:2" x14ac:dyDescent="0.3">
      <c r="A547" s="6" t="s">
        <v>585</v>
      </c>
      <c r="B547" s="6" t="s">
        <v>1042</v>
      </c>
    </row>
    <row r="548" spans="1:2" x14ac:dyDescent="0.3">
      <c r="A548" s="6" t="s">
        <v>586</v>
      </c>
      <c r="B548" s="6" t="s">
        <v>1042</v>
      </c>
    </row>
    <row r="549" spans="1:2" x14ac:dyDescent="0.3">
      <c r="A549" s="6" t="s">
        <v>587</v>
      </c>
      <c r="B549" s="6" t="s">
        <v>1042</v>
      </c>
    </row>
    <row r="550" spans="1:2" x14ac:dyDescent="0.3">
      <c r="A550" s="6" t="s">
        <v>588</v>
      </c>
      <c r="B550" s="6" t="s">
        <v>1041</v>
      </c>
    </row>
    <row r="551" spans="1:2" x14ac:dyDescent="0.3">
      <c r="A551" s="6" t="s">
        <v>589</v>
      </c>
      <c r="B551" s="6" t="s">
        <v>1042</v>
      </c>
    </row>
    <row r="552" spans="1:2" x14ac:dyDescent="0.3">
      <c r="A552" s="6" t="s">
        <v>590</v>
      </c>
      <c r="B552" s="6" t="s">
        <v>1042</v>
      </c>
    </row>
    <row r="553" spans="1:2" x14ac:dyDescent="0.3">
      <c r="A553" s="6" t="s">
        <v>591</v>
      </c>
      <c r="B553" s="6" t="s">
        <v>1042</v>
      </c>
    </row>
    <row r="554" spans="1:2" x14ac:dyDescent="0.3">
      <c r="A554" s="6" t="s">
        <v>592</v>
      </c>
      <c r="B554" s="6" t="s">
        <v>1041</v>
      </c>
    </row>
    <row r="555" spans="1:2" x14ac:dyDescent="0.3">
      <c r="A555" s="6" t="s">
        <v>593</v>
      </c>
      <c r="B555" s="6" t="s">
        <v>1042</v>
      </c>
    </row>
    <row r="556" spans="1:2" x14ac:dyDescent="0.3">
      <c r="A556" s="6" t="s">
        <v>594</v>
      </c>
      <c r="B556" s="6" t="s">
        <v>1042</v>
      </c>
    </row>
    <row r="557" spans="1:2" x14ac:dyDescent="0.3">
      <c r="A557" s="6" t="s">
        <v>595</v>
      </c>
      <c r="B557" s="6" t="s">
        <v>1042</v>
      </c>
    </row>
    <row r="558" spans="1:2" x14ac:dyDescent="0.3">
      <c r="A558" s="6" t="s">
        <v>596</v>
      </c>
      <c r="B558" s="6" t="s">
        <v>1041</v>
      </c>
    </row>
    <row r="559" spans="1:2" x14ac:dyDescent="0.3">
      <c r="A559" s="6" t="s">
        <v>597</v>
      </c>
      <c r="B559" s="6" t="s">
        <v>1042</v>
      </c>
    </row>
    <row r="560" spans="1:2" x14ac:dyDescent="0.3">
      <c r="A560" s="6" t="s">
        <v>598</v>
      </c>
      <c r="B560" s="6" t="s">
        <v>1042</v>
      </c>
    </row>
    <row r="561" spans="1:2" x14ac:dyDescent="0.3">
      <c r="A561" s="6" t="s">
        <v>599</v>
      </c>
      <c r="B561" s="6" t="s">
        <v>1042</v>
      </c>
    </row>
    <row r="562" spans="1:2" x14ac:dyDescent="0.3">
      <c r="A562" s="6" t="s">
        <v>600</v>
      </c>
      <c r="B562" s="6" t="s">
        <v>1041</v>
      </c>
    </row>
    <row r="563" spans="1:2" x14ac:dyDescent="0.3">
      <c r="A563" s="6" t="s">
        <v>601</v>
      </c>
      <c r="B563" s="6" t="s">
        <v>1042</v>
      </c>
    </row>
    <row r="564" spans="1:2" x14ac:dyDescent="0.3">
      <c r="A564" s="6" t="s">
        <v>602</v>
      </c>
      <c r="B564" s="6" t="s">
        <v>1042</v>
      </c>
    </row>
    <row r="565" spans="1:2" x14ac:dyDescent="0.3">
      <c r="A565" s="6" t="s">
        <v>603</v>
      </c>
      <c r="B565" s="6" t="s">
        <v>1042</v>
      </c>
    </row>
    <row r="566" spans="1:2" x14ac:dyDescent="0.3">
      <c r="A566" s="6" t="s">
        <v>604</v>
      </c>
      <c r="B566" s="6" t="s">
        <v>1041</v>
      </c>
    </row>
    <row r="567" spans="1:2" x14ac:dyDescent="0.3">
      <c r="A567" s="6" t="s">
        <v>605</v>
      </c>
      <c r="B567" s="6" t="s">
        <v>1042</v>
      </c>
    </row>
    <row r="568" spans="1:2" x14ac:dyDescent="0.3">
      <c r="A568" s="6" t="s">
        <v>606</v>
      </c>
      <c r="B568" s="6" t="s">
        <v>1042</v>
      </c>
    </row>
    <row r="569" spans="1:2" x14ac:dyDescent="0.3">
      <c r="A569" s="6" t="s">
        <v>607</v>
      </c>
      <c r="B569" s="6" t="s">
        <v>1042</v>
      </c>
    </row>
    <row r="570" spans="1:2" x14ac:dyDescent="0.3">
      <c r="A570" s="6" t="s">
        <v>608</v>
      </c>
      <c r="B570" s="6" t="s">
        <v>1041</v>
      </c>
    </row>
    <row r="571" spans="1:2" x14ac:dyDescent="0.3">
      <c r="A571" s="6" t="s">
        <v>609</v>
      </c>
      <c r="B571" s="6" t="s">
        <v>1042</v>
      </c>
    </row>
    <row r="572" spans="1:2" x14ac:dyDescent="0.3">
      <c r="A572" s="6" t="s">
        <v>610</v>
      </c>
      <c r="B572" s="6" t="s">
        <v>1042</v>
      </c>
    </row>
    <row r="573" spans="1:2" x14ac:dyDescent="0.3">
      <c r="A573" s="6" t="s">
        <v>611</v>
      </c>
      <c r="B573" s="6" t="s">
        <v>1042</v>
      </c>
    </row>
    <row r="574" spans="1:2" x14ac:dyDescent="0.3">
      <c r="A574" s="6" t="s">
        <v>612</v>
      </c>
      <c r="B574" s="6" t="s">
        <v>1041</v>
      </c>
    </row>
    <row r="575" spans="1:2" x14ac:dyDescent="0.3">
      <c r="A575" s="6" t="s">
        <v>613</v>
      </c>
      <c r="B575" s="6" t="s">
        <v>1042</v>
      </c>
    </row>
    <row r="576" spans="1:2" x14ac:dyDescent="0.3">
      <c r="A576" s="6" t="s">
        <v>614</v>
      </c>
      <c r="B576" s="6" t="s">
        <v>1042</v>
      </c>
    </row>
    <row r="577" spans="1:2" x14ac:dyDescent="0.3">
      <c r="A577" s="6" t="s">
        <v>615</v>
      </c>
      <c r="B577" s="6" t="s">
        <v>1042</v>
      </c>
    </row>
    <row r="578" spans="1:2" x14ac:dyDescent="0.3">
      <c r="A578" s="6" t="s">
        <v>616</v>
      </c>
      <c r="B578" s="6" t="s">
        <v>1041</v>
      </c>
    </row>
    <row r="579" spans="1:2" x14ac:dyDescent="0.3">
      <c r="A579" s="6" t="s">
        <v>617</v>
      </c>
      <c r="B579" s="6" t="s">
        <v>1042</v>
      </c>
    </row>
    <row r="580" spans="1:2" x14ac:dyDescent="0.3">
      <c r="A580" s="6" t="s">
        <v>618</v>
      </c>
      <c r="B580" s="6" t="s">
        <v>1042</v>
      </c>
    </row>
    <row r="581" spans="1:2" x14ac:dyDescent="0.3">
      <c r="A581" s="6" t="s">
        <v>619</v>
      </c>
      <c r="B581" s="6" t="s">
        <v>1042</v>
      </c>
    </row>
    <row r="582" spans="1:2" x14ac:dyDescent="0.3">
      <c r="A582" s="6" t="s">
        <v>620</v>
      </c>
      <c r="B582" s="6" t="s">
        <v>1041</v>
      </c>
    </row>
    <row r="583" spans="1:2" x14ac:dyDescent="0.3">
      <c r="A583" s="6" t="s">
        <v>621</v>
      </c>
      <c r="B583" s="6" t="s">
        <v>1042</v>
      </c>
    </row>
    <row r="584" spans="1:2" x14ac:dyDescent="0.3">
      <c r="A584" s="6" t="s">
        <v>622</v>
      </c>
      <c r="B584" s="6" t="s">
        <v>1042</v>
      </c>
    </row>
    <row r="585" spans="1:2" x14ac:dyDescent="0.3">
      <c r="A585" s="6" t="s">
        <v>623</v>
      </c>
      <c r="B585" s="6" t="s">
        <v>1042</v>
      </c>
    </row>
    <row r="586" spans="1:2" x14ac:dyDescent="0.3">
      <c r="A586" s="6" t="s">
        <v>624</v>
      </c>
      <c r="B586" s="6" t="s">
        <v>1041</v>
      </c>
    </row>
    <row r="587" spans="1:2" x14ac:dyDescent="0.3">
      <c r="A587" s="6" t="s">
        <v>625</v>
      </c>
      <c r="B587" s="6" t="s">
        <v>1042</v>
      </c>
    </row>
    <row r="588" spans="1:2" x14ac:dyDescent="0.3">
      <c r="A588" s="6" t="s">
        <v>626</v>
      </c>
      <c r="B588" s="6" t="s">
        <v>1042</v>
      </c>
    </row>
    <row r="589" spans="1:2" x14ac:dyDescent="0.3">
      <c r="A589" s="6" t="s">
        <v>627</v>
      </c>
      <c r="B589" s="6" t="s">
        <v>1042</v>
      </c>
    </row>
    <row r="590" spans="1:2" x14ac:dyDescent="0.3">
      <c r="A590" s="6" t="s">
        <v>628</v>
      </c>
      <c r="B590" s="6" t="s">
        <v>1041</v>
      </c>
    </row>
    <row r="591" spans="1:2" x14ac:dyDescent="0.3">
      <c r="A591" s="6" t="s">
        <v>629</v>
      </c>
      <c r="B591" s="6" t="s">
        <v>1042</v>
      </c>
    </row>
    <row r="592" spans="1:2" x14ac:dyDescent="0.3">
      <c r="A592" s="6" t="s">
        <v>630</v>
      </c>
      <c r="B592" s="6" t="s">
        <v>1042</v>
      </c>
    </row>
    <row r="593" spans="1:2" x14ac:dyDescent="0.3">
      <c r="A593" s="6" t="s">
        <v>631</v>
      </c>
      <c r="B593" s="6" t="s">
        <v>1042</v>
      </c>
    </row>
    <row r="594" spans="1:2" x14ac:dyDescent="0.3">
      <c r="A594" s="6" t="s">
        <v>632</v>
      </c>
      <c r="B594" s="6" t="s">
        <v>1041</v>
      </c>
    </row>
    <row r="595" spans="1:2" x14ac:dyDescent="0.3">
      <c r="A595" s="6" t="s">
        <v>633</v>
      </c>
      <c r="B595" s="6" t="s">
        <v>1042</v>
      </c>
    </row>
    <row r="596" spans="1:2" x14ac:dyDescent="0.3">
      <c r="A596" s="6" t="s">
        <v>634</v>
      </c>
      <c r="B596" s="6" t="s">
        <v>1042</v>
      </c>
    </row>
    <row r="597" spans="1:2" x14ac:dyDescent="0.3">
      <c r="A597" s="6" t="s">
        <v>635</v>
      </c>
      <c r="B597" s="6" t="s">
        <v>1042</v>
      </c>
    </row>
    <row r="598" spans="1:2" x14ac:dyDescent="0.3">
      <c r="A598" s="6" t="s">
        <v>636</v>
      </c>
      <c r="B598" s="6" t="s">
        <v>1041</v>
      </c>
    </row>
    <row r="599" spans="1:2" x14ac:dyDescent="0.3">
      <c r="A599" s="6" t="s">
        <v>637</v>
      </c>
      <c r="B599" s="6" t="s">
        <v>1042</v>
      </c>
    </row>
    <row r="600" spans="1:2" x14ac:dyDescent="0.3">
      <c r="A600" s="6" t="s">
        <v>638</v>
      </c>
      <c r="B600" s="6" t="s">
        <v>1042</v>
      </c>
    </row>
    <row r="601" spans="1:2" x14ac:dyDescent="0.3">
      <c r="A601" s="6" t="s">
        <v>639</v>
      </c>
      <c r="B601" s="6" t="s">
        <v>1042</v>
      </c>
    </row>
    <row r="602" spans="1:2" x14ac:dyDescent="0.3">
      <c r="A602" s="6" t="s">
        <v>640</v>
      </c>
      <c r="B602" s="6" t="s">
        <v>1041</v>
      </c>
    </row>
    <row r="603" spans="1:2" x14ac:dyDescent="0.3">
      <c r="A603" s="6" t="s">
        <v>641</v>
      </c>
      <c r="B603" s="6" t="s">
        <v>1042</v>
      </c>
    </row>
    <row r="604" spans="1:2" x14ac:dyDescent="0.3">
      <c r="A604" s="6" t="s">
        <v>642</v>
      </c>
      <c r="B604" s="6" t="s">
        <v>1042</v>
      </c>
    </row>
    <row r="605" spans="1:2" x14ac:dyDescent="0.3">
      <c r="A605" s="6" t="s">
        <v>643</v>
      </c>
      <c r="B605" s="6" t="s">
        <v>1042</v>
      </c>
    </row>
    <row r="606" spans="1:2" x14ac:dyDescent="0.3">
      <c r="A606" s="6" t="s">
        <v>644</v>
      </c>
      <c r="B606" s="6" t="s">
        <v>1041</v>
      </c>
    </row>
    <row r="607" spans="1:2" x14ac:dyDescent="0.3">
      <c r="A607" s="6" t="s">
        <v>645</v>
      </c>
      <c r="B607" s="6" t="s">
        <v>1042</v>
      </c>
    </row>
    <row r="608" spans="1:2" x14ac:dyDescent="0.3">
      <c r="A608" s="6" t="s">
        <v>646</v>
      </c>
      <c r="B608" s="6" t="s">
        <v>1042</v>
      </c>
    </row>
    <row r="609" spans="1:2" x14ac:dyDescent="0.3">
      <c r="A609" s="6" t="s">
        <v>647</v>
      </c>
      <c r="B609" s="6" t="s">
        <v>1042</v>
      </c>
    </row>
    <row r="610" spans="1:2" x14ac:dyDescent="0.3">
      <c r="A610" s="6" t="s">
        <v>648</v>
      </c>
      <c r="B610" s="6" t="s">
        <v>1041</v>
      </c>
    </row>
    <row r="611" spans="1:2" x14ac:dyDescent="0.3">
      <c r="A611" s="6" t="s">
        <v>649</v>
      </c>
      <c r="B611" s="6" t="s">
        <v>1042</v>
      </c>
    </row>
    <row r="612" spans="1:2" x14ac:dyDescent="0.3">
      <c r="A612" s="6" t="s">
        <v>650</v>
      </c>
      <c r="B612" s="6" t="s">
        <v>1042</v>
      </c>
    </row>
    <row r="613" spans="1:2" x14ac:dyDescent="0.3">
      <c r="A613" s="6" t="s">
        <v>651</v>
      </c>
      <c r="B613" s="6" t="s">
        <v>1042</v>
      </c>
    </row>
    <row r="614" spans="1:2" x14ac:dyDescent="0.3">
      <c r="A614" s="6" t="s">
        <v>652</v>
      </c>
      <c r="B614" s="6" t="s">
        <v>1041</v>
      </c>
    </row>
    <row r="615" spans="1:2" x14ac:dyDescent="0.3">
      <c r="A615" s="6" t="s">
        <v>653</v>
      </c>
      <c r="B615" s="6" t="s">
        <v>1042</v>
      </c>
    </row>
    <row r="616" spans="1:2" x14ac:dyDescent="0.3">
      <c r="A616" s="6" t="s">
        <v>654</v>
      </c>
      <c r="B616" s="6" t="s">
        <v>1042</v>
      </c>
    </row>
    <row r="617" spans="1:2" x14ac:dyDescent="0.3">
      <c r="A617" s="6" t="s">
        <v>655</v>
      </c>
      <c r="B617" s="6" t="s">
        <v>1042</v>
      </c>
    </row>
    <row r="618" spans="1:2" x14ac:dyDescent="0.3">
      <c r="A618" s="6" t="s">
        <v>656</v>
      </c>
      <c r="B618" s="6" t="s">
        <v>1041</v>
      </c>
    </row>
    <row r="619" spans="1:2" x14ac:dyDescent="0.3">
      <c r="A619" s="6" t="s">
        <v>657</v>
      </c>
      <c r="B619" s="6" t="s">
        <v>1042</v>
      </c>
    </row>
    <row r="620" spans="1:2" x14ac:dyDescent="0.3">
      <c r="A620" s="6" t="s">
        <v>658</v>
      </c>
      <c r="B620" s="6" t="s">
        <v>1042</v>
      </c>
    </row>
    <row r="621" spans="1:2" x14ac:dyDescent="0.3">
      <c r="A621" s="6" t="s">
        <v>659</v>
      </c>
      <c r="B621" s="6" t="s">
        <v>1042</v>
      </c>
    </row>
    <row r="622" spans="1:2" x14ac:dyDescent="0.3">
      <c r="A622" s="6" t="s">
        <v>660</v>
      </c>
      <c r="B622" s="6" t="s">
        <v>1041</v>
      </c>
    </row>
    <row r="623" spans="1:2" x14ac:dyDescent="0.3">
      <c r="A623" s="6" t="s">
        <v>661</v>
      </c>
      <c r="B623" s="6" t="s">
        <v>1042</v>
      </c>
    </row>
    <row r="624" spans="1:2" x14ac:dyDescent="0.3">
      <c r="A624" s="6" t="s">
        <v>662</v>
      </c>
      <c r="B624" s="6" t="s">
        <v>1042</v>
      </c>
    </row>
    <row r="625" spans="1:2" x14ac:dyDescent="0.3">
      <c r="A625" s="6" t="s">
        <v>663</v>
      </c>
      <c r="B625" s="6" t="s">
        <v>1042</v>
      </c>
    </row>
    <row r="626" spans="1:2" x14ac:dyDescent="0.3">
      <c r="A626" s="6" t="s">
        <v>664</v>
      </c>
      <c r="B626" s="6" t="s">
        <v>1041</v>
      </c>
    </row>
    <row r="627" spans="1:2" x14ac:dyDescent="0.3">
      <c r="A627" s="6" t="s">
        <v>665</v>
      </c>
      <c r="B627" s="6" t="s">
        <v>1042</v>
      </c>
    </row>
    <row r="628" spans="1:2" x14ac:dyDescent="0.3">
      <c r="A628" s="6" t="s">
        <v>666</v>
      </c>
      <c r="B628" s="6" t="s">
        <v>1042</v>
      </c>
    </row>
    <row r="629" spans="1:2" x14ac:dyDescent="0.3">
      <c r="A629" s="6" t="s">
        <v>667</v>
      </c>
      <c r="B629" s="6" t="s">
        <v>1042</v>
      </c>
    </row>
    <row r="630" spans="1:2" x14ac:dyDescent="0.3">
      <c r="A630" s="6" t="s">
        <v>668</v>
      </c>
      <c r="B630" s="6" t="s">
        <v>1041</v>
      </c>
    </row>
    <row r="631" spans="1:2" x14ac:dyDescent="0.3">
      <c r="A631" s="6" t="s">
        <v>669</v>
      </c>
      <c r="B631" s="6" t="s">
        <v>1042</v>
      </c>
    </row>
    <row r="632" spans="1:2" x14ac:dyDescent="0.3">
      <c r="A632" s="6" t="s">
        <v>670</v>
      </c>
      <c r="B632" s="6" t="s">
        <v>1042</v>
      </c>
    </row>
    <row r="633" spans="1:2" x14ac:dyDescent="0.3">
      <c r="A633" s="6" t="s">
        <v>671</v>
      </c>
      <c r="B633" s="6" t="s">
        <v>1042</v>
      </c>
    </row>
    <row r="634" spans="1:2" x14ac:dyDescent="0.3">
      <c r="A634" s="6" t="s">
        <v>672</v>
      </c>
      <c r="B634" s="6" t="s">
        <v>1041</v>
      </c>
    </row>
    <row r="635" spans="1:2" x14ac:dyDescent="0.3">
      <c r="A635" s="6" t="s">
        <v>673</v>
      </c>
      <c r="B635" s="6" t="s">
        <v>1042</v>
      </c>
    </row>
    <row r="636" spans="1:2" x14ac:dyDescent="0.3">
      <c r="A636" s="6" t="s">
        <v>674</v>
      </c>
      <c r="B636" s="6" t="s">
        <v>1042</v>
      </c>
    </row>
    <row r="637" spans="1:2" x14ac:dyDescent="0.3">
      <c r="A637" s="6" t="s">
        <v>675</v>
      </c>
      <c r="B637" s="6" t="s">
        <v>1042</v>
      </c>
    </row>
    <row r="638" spans="1:2" x14ac:dyDescent="0.3">
      <c r="A638" s="6" t="s">
        <v>676</v>
      </c>
      <c r="B638" s="6" t="s">
        <v>1041</v>
      </c>
    </row>
    <row r="639" spans="1:2" x14ac:dyDescent="0.3">
      <c r="A639" s="6" t="s">
        <v>677</v>
      </c>
      <c r="B639" s="6" t="s">
        <v>1042</v>
      </c>
    </row>
    <row r="640" spans="1:2" x14ac:dyDescent="0.3">
      <c r="A640" s="6" t="s">
        <v>678</v>
      </c>
      <c r="B640" s="6" t="s">
        <v>1042</v>
      </c>
    </row>
    <row r="641" spans="1:2" x14ac:dyDescent="0.3">
      <c r="A641" s="6" t="s">
        <v>679</v>
      </c>
      <c r="B641" s="6" t="s">
        <v>1042</v>
      </c>
    </row>
    <row r="642" spans="1:2" x14ac:dyDescent="0.3">
      <c r="A642" s="6" t="s">
        <v>680</v>
      </c>
      <c r="B642" s="6" t="s">
        <v>1041</v>
      </c>
    </row>
    <row r="643" spans="1:2" x14ac:dyDescent="0.3">
      <c r="A643" s="6" t="s">
        <v>681</v>
      </c>
      <c r="B643" s="6" t="s">
        <v>1042</v>
      </c>
    </row>
    <row r="644" spans="1:2" x14ac:dyDescent="0.3">
      <c r="A644" s="6" t="s">
        <v>682</v>
      </c>
      <c r="B644" s="6" t="s">
        <v>1042</v>
      </c>
    </row>
    <row r="645" spans="1:2" x14ac:dyDescent="0.3">
      <c r="A645" s="6" t="s">
        <v>683</v>
      </c>
      <c r="B645" s="6" t="s">
        <v>1042</v>
      </c>
    </row>
    <row r="646" spans="1:2" x14ac:dyDescent="0.3">
      <c r="A646" s="6" t="s">
        <v>684</v>
      </c>
      <c r="B646" s="6" t="s">
        <v>1041</v>
      </c>
    </row>
    <row r="647" spans="1:2" x14ac:dyDescent="0.3">
      <c r="A647" s="6" t="s">
        <v>685</v>
      </c>
      <c r="B647" s="6" t="s">
        <v>1042</v>
      </c>
    </row>
    <row r="648" spans="1:2" x14ac:dyDescent="0.3">
      <c r="A648" s="6" t="s">
        <v>686</v>
      </c>
      <c r="B648" s="6" t="s">
        <v>1042</v>
      </c>
    </row>
    <row r="649" spans="1:2" x14ac:dyDescent="0.3">
      <c r="A649" s="6" t="s">
        <v>687</v>
      </c>
      <c r="B649" s="6" t="s">
        <v>1042</v>
      </c>
    </row>
    <row r="650" spans="1:2" x14ac:dyDescent="0.3">
      <c r="A650" s="6" t="s">
        <v>688</v>
      </c>
      <c r="B650" s="6" t="s">
        <v>1041</v>
      </c>
    </row>
    <row r="651" spans="1:2" x14ac:dyDescent="0.3">
      <c r="A651" s="6" t="s">
        <v>689</v>
      </c>
      <c r="B651" s="6" t="s">
        <v>1042</v>
      </c>
    </row>
    <row r="652" spans="1:2" x14ac:dyDescent="0.3">
      <c r="A652" s="6" t="s">
        <v>690</v>
      </c>
      <c r="B652" s="6" t="s">
        <v>1042</v>
      </c>
    </row>
    <row r="653" spans="1:2" x14ac:dyDescent="0.3">
      <c r="A653" s="6" t="s">
        <v>691</v>
      </c>
      <c r="B653" s="6" t="s">
        <v>1042</v>
      </c>
    </row>
    <row r="654" spans="1:2" x14ac:dyDescent="0.3">
      <c r="A654" s="6" t="s">
        <v>692</v>
      </c>
      <c r="B654" s="6" t="s">
        <v>1041</v>
      </c>
    </row>
    <row r="655" spans="1:2" x14ac:dyDescent="0.3">
      <c r="A655" s="6" t="s">
        <v>693</v>
      </c>
      <c r="B655" s="6" t="s">
        <v>1042</v>
      </c>
    </row>
    <row r="656" spans="1:2" x14ac:dyDescent="0.3">
      <c r="A656" s="6" t="s">
        <v>694</v>
      </c>
      <c r="B656" s="6" t="s">
        <v>1042</v>
      </c>
    </row>
    <row r="657" spans="1:2" x14ac:dyDescent="0.3">
      <c r="A657" s="6" t="s">
        <v>695</v>
      </c>
      <c r="B657" s="6" t="s">
        <v>1042</v>
      </c>
    </row>
    <row r="658" spans="1:2" x14ac:dyDescent="0.3">
      <c r="A658" s="6" t="s">
        <v>696</v>
      </c>
      <c r="B658" s="6" t="s">
        <v>1041</v>
      </c>
    </row>
    <row r="659" spans="1:2" x14ac:dyDescent="0.3">
      <c r="A659" s="6" t="s">
        <v>697</v>
      </c>
      <c r="B659" s="6" t="s">
        <v>1042</v>
      </c>
    </row>
    <row r="660" spans="1:2" x14ac:dyDescent="0.3">
      <c r="A660" s="6" t="s">
        <v>698</v>
      </c>
      <c r="B660" s="6" t="s">
        <v>1042</v>
      </c>
    </row>
    <row r="661" spans="1:2" x14ac:dyDescent="0.3">
      <c r="A661" s="6" t="s">
        <v>699</v>
      </c>
      <c r="B661" s="6" t="s">
        <v>1042</v>
      </c>
    </row>
    <row r="662" spans="1:2" x14ac:dyDescent="0.3">
      <c r="A662" s="6" t="s">
        <v>700</v>
      </c>
      <c r="B662" s="6" t="s">
        <v>1041</v>
      </c>
    </row>
    <row r="663" spans="1:2" x14ac:dyDescent="0.3">
      <c r="A663" s="6" t="s">
        <v>701</v>
      </c>
      <c r="B663" s="6" t="s">
        <v>1042</v>
      </c>
    </row>
    <row r="664" spans="1:2" x14ac:dyDescent="0.3">
      <c r="A664" s="6" t="s">
        <v>702</v>
      </c>
      <c r="B664" s="6" t="s">
        <v>1042</v>
      </c>
    </row>
    <row r="665" spans="1:2" x14ac:dyDescent="0.3">
      <c r="A665" s="6" t="s">
        <v>703</v>
      </c>
      <c r="B665" s="6" t="s">
        <v>1042</v>
      </c>
    </row>
    <row r="666" spans="1:2" x14ac:dyDescent="0.3">
      <c r="A666" s="6" t="s">
        <v>704</v>
      </c>
      <c r="B666" s="6" t="s">
        <v>1041</v>
      </c>
    </row>
    <row r="667" spans="1:2" x14ac:dyDescent="0.3">
      <c r="A667" s="6" t="s">
        <v>705</v>
      </c>
      <c r="B667" s="6" t="s">
        <v>1042</v>
      </c>
    </row>
    <row r="668" spans="1:2" x14ac:dyDescent="0.3">
      <c r="A668" s="6" t="s">
        <v>706</v>
      </c>
      <c r="B668" s="6" t="s">
        <v>1042</v>
      </c>
    </row>
    <row r="669" spans="1:2" x14ac:dyDescent="0.3">
      <c r="A669" s="6" t="s">
        <v>707</v>
      </c>
      <c r="B669" s="6" t="s">
        <v>1042</v>
      </c>
    </row>
    <row r="670" spans="1:2" x14ac:dyDescent="0.3">
      <c r="A670" s="6" t="s">
        <v>708</v>
      </c>
      <c r="B670" s="6" t="s">
        <v>1041</v>
      </c>
    </row>
    <row r="671" spans="1:2" x14ac:dyDescent="0.3">
      <c r="A671" s="6" t="s">
        <v>709</v>
      </c>
      <c r="B671" s="6" t="s">
        <v>1042</v>
      </c>
    </row>
    <row r="672" spans="1:2" x14ac:dyDescent="0.3">
      <c r="A672" s="6" t="s">
        <v>710</v>
      </c>
      <c r="B672" s="6" t="s">
        <v>1042</v>
      </c>
    </row>
    <row r="673" spans="1:2" x14ac:dyDescent="0.3">
      <c r="A673" s="6" t="s">
        <v>711</v>
      </c>
      <c r="B673" s="6" t="s">
        <v>1042</v>
      </c>
    </row>
    <row r="674" spans="1:2" x14ac:dyDescent="0.3">
      <c r="A674" s="6" t="s">
        <v>712</v>
      </c>
      <c r="B674" s="6" t="s">
        <v>1041</v>
      </c>
    </row>
    <row r="675" spans="1:2" x14ac:dyDescent="0.3">
      <c r="A675" s="6" t="s">
        <v>713</v>
      </c>
      <c r="B675" s="6" t="s">
        <v>1042</v>
      </c>
    </row>
    <row r="676" spans="1:2" x14ac:dyDescent="0.3">
      <c r="A676" s="6" t="s">
        <v>714</v>
      </c>
      <c r="B676" s="6" t="s">
        <v>1042</v>
      </c>
    </row>
    <row r="677" spans="1:2" x14ac:dyDescent="0.3">
      <c r="A677" s="6" t="s">
        <v>715</v>
      </c>
      <c r="B677" s="6" t="s">
        <v>1042</v>
      </c>
    </row>
    <row r="678" spans="1:2" x14ac:dyDescent="0.3">
      <c r="A678" s="6" t="s">
        <v>716</v>
      </c>
      <c r="B678" s="6" t="s">
        <v>1041</v>
      </c>
    </row>
    <row r="679" spans="1:2" x14ac:dyDescent="0.3">
      <c r="A679" s="6" t="s">
        <v>717</v>
      </c>
      <c r="B679" s="6" t="s">
        <v>1042</v>
      </c>
    </row>
    <row r="680" spans="1:2" x14ac:dyDescent="0.3">
      <c r="A680" s="6" t="s">
        <v>718</v>
      </c>
      <c r="B680" s="6" t="s">
        <v>1042</v>
      </c>
    </row>
    <row r="681" spans="1:2" x14ac:dyDescent="0.3">
      <c r="A681" s="6" t="s">
        <v>719</v>
      </c>
      <c r="B681" s="6" t="s">
        <v>1042</v>
      </c>
    </row>
    <row r="682" spans="1:2" x14ac:dyDescent="0.3">
      <c r="A682" s="6" t="s">
        <v>720</v>
      </c>
      <c r="B682" s="6" t="s">
        <v>1041</v>
      </c>
    </row>
    <row r="683" spans="1:2" x14ac:dyDescent="0.3">
      <c r="A683" s="6" t="s">
        <v>721</v>
      </c>
      <c r="B683" s="6" t="s">
        <v>1042</v>
      </c>
    </row>
    <row r="684" spans="1:2" x14ac:dyDescent="0.3">
      <c r="A684" s="6" t="s">
        <v>722</v>
      </c>
      <c r="B684" s="6" t="s">
        <v>1042</v>
      </c>
    </row>
    <row r="685" spans="1:2" x14ac:dyDescent="0.3">
      <c r="A685" s="6" t="s">
        <v>723</v>
      </c>
      <c r="B685" s="6" t="s">
        <v>1042</v>
      </c>
    </row>
    <row r="686" spans="1:2" x14ac:dyDescent="0.3">
      <c r="A686" s="6" t="s">
        <v>724</v>
      </c>
      <c r="B686" s="6" t="s">
        <v>1041</v>
      </c>
    </row>
    <row r="687" spans="1:2" x14ac:dyDescent="0.3">
      <c r="A687" s="6" t="s">
        <v>725</v>
      </c>
      <c r="B687" s="6" t="s">
        <v>1042</v>
      </c>
    </row>
    <row r="688" spans="1:2" x14ac:dyDescent="0.3">
      <c r="A688" s="6" t="s">
        <v>726</v>
      </c>
      <c r="B688" s="6" t="s">
        <v>1042</v>
      </c>
    </row>
    <row r="689" spans="1:2" x14ac:dyDescent="0.3">
      <c r="A689" s="6" t="s">
        <v>727</v>
      </c>
      <c r="B689" s="6" t="s">
        <v>1042</v>
      </c>
    </row>
    <row r="690" spans="1:2" x14ac:dyDescent="0.3">
      <c r="A690" s="6" t="s">
        <v>728</v>
      </c>
      <c r="B690" s="6" t="s">
        <v>1041</v>
      </c>
    </row>
    <row r="691" spans="1:2" x14ac:dyDescent="0.3">
      <c r="A691" s="6" t="s">
        <v>729</v>
      </c>
      <c r="B691" s="6" t="s">
        <v>1042</v>
      </c>
    </row>
    <row r="692" spans="1:2" x14ac:dyDescent="0.3">
      <c r="A692" s="6" t="s">
        <v>730</v>
      </c>
      <c r="B692" s="6" t="s">
        <v>1042</v>
      </c>
    </row>
    <row r="693" spans="1:2" x14ac:dyDescent="0.3">
      <c r="A693" s="6" t="s">
        <v>731</v>
      </c>
      <c r="B693" s="6" t="s">
        <v>1042</v>
      </c>
    </row>
    <row r="694" spans="1:2" x14ac:dyDescent="0.3">
      <c r="A694" s="6" t="s">
        <v>732</v>
      </c>
      <c r="B694" s="6" t="s">
        <v>1041</v>
      </c>
    </row>
    <row r="695" spans="1:2" x14ac:dyDescent="0.3">
      <c r="A695" s="6" t="s">
        <v>733</v>
      </c>
      <c r="B695" s="6" t="s">
        <v>1042</v>
      </c>
    </row>
    <row r="696" spans="1:2" x14ac:dyDescent="0.3">
      <c r="A696" s="6" t="s">
        <v>734</v>
      </c>
      <c r="B696" s="6" t="s">
        <v>1042</v>
      </c>
    </row>
    <row r="697" spans="1:2" x14ac:dyDescent="0.3">
      <c r="A697" s="6" t="s">
        <v>735</v>
      </c>
      <c r="B697" s="6" t="s">
        <v>1042</v>
      </c>
    </row>
    <row r="698" spans="1:2" x14ac:dyDescent="0.3">
      <c r="A698" s="6" t="s">
        <v>736</v>
      </c>
      <c r="B698" s="6" t="s">
        <v>1041</v>
      </c>
    </row>
    <row r="699" spans="1:2" x14ac:dyDescent="0.3">
      <c r="A699" s="6" t="s">
        <v>737</v>
      </c>
      <c r="B699" s="6" t="s">
        <v>1042</v>
      </c>
    </row>
    <row r="700" spans="1:2" x14ac:dyDescent="0.3">
      <c r="A700" s="6" t="s">
        <v>738</v>
      </c>
      <c r="B700" s="6" t="s">
        <v>1042</v>
      </c>
    </row>
    <row r="701" spans="1:2" x14ac:dyDescent="0.3">
      <c r="A701" s="6" t="s">
        <v>739</v>
      </c>
      <c r="B701" s="6" t="s">
        <v>1042</v>
      </c>
    </row>
    <row r="702" spans="1:2" x14ac:dyDescent="0.3">
      <c r="A702" s="6" t="s">
        <v>740</v>
      </c>
      <c r="B702" s="6" t="s">
        <v>1041</v>
      </c>
    </row>
    <row r="703" spans="1:2" x14ac:dyDescent="0.3">
      <c r="A703" s="6" t="s">
        <v>741</v>
      </c>
      <c r="B703" s="6" t="s">
        <v>1042</v>
      </c>
    </row>
    <row r="704" spans="1:2" x14ac:dyDescent="0.3">
      <c r="A704" s="6" t="s">
        <v>742</v>
      </c>
      <c r="B704" s="6" t="s">
        <v>1042</v>
      </c>
    </row>
    <row r="705" spans="1:2" x14ac:dyDescent="0.3">
      <c r="A705" s="6" t="s">
        <v>743</v>
      </c>
      <c r="B705" s="6" t="s">
        <v>1042</v>
      </c>
    </row>
    <row r="706" spans="1:2" x14ac:dyDescent="0.3">
      <c r="A706" s="6" t="s">
        <v>744</v>
      </c>
      <c r="B706" s="6" t="s">
        <v>1041</v>
      </c>
    </row>
    <row r="707" spans="1:2" x14ac:dyDescent="0.3">
      <c r="A707" s="6" t="s">
        <v>745</v>
      </c>
      <c r="B707" s="6" t="s">
        <v>1042</v>
      </c>
    </row>
    <row r="708" spans="1:2" x14ac:dyDescent="0.3">
      <c r="A708" s="6" t="s">
        <v>746</v>
      </c>
      <c r="B708" s="6" t="s">
        <v>1042</v>
      </c>
    </row>
    <row r="709" spans="1:2" x14ac:dyDescent="0.3">
      <c r="A709" s="6" t="s">
        <v>747</v>
      </c>
      <c r="B709" s="6" t="s">
        <v>1042</v>
      </c>
    </row>
    <row r="710" spans="1:2" x14ac:dyDescent="0.3">
      <c r="A710" s="6" t="s">
        <v>748</v>
      </c>
      <c r="B710" s="6" t="s">
        <v>1041</v>
      </c>
    </row>
    <row r="711" spans="1:2" x14ac:dyDescent="0.3">
      <c r="A711" s="6" t="s">
        <v>749</v>
      </c>
      <c r="B711" s="6" t="s">
        <v>1042</v>
      </c>
    </row>
    <row r="712" spans="1:2" x14ac:dyDescent="0.3">
      <c r="A712" s="6" t="s">
        <v>750</v>
      </c>
      <c r="B712" s="6" t="s">
        <v>1042</v>
      </c>
    </row>
    <row r="713" spans="1:2" x14ac:dyDescent="0.3">
      <c r="A713" s="6" t="s">
        <v>751</v>
      </c>
      <c r="B713" s="6" t="s">
        <v>1042</v>
      </c>
    </row>
    <row r="714" spans="1:2" x14ac:dyDescent="0.3">
      <c r="A714" s="6" t="s">
        <v>752</v>
      </c>
      <c r="B714" s="6" t="s">
        <v>1041</v>
      </c>
    </row>
    <row r="715" spans="1:2" x14ac:dyDescent="0.3">
      <c r="A715" s="6" t="s">
        <v>753</v>
      </c>
      <c r="B715" s="6" t="s">
        <v>1042</v>
      </c>
    </row>
    <row r="716" spans="1:2" x14ac:dyDescent="0.3">
      <c r="A716" s="6" t="s">
        <v>754</v>
      </c>
      <c r="B716" s="6" t="s">
        <v>1042</v>
      </c>
    </row>
    <row r="717" spans="1:2" x14ac:dyDescent="0.3">
      <c r="A717" s="6" t="s">
        <v>755</v>
      </c>
      <c r="B717" s="6" t="s">
        <v>1042</v>
      </c>
    </row>
    <row r="718" spans="1:2" x14ac:dyDescent="0.3">
      <c r="A718" s="6" t="s">
        <v>756</v>
      </c>
      <c r="B718" s="6" t="s">
        <v>1041</v>
      </c>
    </row>
    <row r="719" spans="1:2" x14ac:dyDescent="0.3">
      <c r="A719" s="6" t="s">
        <v>757</v>
      </c>
      <c r="B719" s="6" t="s">
        <v>1042</v>
      </c>
    </row>
    <row r="720" spans="1:2" x14ac:dyDescent="0.3">
      <c r="A720" s="6" t="s">
        <v>758</v>
      </c>
      <c r="B720" s="6" t="s">
        <v>1042</v>
      </c>
    </row>
    <row r="721" spans="1:2" x14ac:dyDescent="0.3">
      <c r="A721" s="6" t="s">
        <v>759</v>
      </c>
      <c r="B721" s="6" t="s">
        <v>1042</v>
      </c>
    </row>
    <row r="722" spans="1:2" x14ac:dyDescent="0.3">
      <c r="A722" s="6" t="s">
        <v>760</v>
      </c>
      <c r="B722" s="6" t="s">
        <v>1041</v>
      </c>
    </row>
    <row r="723" spans="1:2" x14ac:dyDescent="0.3">
      <c r="A723" s="6" t="s">
        <v>761</v>
      </c>
      <c r="B723" s="6" t="s">
        <v>1042</v>
      </c>
    </row>
    <row r="724" spans="1:2" x14ac:dyDescent="0.3">
      <c r="A724" s="6" t="s">
        <v>762</v>
      </c>
      <c r="B724" s="6" t="s">
        <v>1042</v>
      </c>
    </row>
    <row r="725" spans="1:2" x14ac:dyDescent="0.3">
      <c r="A725" s="6" t="s">
        <v>763</v>
      </c>
      <c r="B725" s="6" t="s">
        <v>1042</v>
      </c>
    </row>
    <row r="726" spans="1:2" x14ac:dyDescent="0.3">
      <c r="A726" s="6" t="s">
        <v>764</v>
      </c>
      <c r="B726" s="6" t="s">
        <v>1041</v>
      </c>
    </row>
    <row r="727" spans="1:2" x14ac:dyDescent="0.3">
      <c r="A727" s="6" t="s">
        <v>765</v>
      </c>
      <c r="B727" s="6" t="s">
        <v>1042</v>
      </c>
    </row>
    <row r="728" spans="1:2" x14ac:dyDescent="0.3">
      <c r="A728" s="6" t="s">
        <v>766</v>
      </c>
      <c r="B728" s="6" t="s">
        <v>1042</v>
      </c>
    </row>
    <row r="729" spans="1:2" x14ac:dyDescent="0.3">
      <c r="A729" s="6" t="s">
        <v>767</v>
      </c>
      <c r="B729" s="6" t="s">
        <v>1042</v>
      </c>
    </row>
    <row r="730" spans="1:2" x14ac:dyDescent="0.3">
      <c r="A730" s="6" t="s">
        <v>768</v>
      </c>
      <c r="B730" s="6" t="s">
        <v>1041</v>
      </c>
    </row>
    <row r="731" spans="1:2" x14ac:dyDescent="0.3">
      <c r="A731" s="6" t="s">
        <v>769</v>
      </c>
      <c r="B731" s="6" t="s">
        <v>1042</v>
      </c>
    </row>
    <row r="732" spans="1:2" x14ac:dyDescent="0.3">
      <c r="A732" s="6" t="s">
        <v>770</v>
      </c>
      <c r="B732" s="6" t="s">
        <v>1042</v>
      </c>
    </row>
    <row r="733" spans="1:2" x14ac:dyDescent="0.3">
      <c r="A733" s="6" t="s">
        <v>771</v>
      </c>
      <c r="B733" s="6" t="s">
        <v>1042</v>
      </c>
    </row>
    <row r="734" spans="1:2" x14ac:dyDescent="0.3">
      <c r="A734" s="6" t="s">
        <v>772</v>
      </c>
      <c r="B734" s="6" t="s">
        <v>1041</v>
      </c>
    </row>
    <row r="735" spans="1:2" x14ac:dyDescent="0.3">
      <c r="A735" s="6" t="s">
        <v>773</v>
      </c>
      <c r="B735" s="6" t="s">
        <v>1042</v>
      </c>
    </row>
    <row r="736" spans="1:2" x14ac:dyDescent="0.3">
      <c r="A736" s="6" t="s">
        <v>774</v>
      </c>
      <c r="B736" s="6" t="s">
        <v>1042</v>
      </c>
    </row>
    <row r="737" spans="1:2" x14ac:dyDescent="0.3">
      <c r="A737" s="6" t="s">
        <v>775</v>
      </c>
      <c r="B737" s="6" t="s">
        <v>1042</v>
      </c>
    </row>
    <row r="738" spans="1:2" x14ac:dyDescent="0.3">
      <c r="A738" s="6" t="s">
        <v>776</v>
      </c>
      <c r="B738" s="6" t="s">
        <v>1041</v>
      </c>
    </row>
    <row r="739" spans="1:2" x14ac:dyDescent="0.3">
      <c r="A739" s="6" t="s">
        <v>777</v>
      </c>
      <c r="B739" s="6" t="s">
        <v>1042</v>
      </c>
    </row>
    <row r="740" spans="1:2" x14ac:dyDescent="0.3">
      <c r="A740" s="6" t="s">
        <v>778</v>
      </c>
      <c r="B740" s="6" t="s">
        <v>1042</v>
      </c>
    </row>
    <row r="741" spans="1:2" x14ac:dyDescent="0.3">
      <c r="A741" s="6" t="s">
        <v>779</v>
      </c>
      <c r="B741" s="6" t="s">
        <v>1042</v>
      </c>
    </row>
    <row r="742" spans="1:2" x14ac:dyDescent="0.3">
      <c r="A742" s="6" t="s">
        <v>780</v>
      </c>
      <c r="B742" s="6" t="s">
        <v>1041</v>
      </c>
    </row>
    <row r="743" spans="1:2" x14ac:dyDescent="0.3">
      <c r="A743" s="6" t="s">
        <v>781</v>
      </c>
      <c r="B743" s="6" t="s">
        <v>1042</v>
      </c>
    </row>
    <row r="744" spans="1:2" x14ac:dyDescent="0.3">
      <c r="A744" s="6" t="s">
        <v>782</v>
      </c>
      <c r="B744" s="6" t="s">
        <v>1042</v>
      </c>
    </row>
    <row r="745" spans="1:2" x14ac:dyDescent="0.3">
      <c r="A745" s="6" t="s">
        <v>783</v>
      </c>
      <c r="B745" s="6" t="s">
        <v>1042</v>
      </c>
    </row>
    <row r="746" spans="1:2" x14ac:dyDescent="0.3">
      <c r="A746" s="6" t="s">
        <v>784</v>
      </c>
      <c r="B746" s="6" t="s">
        <v>1041</v>
      </c>
    </row>
    <row r="747" spans="1:2" x14ac:dyDescent="0.3">
      <c r="A747" s="6" t="s">
        <v>785</v>
      </c>
      <c r="B747" s="6" t="s">
        <v>1042</v>
      </c>
    </row>
    <row r="748" spans="1:2" x14ac:dyDescent="0.3">
      <c r="A748" s="6" t="s">
        <v>786</v>
      </c>
      <c r="B748" s="6" t="s">
        <v>1042</v>
      </c>
    </row>
    <row r="749" spans="1:2" x14ac:dyDescent="0.3">
      <c r="A749" s="6" t="s">
        <v>787</v>
      </c>
      <c r="B749" s="6" t="s">
        <v>1042</v>
      </c>
    </row>
    <row r="750" spans="1:2" x14ac:dyDescent="0.3">
      <c r="A750" s="6" t="s">
        <v>788</v>
      </c>
      <c r="B750" s="6" t="s">
        <v>1041</v>
      </c>
    </row>
    <row r="751" spans="1:2" x14ac:dyDescent="0.3">
      <c r="A751" s="6" t="s">
        <v>789</v>
      </c>
      <c r="B751" s="6" t="s">
        <v>1042</v>
      </c>
    </row>
    <row r="752" spans="1:2" x14ac:dyDescent="0.3">
      <c r="A752" s="6" t="s">
        <v>790</v>
      </c>
      <c r="B752" s="6" t="s">
        <v>1042</v>
      </c>
    </row>
    <row r="753" spans="1:2" x14ac:dyDescent="0.3">
      <c r="A753" s="6" t="s">
        <v>791</v>
      </c>
      <c r="B753" s="6" t="s">
        <v>1042</v>
      </c>
    </row>
    <row r="754" spans="1:2" x14ac:dyDescent="0.3">
      <c r="A754" s="6" t="s">
        <v>792</v>
      </c>
      <c r="B754" s="6" t="s">
        <v>1041</v>
      </c>
    </row>
    <row r="755" spans="1:2" x14ac:dyDescent="0.3">
      <c r="A755" s="6" t="s">
        <v>793</v>
      </c>
      <c r="B755" s="6" t="s">
        <v>1042</v>
      </c>
    </row>
    <row r="756" spans="1:2" x14ac:dyDescent="0.3">
      <c r="A756" s="6" t="s">
        <v>794</v>
      </c>
      <c r="B756" s="6" t="s">
        <v>1042</v>
      </c>
    </row>
    <row r="757" spans="1:2" x14ac:dyDescent="0.3">
      <c r="A757" s="6" t="s">
        <v>795</v>
      </c>
      <c r="B757" s="6" t="s">
        <v>1042</v>
      </c>
    </row>
    <row r="758" spans="1:2" x14ac:dyDescent="0.3">
      <c r="A758" s="6" t="s">
        <v>796</v>
      </c>
      <c r="B758" s="6" t="s">
        <v>1041</v>
      </c>
    </row>
    <row r="759" spans="1:2" x14ac:dyDescent="0.3">
      <c r="A759" s="6" t="s">
        <v>797</v>
      </c>
      <c r="B759" s="6" t="s">
        <v>1042</v>
      </c>
    </row>
    <row r="760" spans="1:2" x14ac:dyDescent="0.3">
      <c r="A760" s="6" t="s">
        <v>798</v>
      </c>
      <c r="B760" s="6" t="s">
        <v>1042</v>
      </c>
    </row>
    <row r="761" spans="1:2" x14ac:dyDescent="0.3">
      <c r="A761" s="6" t="s">
        <v>799</v>
      </c>
      <c r="B761" s="6" t="s">
        <v>1042</v>
      </c>
    </row>
    <row r="762" spans="1:2" x14ac:dyDescent="0.3">
      <c r="A762" s="6" t="s">
        <v>800</v>
      </c>
      <c r="B762" s="6" t="s">
        <v>1041</v>
      </c>
    </row>
    <row r="763" spans="1:2" x14ac:dyDescent="0.3">
      <c r="A763" s="6" t="s">
        <v>801</v>
      </c>
      <c r="B763" s="6" t="s">
        <v>1042</v>
      </c>
    </row>
    <row r="764" spans="1:2" x14ac:dyDescent="0.3">
      <c r="A764" s="6" t="s">
        <v>802</v>
      </c>
      <c r="B764" s="6" t="s">
        <v>1042</v>
      </c>
    </row>
    <row r="765" spans="1:2" x14ac:dyDescent="0.3">
      <c r="A765" s="6" t="s">
        <v>803</v>
      </c>
      <c r="B765" s="6" t="s">
        <v>1042</v>
      </c>
    </row>
    <row r="766" spans="1:2" x14ac:dyDescent="0.3">
      <c r="A766" s="6" t="s">
        <v>804</v>
      </c>
      <c r="B766" s="6" t="s">
        <v>1041</v>
      </c>
    </row>
    <row r="767" spans="1:2" x14ac:dyDescent="0.3">
      <c r="A767" s="6" t="s">
        <v>805</v>
      </c>
      <c r="B767" s="6" t="s">
        <v>1042</v>
      </c>
    </row>
    <row r="768" spans="1:2" x14ac:dyDescent="0.3">
      <c r="A768" s="6" t="s">
        <v>806</v>
      </c>
      <c r="B768" s="6" t="s">
        <v>1042</v>
      </c>
    </row>
    <row r="769" spans="1:2" x14ac:dyDescent="0.3">
      <c r="A769" s="6" t="s">
        <v>807</v>
      </c>
      <c r="B769" s="6" t="s">
        <v>1042</v>
      </c>
    </row>
    <row r="770" spans="1:2" x14ac:dyDescent="0.3">
      <c r="A770" s="6" t="s">
        <v>808</v>
      </c>
      <c r="B770" s="6" t="s">
        <v>1041</v>
      </c>
    </row>
    <row r="771" spans="1:2" x14ac:dyDescent="0.3">
      <c r="A771" s="6" t="s">
        <v>809</v>
      </c>
      <c r="B771" s="6" t="s">
        <v>1042</v>
      </c>
    </row>
    <row r="772" spans="1:2" x14ac:dyDescent="0.3">
      <c r="A772" s="6" t="s">
        <v>810</v>
      </c>
      <c r="B772" s="6" t="s">
        <v>1042</v>
      </c>
    </row>
    <row r="773" spans="1:2" x14ac:dyDescent="0.3">
      <c r="A773" s="6" t="s">
        <v>811</v>
      </c>
      <c r="B773" s="6" t="s">
        <v>1042</v>
      </c>
    </row>
    <row r="774" spans="1:2" x14ac:dyDescent="0.3">
      <c r="A774" s="6" t="s">
        <v>812</v>
      </c>
      <c r="B774" s="6" t="s">
        <v>1041</v>
      </c>
    </row>
    <row r="775" spans="1:2" x14ac:dyDescent="0.3">
      <c r="A775" s="6" t="s">
        <v>813</v>
      </c>
      <c r="B775" s="6" t="s">
        <v>1042</v>
      </c>
    </row>
    <row r="776" spans="1:2" x14ac:dyDescent="0.3">
      <c r="A776" s="6" t="s">
        <v>814</v>
      </c>
      <c r="B776" s="6" t="s">
        <v>1042</v>
      </c>
    </row>
    <row r="777" spans="1:2" x14ac:dyDescent="0.3">
      <c r="A777" s="6" t="s">
        <v>815</v>
      </c>
      <c r="B777" s="6" t="s">
        <v>1042</v>
      </c>
    </row>
    <row r="778" spans="1:2" x14ac:dyDescent="0.3">
      <c r="A778" s="6" t="s">
        <v>816</v>
      </c>
      <c r="B778" s="6" t="s">
        <v>1041</v>
      </c>
    </row>
    <row r="779" spans="1:2" x14ac:dyDescent="0.3">
      <c r="A779" s="6" t="s">
        <v>817</v>
      </c>
      <c r="B779" s="6" t="s">
        <v>1042</v>
      </c>
    </row>
    <row r="780" spans="1:2" x14ac:dyDescent="0.3">
      <c r="A780" s="6" t="s">
        <v>818</v>
      </c>
      <c r="B780" s="6" t="s">
        <v>1042</v>
      </c>
    </row>
    <row r="781" spans="1:2" x14ac:dyDescent="0.3">
      <c r="A781" s="6" t="s">
        <v>819</v>
      </c>
      <c r="B781" s="6" t="s">
        <v>1042</v>
      </c>
    </row>
    <row r="782" spans="1:2" x14ac:dyDescent="0.3">
      <c r="A782" s="6" t="s">
        <v>820</v>
      </c>
      <c r="B782" s="6" t="s">
        <v>1041</v>
      </c>
    </row>
    <row r="783" spans="1:2" x14ac:dyDescent="0.3">
      <c r="A783" s="6" t="s">
        <v>821</v>
      </c>
      <c r="B783" s="6" t="s">
        <v>1042</v>
      </c>
    </row>
    <row r="784" spans="1:2" x14ac:dyDescent="0.3">
      <c r="A784" s="6" t="s">
        <v>822</v>
      </c>
      <c r="B784" s="6" t="s">
        <v>1042</v>
      </c>
    </row>
    <row r="785" spans="1:2" x14ac:dyDescent="0.3">
      <c r="A785" s="6" t="s">
        <v>823</v>
      </c>
      <c r="B785" s="6" t="s">
        <v>1042</v>
      </c>
    </row>
    <row r="786" spans="1:2" x14ac:dyDescent="0.3">
      <c r="A786" s="6" t="s">
        <v>824</v>
      </c>
      <c r="B786" s="6" t="s">
        <v>1041</v>
      </c>
    </row>
    <row r="787" spans="1:2" x14ac:dyDescent="0.3">
      <c r="A787" s="6" t="s">
        <v>825</v>
      </c>
      <c r="B787" s="6" t="s">
        <v>1042</v>
      </c>
    </row>
    <row r="788" spans="1:2" x14ac:dyDescent="0.3">
      <c r="A788" s="6" t="s">
        <v>826</v>
      </c>
      <c r="B788" s="6" t="s">
        <v>1042</v>
      </c>
    </row>
    <row r="789" spans="1:2" x14ac:dyDescent="0.3">
      <c r="A789" s="6" t="s">
        <v>827</v>
      </c>
      <c r="B789" s="6" t="s">
        <v>1042</v>
      </c>
    </row>
    <row r="790" spans="1:2" x14ac:dyDescent="0.3">
      <c r="A790" s="6" t="s">
        <v>828</v>
      </c>
      <c r="B790" s="6" t="s">
        <v>1041</v>
      </c>
    </row>
    <row r="791" spans="1:2" x14ac:dyDescent="0.3">
      <c r="A791" s="6" t="s">
        <v>829</v>
      </c>
      <c r="B791" s="6" t="s">
        <v>1042</v>
      </c>
    </row>
    <row r="792" spans="1:2" x14ac:dyDescent="0.3">
      <c r="A792" s="6" t="s">
        <v>830</v>
      </c>
      <c r="B792" s="6" t="s">
        <v>1042</v>
      </c>
    </row>
    <row r="793" spans="1:2" x14ac:dyDescent="0.3">
      <c r="A793" s="6" t="s">
        <v>831</v>
      </c>
      <c r="B793" s="6" t="s">
        <v>1042</v>
      </c>
    </row>
    <row r="794" spans="1:2" x14ac:dyDescent="0.3">
      <c r="A794" s="6" t="s">
        <v>832</v>
      </c>
      <c r="B794" s="6" t="s">
        <v>1041</v>
      </c>
    </row>
    <row r="795" spans="1:2" x14ac:dyDescent="0.3">
      <c r="A795" s="6" t="s">
        <v>833</v>
      </c>
      <c r="B795" s="6" t="s">
        <v>1042</v>
      </c>
    </row>
    <row r="796" spans="1:2" x14ac:dyDescent="0.3">
      <c r="A796" s="6" t="s">
        <v>834</v>
      </c>
      <c r="B796" s="6" t="s">
        <v>1042</v>
      </c>
    </row>
    <row r="797" spans="1:2" x14ac:dyDescent="0.3">
      <c r="A797" s="6" t="s">
        <v>835</v>
      </c>
      <c r="B797" s="6" t="s">
        <v>1042</v>
      </c>
    </row>
    <row r="798" spans="1:2" x14ac:dyDescent="0.3">
      <c r="A798" s="6" t="s">
        <v>836</v>
      </c>
      <c r="B798" s="6" t="s">
        <v>1041</v>
      </c>
    </row>
    <row r="799" spans="1:2" x14ac:dyDescent="0.3">
      <c r="A799" s="6" t="s">
        <v>837</v>
      </c>
      <c r="B799" s="6" t="s">
        <v>1042</v>
      </c>
    </row>
    <row r="800" spans="1:2" x14ac:dyDescent="0.3">
      <c r="A800" s="6" t="s">
        <v>838</v>
      </c>
      <c r="B800" s="6" t="s">
        <v>1042</v>
      </c>
    </row>
    <row r="801" spans="1:2" x14ac:dyDescent="0.3">
      <c r="A801" s="6" t="s">
        <v>839</v>
      </c>
      <c r="B801" s="6" t="s">
        <v>1042</v>
      </c>
    </row>
    <row r="802" spans="1:2" x14ac:dyDescent="0.3">
      <c r="A802" s="6" t="s">
        <v>840</v>
      </c>
      <c r="B802" s="6" t="s">
        <v>1041</v>
      </c>
    </row>
    <row r="803" spans="1:2" x14ac:dyDescent="0.3">
      <c r="A803" s="6" t="s">
        <v>841</v>
      </c>
      <c r="B803" s="6" t="s">
        <v>1042</v>
      </c>
    </row>
    <row r="804" spans="1:2" x14ac:dyDescent="0.3">
      <c r="A804" s="6" t="s">
        <v>842</v>
      </c>
      <c r="B804" s="6" t="s">
        <v>1042</v>
      </c>
    </row>
    <row r="805" spans="1:2" x14ac:dyDescent="0.3">
      <c r="A805" s="6" t="s">
        <v>843</v>
      </c>
      <c r="B805" s="6" t="s">
        <v>1042</v>
      </c>
    </row>
    <row r="806" spans="1:2" x14ac:dyDescent="0.3">
      <c r="A806" s="6" t="s">
        <v>844</v>
      </c>
      <c r="B806" s="6" t="s">
        <v>1041</v>
      </c>
    </row>
    <row r="807" spans="1:2" x14ac:dyDescent="0.3">
      <c r="A807" s="6" t="s">
        <v>845</v>
      </c>
      <c r="B807" s="6" t="s">
        <v>1042</v>
      </c>
    </row>
    <row r="808" spans="1:2" x14ac:dyDescent="0.3">
      <c r="A808" s="6" t="s">
        <v>846</v>
      </c>
      <c r="B808" s="6" t="s">
        <v>1042</v>
      </c>
    </row>
    <row r="809" spans="1:2" x14ac:dyDescent="0.3">
      <c r="A809" s="6" t="s">
        <v>847</v>
      </c>
      <c r="B809" s="6" t="s">
        <v>1042</v>
      </c>
    </row>
    <row r="810" spans="1:2" x14ac:dyDescent="0.3">
      <c r="A810" s="6" t="s">
        <v>848</v>
      </c>
      <c r="B810" s="6" t="s">
        <v>1041</v>
      </c>
    </row>
    <row r="811" spans="1:2" x14ac:dyDescent="0.3">
      <c r="A811" s="6" t="s">
        <v>849</v>
      </c>
      <c r="B811" s="6" t="s">
        <v>1042</v>
      </c>
    </row>
    <row r="812" spans="1:2" x14ac:dyDescent="0.3">
      <c r="A812" s="6" t="s">
        <v>850</v>
      </c>
      <c r="B812" s="6" t="s">
        <v>1042</v>
      </c>
    </row>
    <row r="813" spans="1:2" x14ac:dyDescent="0.3">
      <c r="A813" s="6" t="s">
        <v>851</v>
      </c>
      <c r="B813" s="6" t="s">
        <v>1042</v>
      </c>
    </row>
    <row r="814" spans="1:2" x14ac:dyDescent="0.3">
      <c r="A814" s="6" t="s">
        <v>852</v>
      </c>
      <c r="B814" s="6" t="s">
        <v>1041</v>
      </c>
    </row>
    <row r="815" spans="1:2" x14ac:dyDescent="0.3">
      <c r="A815" s="6" t="s">
        <v>853</v>
      </c>
      <c r="B815" s="6" t="s">
        <v>1042</v>
      </c>
    </row>
    <row r="816" spans="1:2" x14ac:dyDescent="0.3">
      <c r="A816" s="6" t="s">
        <v>854</v>
      </c>
      <c r="B816" s="6" t="s">
        <v>1042</v>
      </c>
    </row>
    <row r="817" spans="1:2" x14ac:dyDescent="0.3">
      <c r="A817" s="6" t="s">
        <v>855</v>
      </c>
      <c r="B817" s="6" t="s">
        <v>1042</v>
      </c>
    </row>
    <row r="818" spans="1:2" x14ac:dyDescent="0.3">
      <c r="A818" s="6" t="s">
        <v>856</v>
      </c>
      <c r="B818" s="6" t="s">
        <v>1041</v>
      </c>
    </row>
    <row r="819" spans="1:2" x14ac:dyDescent="0.3">
      <c r="A819" s="6" t="s">
        <v>857</v>
      </c>
      <c r="B819" s="6" t="s">
        <v>1042</v>
      </c>
    </row>
    <row r="820" spans="1:2" x14ac:dyDescent="0.3">
      <c r="A820" s="6" t="s">
        <v>858</v>
      </c>
      <c r="B820" s="6" t="s">
        <v>1042</v>
      </c>
    </row>
    <row r="821" spans="1:2" x14ac:dyDescent="0.3">
      <c r="A821" s="6" t="s">
        <v>859</v>
      </c>
      <c r="B821" s="6" t="s">
        <v>1042</v>
      </c>
    </row>
    <row r="822" spans="1:2" x14ac:dyDescent="0.3">
      <c r="A822" s="6" t="s">
        <v>860</v>
      </c>
      <c r="B822" s="6" t="s">
        <v>1041</v>
      </c>
    </row>
    <row r="823" spans="1:2" x14ac:dyDescent="0.3">
      <c r="A823" s="6" t="s">
        <v>861</v>
      </c>
      <c r="B823" s="6" t="s">
        <v>1042</v>
      </c>
    </row>
    <row r="824" spans="1:2" x14ac:dyDescent="0.3">
      <c r="A824" s="6" t="s">
        <v>862</v>
      </c>
      <c r="B824" s="6" t="s">
        <v>1042</v>
      </c>
    </row>
    <row r="825" spans="1:2" x14ac:dyDescent="0.3">
      <c r="A825" s="6" t="s">
        <v>863</v>
      </c>
      <c r="B825" s="6" t="s">
        <v>1042</v>
      </c>
    </row>
    <row r="826" spans="1:2" x14ac:dyDescent="0.3">
      <c r="A826" s="6" t="s">
        <v>864</v>
      </c>
      <c r="B826" s="6" t="s">
        <v>1041</v>
      </c>
    </row>
    <row r="827" spans="1:2" x14ac:dyDescent="0.3">
      <c r="A827" s="6" t="s">
        <v>865</v>
      </c>
      <c r="B827" s="6" t="s">
        <v>1042</v>
      </c>
    </row>
    <row r="828" spans="1:2" x14ac:dyDescent="0.3">
      <c r="A828" s="6" t="s">
        <v>866</v>
      </c>
      <c r="B828" s="6" t="s">
        <v>1042</v>
      </c>
    </row>
    <row r="829" spans="1:2" x14ac:dyDescent="0.3">
      <c r="A829" s="6" t="s">
        <v>867</v>
      </c>
      <c r="B829" s="6" t="s">
        <v>1042</v>
      </c>
    </row>
    <row r="830" spans="1:2" x14ac:dyDescent="0.3">
      <c r="A830" s="6" t="s">
        <v>868</v>
      </c>
      <c r="B830" s="6" t="s">
        <v>1041</v>
      </c>
    </row>
    <row r="831" spans="1:2" x14ac:dyDescent="0.3">
      <c r="A831" s="6" t="s">
        <v>869</v>
      </c>
      <c r="B831" s="6" t="s">
        <v>1042</v>
      </c>
    </row>
    <row r="832" spans="1:2" x14ac:dyDescent="0.3">
      <c r="A832" s="6" t="s">
        <v>870</v>
      </c>
      <c r="B832" s="6" t="s">
        <v>1042</v>
      </c>
    </row>
    <row r="833" spans="1:2" x14ac:dyDescent="0.3">
      <c r="A833" s="6" t="s">
        <v>871</v>
      </c>
      <c r="B833" s="6" t="s">
        <v>1042</v>
      </c>
    </row>
    <row r="834" spans="1:2" x14ac:dyDescent="0.3">
      <c r="A834" s="6" t="s">
        <v>872</v>
      </c>
      <c r="B834" s="6" t="s">
        <v>1041</v>
      </c>
    </row>
    <row r="835" spans="1:2" x14ac:dyDescent="0.3">
      <c r="A835" s="6" t="s">
        <v>873</v>
      </c>
      <c r="B835" s="6" t="s">
        <v>1042</v>
      </c>
    </row>
    <row r="836" spans="1:2" x14ac:dyDescent="0.3">
      <c r="A836" s="6" t="s">
        <v>874</v>
      </c>
      <c r="B836" s="6" t="s">
        <v>1042</v>
      </c>
    </row>
    <row r="837" spans="1:2" x14ac:dyDescent="0.3">
      <c r="A837" s="6" t="s">
        <v>875</v>
      </c>
      <c r="B837" s="6" t="s">
        <v>1042</v>
      </c>
    </row>
    <row r="838" spans="1:2" x14ac:dyDescent="0.3">
      <c r="A838" s="6" t="s">
        <v>876</v>
      </c>
      <c r="B838" s="6" t="s">
        <v>1041</v>
      </c>
    </row>
    <row r="839" spans="1:2" x14ac:dyDescent="0.3">
      <c r="A839" s="6" t="s">
        <v>877</v>
      </c>
      <c r="B839" s="6" t="s">
        <v>1042</v>
      </c>
    </row>
    <row r="840" spans="1:2" x14ac:dyDescent="0.3">
      <c r="A840" s="6" t="s">
        <v>878</v>
      </c>
      <c r="B840" s="6" t="s">
        <v>1042</v>
      </c>
    </row>
    <row r="841" spans="1:2" x14ac:dyDescent="0.3">
      <c r="A841" s="6" t="s">
        <v>879</v>
      </c>
      <c r="B841" s="6" t="s">
        <v>1042</v>
      </c>
    </row>
    <row r="842" spans="1:2" x14ac:dyDescent="0.3">
      <c r="A842" s="6" t="s">
        <v>880</v>
      </c>
      <c r="B842" s="6" t="s">
        <v>1041</v>
      </c>
    </row>
    <row r="843" spans="1:2" x14ac:dyDescent="0.3">
      <c r="A843" s="6" t="s">
        <v>881</v>
      </c>
      <c r="B843" s="6" t="s">
        <v>1042</v>
      </c>
    </row>
    <row r="844" spans="1:2" x14ac:dyDescent="0.3">
      <c r="A844" s="6" t="s">
        <v>882</v>
      </c>
      <c r="B844" s="6" t="s">
        <v>1042</v>
      </c>
    </row>
    <row r="845" spans="1:2" x14ac:dyDescent="0.3">
      <c r="A845" s="6" t="s">
        <v>883</v>
      </c>
      <c r="B845" s="6" t="s">
        <v>1042</v>
      </c>
    </row>
    <row r="846" spans="1:2" x14ac:dyDescent="0.3">
      <c r="A846" s="6" t="s">
        <v>884</v>
      </c>
      <c r="B846" s="6" t="s">
        <v>1041</v>
      </c>
    </row>
    <row r="847" spans="1:2" x14ac:dyDescent="0.3">
      <c r="A847" s="6" t="s">
        <v>885</v>
      </c>
      <c r="B847" s="6" t="s">
        <v>1042</v>
      </c>
    </row>
    <row r="848" spans="1:2" x14ac:dyDescent="0.3">
      <c r="A848" s="6" t="s">
        <v>886</v>
      </c>
      <c r="B848" s="6" t="s">
        <v>1042</v>
      </c>
    </row>
    <row r="849" spans="1:2" x14ac:dyDescent="0.3">
      <c r="A849" s="6" t="s">
        <v>887</v>
      </c>
      <c r="B849" s="6" t="s">
        <v>1042</v>
      </c>
    </row>
    <row r="850" spans="1:2" x14ac:dyDescent="0.3">
      <c r="A850" s="6" t="s">
        <v>888</v>
      </c>
      <c r="B850" s="6" t="s">
        <v>1041</v>
      </c>
    </row>
    <row r="851" spans="1:2" x14ac:dyDescent="0.3">
      <c r="A851" s="6" t="s">
        <v>889</v>
      </c>
      <c r="B851" s="6" t="s">
        <v>1042</v>
      </c>
    </row>
    <row r="852" spans="1:2" x14ac:dyDescent="0.3">
      <c r="A852" s="6" t="s">
        <v>890</v>
      </c>
      <c r="B852" s="6" t="s">
        <v>1042</v>
      </c>
    </row>
    <row r="853" spans="1:2" x14ac:dyDescent="0.3">
      <c r="A853" s="6" t="s">
        <v>891</v>
      </c>
      <c r="B853" s="6" t="s">
        <v>1042</v>
      </c>
    </row>
    <row r="854" spans="1:2" x14ac:dyDescent="0.3">
      <c r="A854" s="6" t="s">
        <v>892</v>
      </c>
      <c r="B854" s="6" t="s">
        <v>1041</v>
      </c>
    </row>
    <row r="855" spans="1:2" x14ac:dyDescent="0.3">
      <c r="A855" s="6" t="s">
        <v>893</v>
      </c>
      <c r="B855" s="6" t="s">
        <v>1042</v>
      </c>
    </row>
    <row r="856" spans="1:2" x14ac:dyDescent="0.3">
      <c r="A856" s="6" t="s">
        <v>894</v>
      </c>
      <c r="B856" s="6" t="s">
        <v>1042</v>
      </c>
    </row>
    <row r="857" spans="1:2" x14ac:dyDescent="0.3">
      <c r="A857" s="6" t="s">
        <v>895</v>
      </c>
      <c r="B857" s="6" t="s">
        <v>1042</v>
      </c>
    </row>
    <row r="858" spans="1:2" x14ac:dyDescent="0.3">
      <c r="A858" s="6" t="s">
        <v>896</v>
      </c>
      <c r="B858" s="6" t="s">
        <v>1041</v>
      </c>
    </row>
    <row r="859" spans="1:2" x14ac:dyDescent="0.3">
      <c r="A859" s="6" t="s">
        <v>897</v>
      </c>
      <c r="B859" s="6" t="s">
        <v>1042</v>
      </c>
    </row>
    <row r="860" spans="1:2" x14ac:dyDescent="0.3">
      <c r="A860" s="6" t="s">
        <v>898</v>
      </c>
      <c r="B860" s="6" t="s">
        <v>1042</v>
      </c>
    </row>
    <row r="861" spans="1:2" x14ac:dyDescent="0.3">
      <c r="A861" s="6" t="s">
        <v>899</v>
      </c>
      <c r="B861" s="6" t="s">
        <v>1042</v>
      </c>
    </row>
    <row r="862" spans="1:2" x14ac:dyDescent="0.3">
      <c r="A862" s="6" t="s">
        <v>900</v>
      </c>
      <c r="B862" s="6" t="s">
        <v>1041</v>
      </c>
    </row>
    <row r="863" spans="1:2" x14ac:dyDescent="0.3">
      <c r="A863" s="6" t="s">
        <v>901</v>
      </c>
      <c r="B863" s="6" t="s">
        <v>1042</v>
      </c>
    </row>
    <row r="864" spans="1:2" x14ac:dyDescent="0.3">
      <c r="A864" s="6" t="s">
        <v>902</v>
      </c>
      <c r="B864" s="6" t="s">
        <v>1042</v>
      </c>
    </row>
    <row r="865" spans="1:2" x14ac:dyDescent="0.3">
      <c r="A865" s="6" t="s">
        <v>903</v>
      </c>
      <c r="B865" s="6" t="s">
        <v>1042</v>
      </c>
    </row>
    <row r="866" spans="1:2" x14ac:dyDescent="0.3">
      <c r="A866" s="6" t="s">
        <v>904</v>
      </c>
      <c r="B866" s="6" t="s">
        <v>1041</v>
      </c>
    </row>
    <row r="867" spans="1:2" x14ac:dyDescent="0.3">
      <c r="A867" s="6" t="s">
        <v>905</v>
      </c>
      <c r="B867" s="6" t="s">
        <v>1042</v>
      </c>
    </row>
    <row r="868" spans="1:2" x14ac:dyDescent="0.3">
      <c r="A868" s="6" t="s">
        <v>906</v>
      </c>
      <c r="B868" s="6" t="s">
        <v>1042</v>
      </c>
    </row>
    <row r="869" spans="1:2" x14ac:dyDescent="0.3">
      <c r="A869" s="6" t="s">
        <v>907</v>
      </c>
      <c r="B869" s="6" t="s">
        <v>1042</v>
      </c>
    </row>
    <row r="870" spans="1:2" x14ac:dyDescent="0.3">
      <c r="A870" s="6" t="s">
        <v>908</v>
      </c>
      <c r="B870" s="6" t="s">
        <v>1041</v>
      </c>
    </row>
    <row r="871" spans="1:2" x14ac:dyDescent="0.3">
      <c r="A871" s="6" t="s">
        <v>909</v>
      </c>
      <c r="B871" s="6" t="s">
        <v>1042</v>
      </c>
    </row>
    <row r="872" spans="1:2" x14ac:dyDescent="0.3">
      <c r="A872" s="6" t="s">
        <v>910</v>
      </c>
      <c r="B872" s="6" t="s">
        <v>1042</v>
      </c>
    </row>
    <row r="873" spans="1:2" x14ac:dyDescent="0.3">
      <c r="A873" s="6" t="s">
        <v>911</v>
      </c>
      <c r="B873" s="6" t="s">
        <v>1042</v>
      </c>
    </row>
    <row r="874" spans="1:2" x14ac:dyDescent="0.3">
      <c r="A874" s="6" t="s">
        <v>912</v>
      </c>
      <c r="B874" s="6" t="s">
        <v>1041</v>
      </c>
    </row>
    <row r="875" spans="1:2" x14ac:dyDescent="0.3">
      <c r="A875" s="6" t="s">
        <v>913</v>
      </c>
      <c r="B875" s="6" t="s">
        <v>1042</v>
      </c>
    </row>
    <row r="876" spans="1:2" x14ac:dyDescent="0.3">
      <c r="A876" s="6" t="s">
        <v>914</v>
      </c>
      <c r="B876" s="6" t="s">
        <v>1042</v>
      </c>
    </row>
    <row r="877" spans="1:2" x14ac:dyDescent="0.3">
      <c r="A877" s="6" t="s">
        <v>915</v>
      </c>
      <c r="B877" s="6" t="s">
        <v>1042</v>
      </c>
    </row>
    <row r="878" spans="1:2" x14ac:dyDescent="0.3">
      <c r="A878" s="6" t="s">
        <v>916</v>
      </c>
      <c r="B878" s="6" t="s">
        <v>1041</v>
      </c>
    </row>
    <row r="879" spans="1:2" x14ac:dyDescent="0.3">
      <c r="A879" s="6" t="s">
        <v>917</v>
      </c>
      <c r="B879" s="6" t="s">
        <v>1042</v>
      </c>
    </row>
    <row r="880" spans="1:2" x14ac:dyDescent="0.3">
      <c r="A880" s="6" t="s">
        <v>918</v>
      </c>
      <c r="B880" s="6" t="s">
        <v>1042</v>
      </c>
    </row>
    <row r="881" spans="1:2" x14ac:dyDescent="0.3">
      <c r="A881" s="6" t="s">
        <v>919</v>
      </c>
      <c r="B881" s="6" t="s">
        <v>1042</v>
      </c>
    </row>
    <row r="882" spans="1:2" x14ac:dyDescent="0.3">
      <c r="A882" s="6" t="s">
        <v>920</v>
      </c>
      <c r="B882" s="6" t="s">
        <v>1041</v>
      </c>
    </row>
    <row r="883" spans="1:2" x14ac:dyDescent="0.3">
      <c r="A883" s="6" t="s">
        <v>921</v>
      </c>
      <c r="B883" s="6" t="s">
        <v>1042</v>
      </c>
    </row>
    <row r="884" spans="1:2" x14ac:dyDescent="0.3">
      <c r="A884" s="6" t="s">
        <v>922</v>
      </c>
      <c r="B884" s="6" t="s">
        <v>1042</v>
      </c>
    </row>
    <row r="885" spans="1:2" x14ac:dyDescent="0.3">
      <c r="A885" s="6" t="s">
        <v>923</v>
      </c>
      <c r="B885" s="6" t="s">
        <v>1042</v>
      </c>
    </row>
    <row r="886" spans="1:2" x14ac:dyDescent="0.3">
      <c r="A886" s="6" t="s">
        <v>924</v>
      </c>
      <c r="B886" s="6" t="s">
        <v>1041</v>
      </c>
    </row>
    <row r="887" spans="1:2" x14ac:dyDescent="0.3">
      <c r="A887" s="6" t="s">
        <v>925</v>
      </c>
      <c r="B887" s="6" t="s">
        <v>1042</v>
      </c>
    </row>
    <row r="888" spans="1:2" x14ac:dyDescent="0.3">
      <c r="A888" s="6" t="s">
        <v>926</v>
      </c>
      <c r="B888" s="6" t="s">
        <v>1042</v>
      </c>
    </row>
    <row r="889" spans="1:2" x14ac:dyDescent="0.3">
      <c r="A889" s="6" t="s">
        <v>927</v>
      </c>
      <c r="B889" s="6" t="s">
        <v>1042</v>
      </c>
    </row>
    <row r="890" spans="1:2" x14ac:dyDescent="0.3">
      <c r="A890" s="6" t="s">
        <v>928</v>
      </c>
      <c r="B890" s="6" t="s">
        <v>1041</v>
      </c>
    </row>
    <row r="891" spans="1:2" x14ac:dyDescent="0.3">
      <c r="A891" s="6" t="s">
        <v>929</v>
      </c>
      <c r="B891" s="6" t="s">
        <v>1042</v>
      </c>
    </row>
    <row r="892" spans="1:2" x14ac:dyDescent="0.3">
      <c r="A892" s="6" t="s">
        <v>930</v>
      </c>
      <c r="B892" s="6" t="s">
        <v>1042</v>
      </c>
    </row>
    <row r="893" spans="1:2" x14ac:dyDescent="0.3">
      <c r="A893" s="6" t="s">
        <v>931</v>
      </c>
      <c r="B893" s="6" t="s">
        <v>1042</v>
      </c>
    </row>
    <row r="894" spans="1:2" x14ac:dyDescent="0.3">
      <c r="A894" s="6" t="s">
        <v>932</v>
      </c>
      <c r="B894" s="6" t="s">
        <v>1041</v>
      </c>
    </row>
    <row r="895" spans="1:2" x14ac:dyDescent="0.3">
      <c r="A895" s="6" t="s">
        <v>933</v>
      </c>
      <c r="B895" s="6" t="s">
        <v>1042</v>
      </c>
    </row>
    <row r="896" spans="1:2" x14ac:dyDescent="0.3">
      <c r="A896" s="6" t="s">
        <v>934</v>
      </c>
      <c r="B896" s="6" t="s">
        <v>1042</v>
      </c>
    </row>
    <row r="897" spans="1:2" x14ac:dyDescent="0.3">
      <c r="A897" s="6" t="s">
        <v>935</v>
      </c>
      <c r="B897" s="6" t="s">
        <v>1042</v>
      </c>
    </row>
    <row r="898" spans="1:2" x14ac:dyDescent="0.3">
      <c r="A898" s="6" t="s">
        <v>936</v>
      </c>
      <c r="B898" s="6" t="s">
        <v>1041</v>
      </c>
    </row>
    <row r="899" spans="1:2" x14ac:dyDescent="0.3">
      <c r="A899" s="6" t="s">
        <v>937</v>
      </c>
      <c r="B899" s="6" t="s">
        <v>1042</v>
      </c>
    </row>
    <row r="900" spans="1:2" x14ac:dyDescent="0.3">
      <c r="A900" s="6" t="s">
        <v>938</v>
      </c>
      <c r="B900" s="6" t="s">
        <v>1042</v>
      </c>
    </row>
    <row r="901" spans="1:2" x14ac:dyDescent="0.3">
      <c r="A901" s="6" t="s">
        <v>939</v>
      </c>
      <c r="B901" s="6" t="s">
        <v>1042</v>
      </c>
    </row>
    <row r="902" spans="1:2" x14ac:dyDescent="0.3">
      <c r="A902" s="6" t="s">
        <v>940</v>
      </c>
      <c r="B902" s="6" t="s">
        <v>1041</v>
      </c>
    </row>
    <row r="903" spans="1:2" x14ac:dyDescent="0.3">
      <c r="A903" s="6" t="s">
        <v>941</v>
      </c>
      <c r="B903" s="6" t="s">
        <v>1042</v>
      </c>
    </row>
    <row r="904" spans="1:2" x14ac:dyDescent="0.3">
      <c r="A904" s="6" t="s">
        <v>942</v>
      </c>
      <c r="B904" s="6" t="s">
        <v>1042</v>
      </c>
    </row>
    <row r="905" spans="1:2" x14ac:dyDescent="0.3">
      <c r="A905" s="6" t="s">
        <v>943</v>
      </c>
      <c r="B905" s="6" t="s">
        <v>1042</v>
      </c>
    </row>
    <row r="906" spans="1:2" x14ac:dyDescent="0.3">
      <c r="A906" s="6" t="s">
        <v>944</v>
      </c>
      <c r="B906" s="6" t="s">
        <v>1041</v>
      </c>
    </row>
    <row r="907" spans="1:2" x14ac:dyDescent="0.3">
      <c r="A907" s="6" t="s">
        <v>945</v>
      </c>
      <c r="B907" s="6" t="s">
        <v>1042</v>
      </c>
    </row>
    <row r="908" spans="1:2" x14ac:dyDescent="0.3">
      <c r="A908" s="6" t="s">
        <v>946</v>
      </c>
      <c r="B908" s="6" t="s">
        <v>1042</v>
      </c>
    </row>
    <row r="909" spans="1:2" x14ac:dyDescent="0.3">
      <c r="A909" s="6" t="s">
        <v>947</v>
      </c>
      <c r="B909" s="6" t="s">
        <v>1042</v>
      </c>
    </row>
    <row r="910" spans="1:2" x14ac:dyDescent="0.3">
      <c r="A910" s="6" t="s">
        <v>948</v>
      </c>
      <c r="B910" s="6" t="s">
        <v>1041</v>
      </c>
    </row>
    <row r="911" spans="1:2" x14ac:dyDescent="0.3">
      <c r="A911" s="6" t="s">
        <v>949</v>
      </c>
      <c r="B911" s="6" t="s">
        <v>1042</v>
      </c>
    </row>
    <row r="912" spans="1:2" x14ac:dyDescent="0.3">
      <c r="A912" s="6" t="s">
        <v>950</v>
      </c>
      <c r="B912" s="6" t="s">
        <v>1042</v>
      </c>
    </row>
    <row r="913" spans="1:2" x14ac:dyDescent="0.3">
      <c r="A913" s="6" t="s">
        <v>951</v>
      </c>
      <c r="B913" s="6" t="s">
        <v>1042</v>
      </c>
    </row>
    <row r="914" spans="1:2" x14ac:dyDescent="0.3">
      <c r="A914" s="6" t="s">
        <v>952</v>
      </c>
      <c r="B914" s="6" t="s">
        <v>1041</v>
      </c>
    </row>
    <row r="915" spans="1:2" x14ac:dyDescent="0.3">
      <c r="A915" s="6" t="s">
        <v>953</v>
      </c>
      <c r="B915" s="6" t="s">
        <v>1042</v>
      </c>
    </row>
    <row r="916" spans="1:2" x14ac:dyDescent="0.3">
      <c r="A916" s="6" t="s">
        <v>954</v>
      </c>
      <c r="B916" s="6" t="s">
        <v>1042</v>
      </c>
    </row>
    <row r="917" spans="1:2" x14ac:dyDescent="0.3">
      <c r="A917" s="6" t="s">
        <v>955</v>
      </c>
      <c r="B917" s="6" t="s">
        <v>1042</v>
      </c>
    </row>
    <row r="918" spans="1:2" x14ac:dyDescent="0.3">
      <c r="A918" s="6" t="s">
        <v>956</v>
      </c>
      <c r="B918" s="6" t="s">
        <v>1041</v>
      </c>
    </row>
    <row r="919" spans="1:2" x14ac:dyDescent="0.3">
      <c r="A919" s="6" t="s">
        <v>957</v>
      </c>
      <c r="B919" s="6" t="s">
        <v>1042</v>
      </c>
    </row>
    <row r="920" spans="1:2" x14ac:dyDescent="0.3">
      <c r="A920" s="6" t="s">
        <v>958</v>
      </c>
      <c r="B920" s="6" t="s">
        <v>1042</v>
      </c>
    </row>
    <row r="921" spans="1:2" x14ac:dyDescent="0.3">
      <c r="A921" s="6" t="s">
        <v>959</v>
      </c>
      <c r="B921" s="6" t="s">
        <v>1042</v>
      </c>
    </row>
    <row r="922" spans="1:2" x14ac:dyDescent="0.3">
      <c r="A922" s="6" t="s">
        <v>960</v>
      </c>
      <c r="B922" s="6" t="s">
        <v>1041</v>
      </c>
    </row>
    <row r="923" spans="1:2" x14ac:dyDescent="0.3">
      <c r="A923" s="6" t="s">
        <v>961</v>
      </c>
      <c r="B923" s="6" t="s">
        <v>1042</v>
      </c>
    </row>
    <row r="924" spans="1:2" x14ac:dyDescent="0.3">
      <c r="A924" s="6" t="s">
        <v>962</v>
      </c>
      <c r="B924" s="6" t="s">
        <v>1042</v>
      </c>
    </row>
    <row r="925" spans="1:2" x14ac:dyDescent="0.3">
      <c r="A925" s="6" t="s">
        <v>963</v>
      </c>
      <c r="B925" s="6" t="s">
        <v>1042</v>
      </c>
    </row>
    <row r="926" spans="1:2" x14ac:dyDescent="0.3">
      <c r="A926" s="6" t="s">
        <v>964</v>
      </c>
      <c r="B926" s="6" t="s">
        <v>1041</v>
      </c>
    </row>
    <row r="927" spans="1:2" x14ac:dyDescent="0.3">
      <c r="A927" s="6" t="s">
        <v>965</v>
      </c>
      <c r="B927" s="6" t="s">
        <v>1042</v>
      </c>
    </row>
    <row r="928" spans="1:2" x14ac:dyDescent="0.3">
      <c r="A928" s="6" t="s">
        <v>966</v>
      </c>
      <c r="B928" s="6" t="s">
        <v>1042</v>
      </c>
    </row>
    <row r="929" spans="1:2" x14ac:dyDescent="0.3">
      <c r="A929" s="6" t="s">
        <v>967</v>
      </c>
      <c r="B929" s="6" t="s">
        <v>1042</v>
      </c>
    </row>
    <row r="930" spans="1:2" x14ac:dyDescent="0.3">
      <c r="A930" s="6" t="s">
        <v>968</v>
      </c>
      <c r="B930" s="6" t="s">
        <v>1041</v>
      </c>
    </row>
    <row r="931" spans="1:2" x14ac:dyDescent="0.3">
      <c r="A931" s="6" t="s">
        <v>969</v>
      </c>
      <c r="B931" s="6" t="s">
        <v>1042</v>
      </c>
    </row>
    <row r="932" spans="1:2" x14ac:dyDescent="0.3">
      <c r="A932" s="6" t="s">
        <v>970</v>
      </c>
      <c r="B932" s="6" t="s">
        <v>1042</v>
      </c>
    </row>
    <row r="933" spans="1:2" x14ac:dyDescent="0.3">
      <c r="A933" s="6" t="s">
        <v>971</v>
      </c>
      <c r="B933" s="6" t="s">
        <v>1042</v>
      </c>
    </row>
    <row r="934" spans="1:2" x14ac:dyDescent="0.3">
      <c r="A934" s="6" t="s">
        <v>972</v>
      </c>
      <c r="B934" s="6" t="s">
        <v>1041</v>
      </c>
    </row>
    <row r="935" spans="1:2" x14ac:dyDescent="0.3">
      <c r="A935" s="6" t="s">
        <v>973</v>
      </c>
      <c r="B935" s="6" t="s">
        <v>1042</v>
      </c>
    </row>
    <row r="936" spans="1:2" x14ac:dyDescent="0.3">
      <c r="A936" s="6" t="s">
        <v>974</v>
      </c>
      <c r="B936" s="6" t="s">
        <v>1042</v>
      </c>
    </row>
    <row r="937" spans="1:2" x14ac:dyDescent="0.3">
      <c r="A937" s="6" t="s">
        <v>975</v>
      </c>
      <c r="B937" s="6" t="s">
        <v>1042</v>
      </c>
    </row>
    <row r="938" spans="1:2" x14ac:dyDescent="0.3">
      <c r="A938" s="6" t="s">
        <v>976</v>
      </c>
      <c r="B938" s="6" t="s">
        <v>1041</v>
      </c>
    </row>
    <row r="939" spans="1:2" x14ac:dyDescent="0.3">
      <c r="A939" s="6" t="s">
        <v>977</v>
      </c>
      <c r="B939" s="6" t="s">
        <v>1042</v>
      </c>
    </row>
    <row r="940" spans="1:2" x14ac:dyDescent="0.3">
      <c r="A940" s="6" t="s">
        <v>978</v>
      </c>
      <c r="B940" s="6" t="s">
        <v>1042</v>
      </c>
    </row>
    <row r="941" spans="1:2" x14ac:dyDescent="0.3">
      <c r="A941" s="6" t="s">
        <v>979</v>
      </c>
      <c r="B941" s="6" t="s">
        <v>1042</v>
      </c>
    </row>
    <row r="942" spans="1:2" x14ac:dyDescent="0.3">
      <c r="A942" s="6" t="s">
        <v>980</v>
      </c>
      <c r="B942" s="6" t="s">
        <v>1041</v>
      </c>
    </row>
    <row r="943" spans="1:2" x14ac:dyDescent="0.3">
      <c r="A943" s="6" t="s">
        <v>981</v>
      </c>
      <c r="B943" s="6" t="s">
        <v>1042</v>
      </c>
    </row>
    <row r="944" spans="1:2" x14ac:dyDescent="0.3">
      <c r="A944" s="6" t="s">
        <v>982</v>
      </c>
      <c r="B944" s="6" t="s">
        <v>1042</v>
      </c>
    </row>
    <row r="945" spans="1:2" x14ac:dyDescent="0.3">
      <c r="A945" s="6" t="s">
        <v>983</v>
      </c>
      <c r="B945" s="6" t="s">
        <v>1042</v>
      </c>
    </row>
    <row r="946" spans="1:2" x14ac:dyDescent="0.3">
      <c r="A946" s="6" t="s">
        <v>984</v>
      </c>
      <c r="B946" s="6" t="s">
        <v>1041</v>
      </c>
    </row>
    <row r="947" spans="1:2" x14ac:dyDescent="0.3">
      <c r="A947" s="6" t="s">
        <v>985</v>
      </c>
      <c r="B947" s="6" t="s">
        <v>1042</v>
      </c>
    </row>
    <row r="948" spans="1:2" x14ac:dyDescent="0.3">
      <c r="A948" s="6" t="s">
        <v>986</v>
      </c>
      <c r="B948" s="6" t="s">
        <v>1042</v>
      </c>
    </row>
    <row r="949" spans="1:2" x14ac:dyDescent="0.3">
      <c r="A949" s="6" t="s">
        <v>987</v>
      </c>
      <c r="B949" s="6" t="s">
        <v>1042</v>
      </c>
    </row>
    <row r="950" spans="1:2" x14ac:dyDescent="0.3">
      <c r="A950" s="6" t="s">
        <v>988</v>
      </c>
      <c r="B950" s="6" t="s">
        <v>1041</v>
      </c>
    </row>
    <row r="951" spans="1:2" x14ac:dyDescent="0.3">
      <c r="A951" s="6" t="s">
        <v>989</v>
      </c>
      <c r="B951" s="6" t="s">
        <v>1042</v>
      </c>
    </row>
    <row r="952" spans="1:2" x14ac:dyDescent="0.3">
      <c r="A952" s="6" t="s">
        <v>990</v>
      </c>
      <c r="B952" s="6" t="s">
        <v>1042</v>
      </c>
    </row>
    <row r="953" spans="1:2" x14ac:dyDescent="0.3">
      <c r="A953" s="6" t="s">
        <v>991</v>
      </c>
      <c r="B953" s="6" t="s">
        <v>1042</v>
      </c>
    </row>
    <row r="954" spans="1:2" x14ac:dyDescent="0.3">
      <c r="A954" s="6" t="s">
        <v>992</v>
      </c>
      <c r="B954" s="6" t="s">
        <v>1041</v>
      </c>
    </row>
    <row r="955" spans="1:2" x14ac:dyDescent="0.3">
      <c r="A955" s="6" t="s">
        <v>993</v>
      </c>
      <c r="B955" s="6" t="s">
        <v>1042</v>
      </c>
    </row>
    <row r="956" spans="1:2" x14ac:dyDescent="0.3">
      <c r="A956" s="6" t="s">
        <v>994</v>
      </c>
      <c r="B956" s="6" t="s">
        <v>1042</v>
      </c>
    </row>
    <row r="957" spans="1:2" x14ac:dyDescent="0.3">
      <c r="A957" s="6" t="s">
        <v>995</v>
      </c>
      <c r="B957" s="6" t="s">
        <v>1042</v>
      </c>
    </row>
    <row r="958" spans="1:2" x14ac:dyDescent="0.3">
      <c r="A958" s="6" t="s">
        <v>996</v>
      </c>
      <c r="B958" s="6" t="s">
        <v>1041</v>
      </c>
    </row>
    <row r="959" spans="1:2" x14ac:dyDescent="0.3">
      <c r="A959" s="6" t="s">
        <v>997</v>
      </c>
      <c r="B959" s="6" t="s">
        <v>1042</v>
      </c>
    </row>
    <row r="960" spans="1:2" x14ac:dyDescent="0.3">
      <c r="A960" s="6" t="s">
        <v>998</v>
      </c>
      <c r="B960" s="6" t="s">
        <v>1042</v>
      </c>
    </row>
    <row r="961" spans="1:2" x14ac:dyDescent="0.3">
      <c r="A961" s="6" t="s">
        <v>999</v>
      </c>
      <c r="B961" s="6" t="s">
        <v>1042</v>
      </c>
    </row>
    <row r="962" spans="1:2" x14ac:dyDescent="0.3">
      <c r="A962" s="6" t="s">
        <v>1000</v>
      </c>
      <c r="B962" s="6" t="s">
        <v>1041</v>
      </c>
    </row>
    <row r="963" spans="1:2" x14ac:dyDescent="0.3">
      <c r="A963" s="6" t="s">
        <v>1001</v>
      </c>
      <c r="B963" s="6" t="s">
        <v>1042</v>
      </c>
    </row>
    <row r="964" spans="1:2" x14ac:dyDescent="0.3">
      <c r="A964" s="6" t="s">
        <v>1002</v>
      </c>
      <c r="B964" s="6" t="s">
        <v>1042</v>
      </c>
    </row>
    <row r="965" spans="1:2" x14ac:dyDescent="0.3">
      <c r="A965" s="6" t="s">
        <v>1003</v>
      </c>
      <c r="B965" s="6" t="s">
        <v>1042</v>
      </c>
    </row>
    <row r="966" spans="1:2" x14ac:dyDescent="0.3">
      <c r="A966" s="6" t="s">
        <v>1004</v>
      </c>
      <c r="B966" s="6" t="s">
        <v>1041</v>
      </c>
    </row>
    <row r="967" spans="1:2" x14ac:dyDescent="0.3">
      <c r="A967" s="6" t="s">
        <v>1005</v>
      </c>
      <c r="B967" s="6" t="s">
        <v>1042</v>
      </c>
    </row>
    <row r="968" spans="1:2" x14ac:dyDescent="0.3">
      <c r="A968" s="6" t="s">
        <v>1006</v>
      </c>
      <c r="B968" s="6" t="s">
        <v>1042</v>
      </c>
    </row>
    <row r="969" spans="1:2" x14ac:dyDescent="0.3">
      <c r="A969" s="6" t="s">
        <v>1007</v>
      </c>
      <c r="B969" s="6" t="s">
        <v>1042</v>
      </c>
    </row>
    <row r="970" spans="1:2" x14ac:dyDescent="0.3">
      <c r="A970" s="6" t="s">
        <v>1008</v>
      </c>
      <c r="B970" s="6" t="s">
        <v>1041</v>
      </c>
    </row>
    <row r="971" spans="1:2" x14ac:dyDescent="0.3">
      <c r="A971" s="6" t="s">
        <v>1009</v>
      </c>
      <c r="B971" s="6" t="s">
        <v>1042</v>
      </c>
    </row>
    <row r="972" spans="1:2" x14ac:dyDescent="0.3">
      <c r="A972" s="6" t="s">
        <v>1010</v>
      </c>
      <c r="B972" s="6" t="s">
        <v>1042</v>
      </c>
    </row>
    <row r="973" spans="1:2" x14ac:dyDescent="0.3">
      <c r="A973" s="6" t="s">
        <v>1011</v>
      </c>
      <c r="B973" s="6" t="s">
        <v>1042</v>
      </c>
    </row>
    <row r="974" spans="1:2" x14ac:dyDescent="0.3">
      <c r="A974" s="6" t="s">
        <v>1012</v>
      </c>
      <c r="B974" s="6" t="s">
        <v>1041</v>
      </c>
    </row>
    <row r="975" spans="1:2" x14ac:dyDescent="0.3">
      <c r="A975" s="6" t="s">
        <v>1013</v>
      </c>
      <c r="B975" s="6" t="s">
        <v>1042</v>
      </c>
    </row>
    <row r="976" spans="1:2" x14ac:dyDescent="0.3">
      <c r="A976" s="6" t="s">
        <v>1014</v>
      </c>
      <c r="B976" s="6" t="s">
        <v>1042</v>
      </c>
    </row>
    <row r="977" spans="1:2" x14ac:dyDescent="0.3">
      <c r="A977" s="6" t="s">
        <v>1015</v>
      </c>
      <c r="B977" s="6" t="s">
        <v>1042</v>
      </c>
    </row>
    <row r="978" spans="1:2" x14ac:dyDescent="0.3">
      <c r="A978" s="6" t="s">
        <v>1016</v>
      </c>
      <c r="B978" s="6" t="s">
        <v>1041</v>
      </c>
    </row>
    <row r="979" spans="1:2" x14ac:dyDescent="0.3">
      <c r="A979" s="6" t="s">
        <v>1017</v>
      </c>
      <c r="B979" s="6" t="s">
        <v>1042</v>
      </c>
    </row>
    <row r="980" spans="1:2" x14ac:dyDescent="0.3">
      <c r="A980" s="6" t="s">
        <v>1018</v>
      </c>
      <c r="B980" s="6" t="s">
        <v>1042</v>
      </c>
    </row>
    <row r="981" spans="1:2" x14ac:dyDescent="0.3">
      <c r="A981" s="6" t="s">
        <v>1019</v>
      </c>
      <c r="B981" s="6" t="s">
        <v>1042</v>
      </c>
    </row>
    <row r="982" spans="1:2" x14ac:dyDescent="0.3">
      <c r="A982" s="6" t="s">
        <v>1020</v>
      </c>
      <c r="B982" s="6" t="s">
        <v>1041</v>
      </c>
    </row>
    <row r="983" spans="1:2" x14ac:dyDescent="0.3">
      <c r="A983" s="6" t="s">
        <v>1021</v>
      </c>
      <c r="B983" s="6" t="s">
        <v>1042</v>
      </c>
    </row>
    <row r="984" spans="1:2" x14ac:dyDescent="0.3">
      <c r="A984" s="6" t="s">
        <v>1022</v>
      </c>
      <c r="B984" s="6" t="s">
        <v>1042</v>
      </c>
    </row>
    <row r="985" spans="1:2" x14ac:dyDescent="0.3">
      <c r="A985" s="6" t="s">
        <v>1023</v>
      </c>
      <c r="B985" s="6" t="s">
        <v>1042</v>
      </c>
    </row>
    <row r="986" spans="1:2" x14ac:dyDescent="0.3">
      <c r="A986" s="6" t="s">
        <v>1024</v>
      </c>
      <c r="B986" s="6" t="s">
        <v>1041</v>
      </c>
    </row>
    <row r="987" spans="1:2" x14ac:dyDescent="0.3">
      <c r="A987" s="6" t="s">
        <v>1025</v>
      </c>
      <c r="B987" s="6" t="s">
        <v>1042</v>
      </c>
    </row>
    <row r="988" spans="1:2" x14ac:dyDescent="0.3">
      <c r="A988" s="6" t="s">
        <v>1026</v>
      </c>
      <c r="B988" s="6" t="s">
        <v>1042</v>
      </c>
    </row>
    <row r="989" spans="1:2" x14ac:dyDescent="0.3">
      <c r="A989" s="6" t="s">
        <v>1027</v>
      </c>
      <c r="B989" s="6" t="s">
        <v>1042</v>
      </c>
    </row>
    <row r="990" spans="1:2" x14ac:dyDescent="0.3">
      <c r="A990" s="6" t="s">
        <v>1028</v>
      </c>
      <c r="B990" s="6" t="s">
        <v>1041</v>
      </c>
    </row>
    <row r="991" spans="1:2" x14ac:dyDescent="0.3">
      <c r="A991" s="6" t="s">
        <v>1029</v>
      </c>
      <c r="B991" s="6" t="s">
        <v>1042</v>
      </c>
    </row>
    <row r="992" spans="1:2" x14ac:dyDescent="0.3">
      <c r="A992" s="6" t="s">
        <v>1030</v>
      </c>
      <c r="B992" s="6" t="s">
        <v>1042</v>
      </c>
    </row>
    <row r="993" spans="1:2" x14ac:dyDescent="0.3">
      <c r="A993" s="6" t="s">
        <v>1031</v>
      </c>
      <c r="B993" s="6" t="s">
        <v>1042</v>
      </c>
    </row>
    <row r="994" spans="1:2" x14ac:dyDescent="0.3">
      <c r="A994" s="6" t="s">
        <v>1032</v>
      </c>
      <c r="B994" s="6" t="s">
        <v>1041</v>
      </c>
    </row>
    <row r="995" spans="1:2" x14ac:dyDescent="0.3">
      <c r="A995" s="6" t="s">
        <v>1033</v>
      </c>
      <c r="B995" s="6" t="s">
        <v>1042</v>
      </c>
    </row>
    <row r="996" spans="1:2" x14ac:dyDescent="0.3">
      <c r="A996" s="6" t="s">
        <v>1034</v>
      </c>
      <c r="B996" s="6" t="s">
        <v>1042</v>
      </c>
    </row>
    <row r="997" spans="1:2" x14ac:dyDescent="0.3">
      <c r="A997" s="6" t="s">
        <v>1035</v>
      </c>
      <c r="B997" s="6" t="s">
        <v>1042</v>
      </c>
    </row>
    <row r="998" spans="1:2" x14ac:dyDescent="0.3">
      <c r="A998" s="6" t="s">
        <v>1036</v>
      </c>
      <c r="B998" s="6" t="s">
        <v>1041</v>
      </c>
    </row>
    <row r="999" spans="1:2" x14ac:dyDescent="0.3">
      <c r="A999" s="6" t="s">
        <v>1037</v>
      </c>
      <c r="B999" s="6" t="s">
        <v>1042</v>
      </c>
    </row>
    <row r="1000" spans="1:2" x14ac:dyDescent="0.3">
      <c r="A1000" s="6" t="s">
        <v>1038</v>
      </c>
      <c r="B1000" s="6" t="s">
        <v>1042</v>
      </c>
    </row>
    <row r="1001" spans="1:2" x14ac:dyDescent="0.3">
      <c r="A1001" s="6" t="s">
        <v>1039</v>
      </c>
      <c r="B1001" s="6" t="s">
        <v>1042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SuperMarket_Sales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Ayman</dc:creator>
  <cp:lastModifiedBy>Eyad Ayman</cp:lastModifiedBy>
  <dcterms:created xsi:type="dcterms:W3CDTF">2026-10-09T14:34:00Z</dcterms:created>
  <dcterms:modified xsi:type="dcterms:W3CDTF">2026-10-09T14:35:49Z</dcterms:modified>
</cp:coreProperties>
</file>